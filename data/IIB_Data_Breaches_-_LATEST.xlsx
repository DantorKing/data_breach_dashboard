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eaches" sheetId="1" r:id="rId4"/>
    <sheet state="visible" name="All-breaches-list" sheetId="2" r:id="rId5"/>
    <sheet state="visible" name="staging" sheetId="3" r:id="rId6"/>
    <sheet state="visible" name="dropoff" sheetId="4" r:id="rId7"/>
    <sheet state="visible" name="new breaches-MAY 2022" sheetId="5" r:id="rId8"/>
    <sheet state="visible" name="staging  new breaches-MAY 2021" sheetId="6" r:id="rId9"/>
    <sheet state="visible" name="Copy of breaches" sheetId="7" r:id="rId10"/>
    <sheet state="visible" name="Copy of Copy of breaches" sheetId="8" r:id="rId11"/>
    <sheet state="visible" name="breaches-OLD1" sheetId="9" r:id="rId12"/>
    <sheet state="visible" name="breaches-OLD2" sheetId="10" r:id="rId13"/>
    <sheet state="hidden" name="pre-viz sheet" sheetId="11" r:id="rId14"/>
    <sheet state="hidden" name="staging sheet" sheetId="12" r:id="rId15"/>
    <sheet state="hidden" name="full sheet" sheetId="13" r:id="rId16"/>
    <sheet state="visible" name="underground datacosts" sheetId="14" r:id="rId17"/>
  </sheets>
  <definedNames/>
  <calcPr/>
</workbook>
</file>

<file path=xl/sharedStrings.xml><?xml version="1.0" encoding="utf-8"?>
<sst xmlns="http://schemas.openxmlformats.org/spreadsheetml/2006/main" count="19288" uniqueCount="3147">
  <si>
    <t>organisation</t>
  </si>
  <si>
    <t>alternative name</t>
  </si>
  <si>
    <t>records lost</t>
  </si>
  <si>
    <t xml:space="preserve">year   </t>
  </si>
  <si>
    <t>date</t>
  </si>
  <si>
    <t>story</t>
  </si>
  <si>
    <t>sector</t>
  </si>
  <si>
    <t>method</t>
  </si>
  <si>
    <t>interesting story</t>
  </si>
  <si>
    <t>data sensitivity</t>
  </si>
  <si>
    <t>displayed records</t>
  </si>
  <si>
    <t>source name</t>
  </si>
  <si>
    <t>1st source link</t>
  </si>
  <si>
    <t>2nd source link</t>
  </si>
  <si>
    <t>ID</t>
  </si>
  <si>
    <r>
      <rPr>
        <rFont val="Arial"/>
        <b/>
        <color rgb="FFCCCCCC"/>
        <sz val="14.0"/>
      </rPr>
      <t xml:space="preserve">visualisation here: </t>
    </r>
    <r>
      <rPr>
        <rFont val="Arial"/>
        <b/>
        <color rgb="FF1155CC"/>
        <sz val="14.0"/>
        <u/>
      </rPr>
      <t xml:space="preserve">https://informationisbeautiful.net/visualizations/worlds-biggest-data-breaches-hacks/
</t>
    </r>
    <r>
      <rPr>
        <rFont val="Arial"/>
        <b/>
        <color rgb="FFFF00FF"/>
        <sz val="14.0"/>
      </rPr>
      <t>pink = new</t>
    </r>
  </si>
  <si>
    <t xml:space="preserve">(use 3m, 4m, 5m or 10m to approximate unknown figures) </t>
  </si>
  <si>
    <t>year story broke</t>
  </si>
  <si>
    <t>poor security
hacked
oops!
lost device 
inside job</t>
  </si>
  <si>
    <t>1. Just email address/Online information 
2 SSN/Personal details 
3 Credit card information 
4 Health &amp; other personal records 
5 Full details</t>
  </si>
  <si>
    <t>Quantas</t>
  </si>
  <si>
    <t>The records of nearly 6 million customers on the platform and Qantas expects a "significant" proportion of the data has been stolen.</t>
  </si>
  <si>
    <t>transport</t>
  </si>
  <si>
    <t>hacked</t>
  </si>
  <si>
    <t>ABC</t>
  </si>
  <si>
    <t>https://www.abc.net.au/news/2025-07-02/qantas-cyber-attack-significant-data-stolen/105484720</t>
  </si>
  <si>
    <t>GiveSendGo</t>
  </si>
  <si>
    <t>Crowdfunding site that raised funds for the anti-vax “freedom convoy” in Canada was hacked exposing the names and personal details of over 92,000 donors</t>
  </si>
  <si>
    <t>web</t>
  </si>
  <si>
    <t>y</t>
  </si>
  <si>
    <t>Vice</t>
  </si>
  <si>
    <t>https://www.vice.com/en/article/freedom-convoy-givesendgo-donors-leaked/</t>
  </si>
  <si>
    <t>Tea</t>
  </si>
  <si>
    <t>Web service providing safety for women online dating was breached, exposing over 13K photos of IDs used for account vertification, alongside 56K other images. ID photos were likely geotagged, worsening the severity of the leak</t>
  </si>
  <si>
    <t>Tech Crunch</t>
  </si>
  <si>
    <t>https://techcrunch.com/2025/07/26/dating-safety-app-tea-breached-exposing-72000-user-images/</t>
  </si>
  <si>
    <t xml:space="preserve">Lee Enterprises </t>
  </si>
  <si>
    <t>Attackers behind a ransomware attack in Feb also stole documents and information on ~40K individuals</t>
  </si>
  <si>
    <t>misc</t>
  </si>
  <si>
    <t>Beeping Computer</t>
  </si>
  <si>
    <t>https://www.bleepingcomputer.com/news/security/media-giant-lee-enterprises-says-data-breach-affects-39-000-people/</t>
  </si>
  <si>
    <t xml:space="preserve">Cartier </t>
  </si>
  <si>
    <t>Luxury fashion brand Cartier warned customers of a data breach that exposed customers' personal information.</t>
  </si>
  <si>
    <t>retail</t>
  </si>
  <si>
    <t>https://www.bleepingcomputer.com/news/security/cartier-discloses-data-breach-amid-fashion-brand-cyberattacks/</t>
  </si>
  <si>
    <t>The North Face</t>
  </si>
  <si>
    <t>The North Face is warning customers that their personal information was stolen in credential stuffing attacks.</t>
  </si>
  <si>
    <t>https://www.bleepingcomputer.com/news/security/the-north-face-warns-customers-of-april-credential-stuffing-attack/</t>
  </si>
  <si>
    <t>LexisNexis</t>
  </si>
  <si>
    <t>Data broker giant LexisNexis Risk Solutions states attackers stole personal information of over 364k individuals in Dec.</t>
  </si>
  <si>
    <t>tech</t>
  </si>
  <si>
    <t>poor security</t>
  </si>
  <si>
    <t>https://www.bleepingcomputer.com/news/security/data-broker-lexisnexis-discloses-data-breach-affecting-364-000-people/</t>
  </si>
  <si>
    <t>Adidas</t>
  </si>
  <si>
    <t>German sportswear giant Adidas disclosed attackers hacked a customer service provider and stole some user data.</t>
  </si>
  <si>
    <t>https://www.bleepingcomputer.com/news/security/adidas-warns-of-data-breach-after-customer-service-provider-hack/</t>
  </si>
  <si>
    <t>Coinbase</t>
  </si>
  <si>
    <t>Coinbase said, "individuals performing services at our overseas support locations, improperly accessed customer information."</t>
  </si>
  <si>
    <t>finance</t>
  </si>
  <si>
    <t>inside job</t>
  </si>
  <si>
    <t>https://www.bleepingcomputer.com/news/security/coinbase-says-recent-data-breach-impacts-69-461-customers/</t>
  </si>
  <si>
    <t xml:space="preserve">UK's Legal Aid Agency </t>
  </si>
  <si>
    <t>LAA</t>
  </si>
  <si>
    <t>Criminal records dating back to 2010, as well as personal data was stolen for up to two million people</t>
  </si>
  <si>
    <t>government</t>
  </si>
  <si>
    <t>https://www.bleepingcomputer.com/news/security/uk-legal-aid-agency-confirms-applicant-data-stolen-in-data-breach/</t>
  </si>
  <si>
    <t xml:space="preserve">Nova Scotia Power </t>
  </si>
  <si>
    <t>Nova Scotia Power confirms hackers stole sensitive data. The company serves over 500k customers.</t>
  </si>
  <si>
    <t>https://www.bleepingcomputer.com/news/security/nova-scotia-power-confirms-hackers-stole-customer-data-in-cyberattack/</t>
  </si>
  <si>
    <t>ColoCrossing</t>
  </si>
  <si>
    <t>Breach impacted users of ColoCloud virtual server although was isolated to their cloud/VPS platform. 7k emails exposed.</t>
  </si>
  <si>
    <t>web, tech</t>
  </si>
  <si>
    <t>Have I Been Pwned</t>
  </si>
  <si>
    <t>https://haveibeenpwned.com/Breach/ColoCrossing</t>
  </si>
  <si>
    <t>Free</t>
  </si>
  <si>
    <t>French ISP "Free" suffered a breach which was posted for sale and later, leaked. 14m email, names, addresses etc. exposed.</t>
  </si>
  <si>
    <t>https://haveibeenpwned.com/Breach/FreeMobile</t>
  </si>
  <si>
    <t>Fédération Francaise de Rugby</t>
  </si>
  <si>
    <t>The French Rugby Federation had a breach and attempted ransom. 282k emails, names, dates of birth and phone numbers.</t>
  </si>
  <si>
    <t>https://haveibeenpwned.com/Breach/FFR</t>
  </si>
  <si>
    <t>TehetségKapu</t>
  </si>
  <si>
    <t>55k records breached from the Hungarian education office TehetségKapu. Data was subsequently published to a hacking forum.</t>
  </si>
  <si>
    <t>https://haveibeenpwned.com/Breach/TehetsegKapu</t>
  </si>
  <si>
    <t xml:space="preserve">Krispy Kreme </t>
  </si>
  <si>
    <t>U.S. doughnut chain confirmed attackers stole the personal info of over 160k individuals in a cyberattack.</t>
  </si>
  <si>
    <t>Bleeping Computer</t>
  </si>
  <si>
    <t>https://www.bleepingcomputer.com/news/security/krispy-kreme-says-november-data-breach-impacts-over-160-000-people/</t>
  </si>
  <si>
    <t xml:space="preserve">Episource </t>
  </si>
  <si>
    <t>An investigation revealed that hackers accessed and exfiltrated 5.4m records stored on these systems.</t>
  </si>
  <si>
    <t>health</t>
  </si>
  <si>
    <t>https://www.bleepingcomputer.com/news/security/episource-says-data-breach-impacts-54-million-patients/</t>
  </si>
  <si>
    <t>Cock.li</t>
  </si>
  <si>
    <t>Email hosting provider confirmed exploited flaws in its retired Roundcube webmail platform exposed over 1m records.</t>
  </si>
  <si>
    <t>https://www.bleepingcomputer.com/news/security/hacker-steals-1-million-cockli-user-records-in-webmail-data-breach/</t>
  </si>
  <si>
    <t xml:space="preserve">UnitedHealth </t>
  </si>
  <si>
    <t>190m Americans had their personal and healthcare data stolen in the Change Healthcare ransomware attack.</t>
  </si>
  <si>
    <t>190m</t>
  </si>
  <si>
    <t>https://www.bleepingcomputer.com/news/security/unitedhealth-now-says-190-million-impacted-by-2024-data-breach/</t>
  </si>
  <si>
    <t>Internet Archive</t>
  </si>
  <si>
    <t>The Archive was hit by two different attacks, a data breach exposing 33m users data and a DDoS attack.</t>
  </si>
  <si>
    <t>https://www.bleepingcomputer.com/news/security/internet-archive-hacked-data-breach-impacts-31-million-users/</t>
  </si>
  <si>
    <t>National Public Data</t>
  </si>
  <si>
    <t>2.7bn records of US citizens used for background checks leaked on a hacking forum, names, social security, physical addresses, and aliases.</t>
  </si>
  <si>
    <t>2.7bn</t>
  </si>
  <si>
    <t>https://www.bleepingcomputer.com/news/security/hackers-leak-27-billion-data-records-with-social-security-numbers/</t>
  </si>
  <si>
    <t xml:space="preserve">VeriSource </t>
  </si>
  <si>
    <t xml:space="preserve">Employee benefits administration firm exposed the personal information of 4m people. </t>
  </si>
  <si>
    <t>https://www.bleepingcomputer.com/news/security/verisource-now-says-february-data-breach-impacts-4-million-people/</t>
  </si>
  <si>
    <t xml:space="preserve">Baltimore Public Schools </t>
  </si>
  <si>
    <t>Tens of thousands of employees and students exposed in a breach incident when attackers hacked into its network.</t>
  </si>
  <si>
    <t>academia</t>
  </si>
  <si>
    <t>https://www.bleepingcomputer.com/news/security/baltimore-city-public-schools-data-breach-affects-over-31-000-people/</t>
  </si>
  <si>
    <t>Robinsons</t>
  </si>
  <si>
    <t>Philippine shopping-mall operator suffered a breach via mobile app exposing 195k emails, names, numbers, DOB, genders.</t>
  </si>
  <si>
    <t>https://haveibeenpwned.com/Breach/RobinsonsMalls</t>
  </si>
  <si>
    <t>Have Fun Teaching</t>
  </si>
  <si>
    <t xml:space="preserve">Teaching resources site suffered a breach leaking 80k WooCommerce transactions, and posted to a hacking forum. </t>
  </si>
  <si>
    <t>https://haveibeenpwned.com/Breach/HaveFunTeaching</t>
  </si>
  <si>
    <t>Ualabee</t>
  </si>
  <si>
    <t>South American mobility services platform had 472k records scraped from an interface on their platform.</t>
  </si>
  <si>
    <t>https://haveibeenpwned.com/Breach/Ualabee</t>
  </si>
  <si>
    <t>Wiredbucks</t>
  </si>
  <si>
    <t>Social media influencer platform suffered a data breach exposing over 900k emails, IP addresses, names, usernames, etc.</t>
  </si>
  <si>
    <t>https://haveibeenpwned.com/Breach/WiredBucks</t>
  </si>
  <si>
    <t>Disk Union</t>
  </si>
  <si>
    <t>Japanese record chain store exposed 690k email, names, postcodes, phone numbers and passwords.</t>
  </si>
  <si>
    <t>https://haveibeenpwned.com/Breach/DiskUnion</t>
  </si>
  <si>
    <t>Spectos</t>
  </si>
  <si>
    <t>Data breach of logistics provider, Spectos: 216k emails, names, physical addresses, and purchases.</t>
  </si>
  <si>
    <t>telecoms</t>
  </si>
  <si>
    <t>https://haveibeenpwned.com/Breach/SamsungGermany</t>
  </si>
  <si>
    <t>German Doner Kebab</t>
  </si>
  <si>
    <t>Breched food company leaked 162k unique emails, names, phone numbers and physical addresses.</t>
  </si>
  <si>
    <t>https://haveibeenpwned.com/Breach/GermanDonerKebab</t>
  </si>
  <si>
    <t>Orange Romania</t>
  </si>
  <si>
    <t>Published to a hacking forum: 556k emails, phone, subscription, partial credit card data.</t>
  </si>
  <si>
    <t>https://haveibeenpwned.com/Breach/OrangeRomania</t>
  </si>
  <si>
    <t>Thermomix Recipe World Forum</t>
  </si>
  <si>
    <t xml:space="preserve">Forum for users of the popular food processer was breached, exposing 3.1m records inc. emails, physical address, and DOB. </t>
  </si>
  <si>
    <t>https://haveibeenpwned.com/Breach/Thermomix</t>
  </si>
  <si>
    <t>Kaiser Permanente</t>
  </si>
  <si>
    <t>A leading U.S. healthcare organization transmitted personal information to third-party vendors, including Google, Microsoft Bing, and X (formerly Twitter), including search terms entered in Kaiser's health encyclopedia.</t>
  </si>
  <si>
    <t>oops!</t>
  </si>
  <si>
    <t>https://restoreprivacy.com/data-breach-at-kaiser-permanente-affects-13-4-million-people/</t>
  </si>
  <si>
    <t>Ticketmaster</t>
  </si>
  <si>
    <t>Hacker group ShinyHunters say it stole names, addresses, phone numbers and partial credit cards details from hundreds of millions of Ticketmaster customers around the world.</t>
  </si>
  <si>
    <t>560m</t>
  </si>
  <si>
    <t>BBC</t>
  </si>
  <si>
    <t>https://www.bbc.co.uk/news/articles/cw99ql0239wo</t>
  </si>
  <si>
    <t>Stanford University</t>
  </si>
  <si>
    <t>The Akira ransomware group claims to have stolen 430 GB of data, including names and social security numbers. The breach went unnoticed for four months, suggesting a possible prolonged attacker presence</t>
  </si>
  <si>
    <t xml:space="preserve">hacked </t>
  </si>
  <si>
    <t>Slashdot</t>
  </si>
  <si>
    <t>https://yro.slashdot.org/story/24/03/13/2053224/stanford-university-failed-to-detect-ransomware-intruders-for-4-months?utm_source=feedly1.0mainlinkanon&amp;utm_medium=feed</t>
  </si>
  <si>
    <t>Cooler Master</t>
  </si>
  <si>
    <t>Threat actor 'Ghostr' hacked the company's Fanzone website, stealing 103 GB of data. Compromised info includes names, emails, phone numbers, birth dates, addresses, product details, employee info, and vendor correspondence.</t>
  </si>
  <si>
    <t>https://www.bleepingcomputer.com/news/security/cooler-master-confirms-customer-info-stolen-in-data-breach/</t>
  </si>
  <si>
    <t>Financial Business and Consumer Solutions</t>
  </si>
  <si>
    <t>FBCS</t>
  </si>
  <si>
    <t>A U.S. debt collection agency reported a breach Initially affecting 1.9m people but the number has since increased significantly. Stolen data includes names, SSNs, birthdates, account info, and driver's license numbers.</t>
  </si>
  <si>
    <t>https://www.bleepingcomputer.com/news/security/collection-agency-fbcs-ups-data-breach-tally-to-32-million-people/</t>
  </si>
  <si>
    <t>Santander</t>
  </si>
  <si>
    <t xml:space="preserve">Threat actor 'ShinyHunters' claim to be selling Santander bank data on 30m customers from Chile, Spain and Uruguay.  </t>
  </si>
  <si>
    <t>https://www.bleepingcomputer.com/news/security/banco-santander-warns-of-a-data-breach-exposing-customer-info/</t>
  </si>
  <si>
    <t>Everbridge</t>
  </si>
  <si>
    <t>The American crisis management software company, serving the U.S. Army, Atlanta Airport, and Norway and Australia, suffered a major data breach. Both business and user data compromised.</t>
  </si>
  <si>
    <t>https://www.bleepingcomputer.com/news/security/everbridge-warns-of-corporate-systems-breach-exposing-business-data/</t>
  </si>
  <si>
    <t>Personal information of BBC Pension Scheme members, including current and former employees, was compromised. Data types include names, National Insurance numbers, birthdates, and home addresses.</t>
  </si>
  <si>
    <t>https://www.bleepingcomputer.com/news/security/bbc-suffers-data-breach-impacting-current-former-employees/</t>
  </si>
  <si>
    <t>First American</t>
  </si>
  <si>
    <t xml:space="preserve">The second largest title insurance company in the US did not reveal which personal information was compromissed. </t>
  </si>
  <si>
    <t>https://www.bleepingcomputer.com/news/security/first-american-december-data-breach-impacts-44-000-people/</t>
  </si>
  <si>
    <t>Christie's</t>
  </si>
  <si>
    <t>Famous auction house Christie's lost sensitive information on 500,000 clients to the RansomHub extortion gang. This includes full names, physical addresses, and ID details. Ironically, the cybercriminals also auction these stolen files to the highest bidder.</t>
  </si>
  <si>
    <t>https://www.bleepingcomputer.com/news/security/christies-confirms-breach-after-ransomhub-threatens-to-leak-data/</t>
  </si>
  <si>
    <t>Sav-Rx</t>
  </si>
  <si>
    <t>Prescription management company Sav-Rx warned over 2.8m people in the US of a data breach. Compromised data includes full names, birthdates, SSNs, emails, addresses, phone numbers, eligibility data, and insurance IDs.</t>
  </si>
  <si>
    <t>https://www.bleepingcomputer.com/news/security/sav-rx-discloses-data-breach-impacting-28-million-americans/</t>
  </si>
  <si>
    <t>Cencora</t>
  </si>
  <si>
    <t>Major drug companies, including Novartis and Bayer, disclosed data breaches after a February 2024 cyberattack at Cencora, their pharmaceutical services partner. Compromised data includes names, addresses, diagnoses, medications, and prescriptions.</t>
  </si>
  <si>
    <t>https://www.bleepingcomputer.com/news/security/cencora-data-breach-exposes-us-patient-info-from-11-drug-companies/</t>
  </si>
  <si>
    <t>WebTPA</t>
  </si>
  <si>
    <t>2,400,00</t>
  </si>
  <si>
    <t>The breach at this employer service compromised names, contact info, birth/death dates, SSNs, and insurance details. Impacted individuals include customers of The Hartford, Transamerica, and Gerber Life Insurance.</t>
  </si>
  <si>
    <t>https://www.bleepingcomputer.com/news/security/webtpa-data-breach-impacts-24-million-insurance-policyholders/</t>
  </si>
  <si>
    <t>Nissan</t>
  </si>
  <si>
    <t>Nissan North America</t>
  </si>
  <si>
    <t>53;000</t>
  </si>
  <si>
    <t xml:space="preserve">This breach of the car manufacturer exposed personal data (including Social Security numbers) belonging to current and former employees. </t>
  </si>
  <si>
    <t>https://www.bleepingcomputer.com/news/security/nissan-north-america-data-breach-impacts-over-53-000-employees/</t>
  </si>
  <si>
    <t>Singing River</t>
  </si>
  <si>
    <t>Singing River Health System</t>
  </si>
  <si>
    <t>A healthcare provider in the Gulf Coast region was breached by the Rhysida ransomware gang. Compromised data includes names, birthdates, addresses, SSNs, and medical info.</t>
  </si>
  <si>
    <t>https://www.bleepingcomputer.com/news/security/singing-river-health-system-data-of-895-000-stolen-in-ransomware-attack/</t>
  </si>
  <si>
    <t>City of Helsinki</t>
  </si>
  <si>
    <t>Helsinki</t>
  </si>
  <si>
    <t>A data breach in Helsinki's education division affected tens of thousands of students, guardians, and personnel. Compromised data includes usernames, emails, IDs, addresses, fee details, education info, welfare requests, and medical certificates.</t>
  </si>
  <si>
    <t>https://www.bleepingcomputer.com/news/security/helsinki-suffers-data-breach-after-hackers-exploit-unpatched-flaw/</t>
  </si>
  <si>
    <t>https://poliisi.fi/en/-/police-investigate-extensive-data-breach-in-helsinki-city-s-computer-network</t>
  </si>
  <si>
    <t>Firstmac</t>
  </si>
  <si>
    <t>Australia's largest non-bank lender had 500GB of data stolen by the Embargo cyber-extortion group. Stolen data includes names, addresses, emails, phone numbers, birthdates, bank account info, and driver's license numbers.</t>
  </si>
  <si>
    <t>https://www.bleepingcomputer.com/news/security/largest-non-bank-lender-in-australia-warns-of-a-data-breach/</t>
  </si>
  <si>
    <t>https://www.cyberdaily.au/security/10487-exclusive-aussie-lender-firstmac-falls-victim-to-embargo-ransomware-gang</t>
  </si>
  <si>
    <t>The Post Millennial</t>
  </si>
  <si>
    <t xml:space="preserve">A conservative Canadian news magazine was breached leaking data on mailing lists, subscriber info, and details of writers and editors: names, emails, usernames, passwords, IPs, phone numbers, addresses, and genders.
 </t>
  </si>
  <si>
    <t>https://www.bleepingcomputer.com/news/security/the-post-millennial-hack-leaked-data-impacting-26-million-people/</t>
  </si>
  <si>
    <t>https://www.mediaite.com/politics/conservative-news-websites-hacked-replaced-with-page-leaking-private-information/</t>
  </si>
  <si>
    <t>Dell</t>
  </si>
  <si>
    <t>The Dell data breach by a threat actor scraped 49m customer records via a partner portal API accessed as a fake company. Data includes customer names, order info, warranty details, service tags, and locations.</t>
  </si>
  <si>
    <t>https://www.bleepingcomputer.com/news/security/dell-api-abused-to-steal-49-million-customer-records-in-data-breach/</t>
  </si>
  <si>
    <t>UK Ministry of Defense</t>
  </si>
  <si>
    <t>A threat actor breached the Ministry of Defence, accessing the Armed Forces payment network. Compromised data includes personal and banking details and a few addresses of active, reserve, and some retired personnel.</t>
  </si>
  <si>
    <t>https://www.bleepingcomputer.com/news/security/uk-confirms-ministry-of-defence-payroll-data-exposed-in-data-breach/</t>
  </si>
  <si>
    <t>https://www.theguardian.com/technology/article/2024/may/06/uk-military-personnels-data-hacked-in-mod-payroll-breach</t>
  </si>
  <si>
    <t>Dropbox</t>
  </si>
  <si>
    <t>Dropbox Sign</t>
  </si>
  <si>
    <t>A Dropbox service which allows online document signatures, was breached. Hackers accessed authentication tokens, MFA keys, hashed passwords, and customer information.</t>
  </si>
  <si>
    <t>https://www.bleepingcomputer.com/news/security/dropbox-says-hackers-stole-customer-data-auth-secrets-from-esignature-service/</t>
  </si>
  <si>
    <t>Panda Restaurants</t>
  </si>
  <si>
    <t>Information exposed includes names or other personal identifiers and their driver's license numbers or ID card numbers for an undisclosed cohort.</t>
  </si>
  <si>
    <t>https://www.bleepingcomputer.com/news/security/panda-restaurants-discloses-a-data-breach-after-corporate-systems-hack/</t>
  </si>
  <si>
    <t>Philadelphia Inquirer</t>
  </si>
  <si>
    <t>A breach at this daily newspaper exposed names, personal identifiers, and financial account or credit/debit card numbers with security codes, passwords, or PINs. The Cuba ransomware gang claimed responsibility.</t>
  </si>
  <si>
    <t>https://www.bleepingcomputer.com/news/security/philadelphia-inquirer-data-of-over-25-000-people-stolen-in-2023-breach/</t>
  </si>
  <si>
    <t>French government</t>
  </si>
  <si>
    <t>A breach in a French government department - responsible for registering and assisting unemployed people -  exposed 20 years of personal data, including names, birthdates, Social Security numbers, travel IDs, emails, postal addresses, and phone numbers.</t>
  </si>
  <si>
    <t>43m</t>
  </si>
  <si>
    <t>The Register</t>
  </si>
  <si>
    <t>https://www.theregister.com/2024/03/14/mega_data_breach_at_french/</t>
  </si>
  <si>
    <t>USG</t>
  </si>
  <si>
    <t xml:space="preserve">University System of Georgia </t>
  </si>
  <si>
    <t>USG, operating 26 public colleges and universities in Georgia, was compromised in the 2023 Clop MOVEit attacks, which impacted thousands of organizations worldwide. Data included full/partial SSNs, birthdates, bank account numbers, and tax documents with Tax IDs.</t>
  </si>
  <si>
    <t>https://www.bleepingcomputer.com/news/security/university-system-of-georgia-800k-exposed-in-2023-moveit-attack/</t>
  </si>
  <si>
    <t>https://www.usg.edu/news/release/notice_of_data_breach</t>
  </si>
  <si>
    <t>Ohio Lottery</t>
  </si>
  <si>
    <t>The DragonForce ransomware gang claimed responsibility for the Christmas Eve attack on the Ohio Lottery. They accessed names, SSNs, and other personal identifiers of affected individuals.</t>
  </si>
  <si>
    <t>gaming</t>
  </si>
  <si>
    <t>https://www.bleepingcomputer.com/news/security/ohio-lottery-ransomware-attack-impacts-over-538-000-individuals/</t>
  </si>
  <si>
    <t>OmniVision</t>
  </si>
  <si>
    <t xml:space="preserve">The Cactus ransomware gang claimed an attack, leaking passport scans, NDAs, contracts, and confidential documents from OmniVision, a subsidiary of Will Semiconductor, designs imaging sensors for various devices. </t>
  </si>
  <si>
    <t>https://www.bleepingcomputer.com/news/security/omnivision-discloses-data-breach-after-2023-ransomware-attack/</t>
  </si>
  <si>
    <t>Western Sydney University</t>
  </si>
  <si>
    <t>Hackers had accessed the University's Microsoft Office 365 environment, including email accounts and SharePoint files.</t>
  </si>
  <si>
    <t>https://www.bleepingcomputer.com/news/security/western-sydney-university-data-breach-exposed-student-data/</t>
  </si>
  <si>
    <t>AT&amp;T</t>
  </si>
  <si>
    <t>Sensitive 2019 data from 7.6m current AT&amp;T account holders and approximately 65.4m former account holders. Emails, passcodes, social security numbers.</t>
  </si>
  <si>
    <t>73m</t>
  </si>
  <si>
    <t>Ars Technica</t>
  </si>
  <si>
    <t>https://arstechnica.com/tech-policy/2024/04/att-acknowledges-data-leak-that-hit-73-million-current-and-former-users/</t>
  </si>
  <si>
    <t>Irish towing company</t>
  </si>
  <si>
    <t>The driving licences and payment card etails of thousands of motorists who had vehicles towed on behalf of the Irish police</t>
  </si>
  <si>
    <t>Irish independent</t>
  </si>
  <si>
    <t>https://www.independent.ie/irish-news/thousands-of-drivers-have-sensitive-data-exposed-to-hackers-in-major-it-breach/a1379036136.html</t>
  </si>
  <si>
    <t>Maine Government</t>
  </si>
  <si>
    <t>Russian ransomware group Clop stole names, dates of birth, Social Security numbers, driver’s license and other state or taxpayer identification numbers. Some individuals had medical and health insurance information taken.</t>
  </si>
  <si>
    <t>https://techcrunch.com/2023/11/09/maine-government-data-breach-clop-ransomware/</t>
  </si>
  <si>
    <t>Welltok</t>
  </si>
  <si>
    <t>Patient data was exposed during the breach, including full names, email addresses, physical addresses, and telephone numbers. For some, it also includes Social Security Numbers (SSNs), Medicare/Medicaid ID numbers, and certain Health Insurance information.</t>
  </si>
  <si>
    <t xml:space="preserve">health </t>
  </si>
  <si>
    <t>https://www.bleepingcomputer.com/news/security/welltok-data-breach-exposes-data-of-85-million-us-patients/</t>
  </si>
  <si>
    <t>Maximus</t>
  </si>
  <si>
    <t>Exploit of a zero-day flaw in the MOVEit file transfer application. Data stolen included social security numbers, protected health information.</t>
  </si>
  <si>
    <t>https://www.bleepingcomputer.com/news/security/8-million-people-hit-by-data-breach-at-us-govt-contractor-maximus/</t>
  </si>
  <si>
    <t>Okta</t>
  </si>
  <si>
    <t>Names and email addresses of customers of the identity security company. 134 of the company's 18,400 clients were impacted, but that only five instances of successful session hijacking were logged</t>
  </si>
  <si>
    <t>https://sec.okta.com/harfiles</t>
  </si>
  <si>
    <t>Delta Dental</t>
  </si>
  <si>
    <t>The dental insurance company suffered unauthorized access by threat actors through the MOVEit file transfer software application exposing full credit card details of customers</t>
  </si>
  <si>
    <t>https://www.bleepingcomputer.com/news/security/delta-dental-of-california-data-breach-exposed-info-of-7-million-people/</t>
  </si>
  <si>
    <t>Xfinity</t>
  </si>
  <si>
    <t>Hackers using the CitrixBleed vulnerability accessed acocunt details like name, last four digits of social security numbers and hashed passwords</t>
  </si>
  <si>
    <t>https://techcrunch.com/2023/12/19/comcast-xfinity-hackers-36-million-customers/</t>
  </si>
  <si>
    <t>Atlassian</t>
  </si>
  <si>
    <t>SiegedSec hacked Atlassian, the owner of Trello and other apps, via a third party office app, leaking employee details and office floor plans after an employee publicly shared credentials.</t>
  </si>
  <si>
    <t>Cyberscoop</t>
  </si>
  <si>
    <t>https://cyberscoop.com/atlassian-hack-employee-data-seigedsec/</t>
  </si>
  <si>
    <t>Reddit</t>
  </si>
  <si>
    <t>A phishing attack granted access to Reddit's internal documents and systems, but without breaching main production systems, user passwords, or accounts.</t>
  </si>
  <si>
    <t>Forbes</t>
  </si>
  <si>
    <t>https://www.forbes.com/sites/daveywinder/2023/02/10/reddit-confirms-it-was-hacked-recommends-users-set-up-2fa/</t>
  </si>
  <si>
    <t>Go Daddy</t>
  </si>
  <si>
    <t>GoDaddy faced a multi-year breach (2020-2022) by a single intruder, resulting in stolen source code, user credentials, malware installation, and user redirects to malicious sites. WordPress customers’ email addresses, usernames, passwords, and even their SSL private keys were stolen.</t>
  </si>
  <si>
    <t>https://www.bleepingcomputer.com/news/security/godaddy-hackers-stole-source-code-installed-malware-in-multi-year-breach/</t>
  </si>
  <si>
    <t>MGM</t>
  </si>
  <si>
    <t>Sept 23</t>
  </si>
  <si>
    <t xml:space="preserve">AlphV and Scattered Spider's cyberattack on MGM caused slot machine errors and hotel queues in Las Vegas, stealing pre-March 2019 customer data and inflicting a $100m loss on the company's Q3 results. MGM declined to say if any ransom was paid. </t>
  </si>
  <si>
    <t>Reuters</t>
  </si>
  <si>
    <t>https://www.reuters.com/business/mgm-expects-cybersecurity-issue-negatively-impact-third-quarter-earnings-2023-10-05/</t>
  </si>
  <si>
    <t>Uber</t>
  </si>
  <si>
    <t>Data on 77,000 Uber employees and internal reports were leaked on forums. While Uber denied ownership of the implicated source code, the breach stemmed from their third-party vendor, Teqtivity, which had a security incident earlier that year.</t>
  </si>
  <si>
    <t>Restore Privacy</t>
  </si>
  <si>
    <t>https://restoreprivacy.com/uber-data-leak-breach-third-party-vendor-hacked/</t>
  </si>
  <si>
    <t>X (Twitter)</t>
  </si>
  <si>
    <t>From Nov 2022 to Jan 2023, over 200 million Twitter users' data, including emails and names, was exposed due to repeated security flaw exploitations and posted on hacker forums. But no highly sensitive data was revealed.</t>
  </si>
  <si>
    <t>200m</t>
  </si>
  <si>
    <t>Firewall Times</t>
  </si>
  <si>
    <t>https://firewalltimes.com/twitter-data-breach-timeline/</t>
  </si>
  <si>
    <t>CommuteAir</t>
  </si>
  <si>
    <t>Swiss hacker Maia Arson Crimew, stumbled upon a misconfigured AWS server containing TSA's No Fly list and exposed ~250,000 'selectees' (selectees are automatically chosen for additional screening each time they fly) to a hacker forum.</t>
  </si>
  <si>
    <t>https://www.bleepingcomputer.com/news/security/us-no-fly-list-shared-on-a-hacking-forum-government-investigating/</t>
  </si>
  <si>
    <t>Yum!</t>
  </si>
  <si>
    <t xml:space="preserve">The brand owner of KFC, Pizza Hut, and Taco Bell fast food chains saw an undisclosed amount of personal user information stolen during a ransomware attack: names, driver's license numbers, and other ID card numbers. ~300 restaurants were shut down in the UK due to IT system disruptions caused by the attack. </t>
  </si>
  <si>
    <t>https://www.bleepingcomputer.com/news/security/kfc-pizza-hut-owner-discloses-data-breach-after-ransomware-attack/</t>
  </si>
  <si>
    <t>PharMerica</t>
  </si>
  <si>
    <t>Full names, addresses, dates of birth, social security numbers (SSNs), medications, and health insurance information of 5,815,591 people.</t>
  </si>
  <si>
    <t>https://www.bleepingcomputer.com/news/security/ransomware-gang-steals-data-of-58-million-pharmerica-patients/</t>
  </si>
  <si>
    <t>NATO</t>
  </si>
  <si>
    <t>Hacktivist group, SiegedSec, claimed to have broken into six NATO web portals and stolen &gt;3,000 files and 9GB of data. Threat intel biz CloudSEK analysis revealed 20 unclassified documents and 8,000 personnel records with names, job titles, email addresses, home addresses, and photos.</t>
  </si>
  <si>
    <t>https://www.theregister.com/2023/10/04/nato_data_attack/#:~:text=On%20Sunday%2C%20the%20SiegedSec%20crew,)%3B%20the%20Communities%20of%20Interest</t>
  </si>
  <si>
    <t>Topgolf Callaway</t>
  </si>
  <si>
    <t xml:space="preserve">Only full names, shipping and email addresses, phone numbers, order histories, account passwords and answers to security questions were exposed. </t>
  </si>
  <si>
    <t>https://www.bleepingcomputer.com/news/security/golf-gear-giant-callaway-data-breach-exposes-info-of-11-million/</t>
  </si>
  <si>
    <t>Sony</t>
  </si>
  <si>
    <t>Personal information belonging to current and former employees and their family members was stolen by Clop in a ransomware attack. Details unrevealed by Sony.</t>
  </si>
  <si>
    <t>The Verge</t>
  </si>
  <si>
    <t>https://www.theverge.com/2023/10/5/23905370/sony-interactive-entertainment-security-breach-confirmation</t>
  </si>
  <si>
    <t>https://www.bleepingcomputer.com/news/security/sony-confirms-data-breach-impacting-thousands-in-the-us/</t>
  </si>
  <si>
    <t>23andMe</t>
  </si>
  <si>
    <t>Hackers accessed the genetic site's user data via login guesses and information from DNA relatives (users opt into sharing info through DNA relatives for others to see). Stolen data included personal and some genetic ancestry and health details. After two breaches, one unverified, 23andMe now faces legal action.</t>
  </si>
  <si>
    <t>6.9m</t>
  </si>
  <si>
    <t>https://arstechnica.com/tech-policy/2023/12/hackers-stole-ancestry-data-of-6-9-million-users-23andme-finally-confirmed/</t>
  </si>
  <si>
    <t>https://www.bleepingcomputer.com/news/security/23andme-hit-with-lawsuits-after-hacker-leaks-stolen-genetics-data/</t>
  </si>
  <si>
    <t>Optus</t>
  </si>
  <si>
    <t>Sept 2022</t>
  </si>
  <si>
    <t>The telecom company faced a 'sophisticated attack' exposing ~10 million accounts including personal details (passport, driver’s licence &amp; Medicare numbers). Hacker demanded $1m ransom but later apologized and claimed data deletion, unverified.</t>
  </si>
  <si>
    <t>The Guardian</t>
  </si>
  <si>
    <t>https://www.theguardian.com/business/2022/sep/29/optus-data-breach-everything-we-know-so-far-about-what-happened</t>
  </si>
  <si>
    <t>https://www.optus.com.au/about/media-centre/media-releases/2022/09/optus-notifies-customers-of-cyberattack</t>
  </si>
  <si>
    <t xml:space="preserve">PayPal </t>
  </si>
  <si>
    <t>PayPal's breach involved unauthorized account access using credential stuffing (exploiting users reusing the same password for multiple accounts). It wasn't from a direct security lapse and hackers couldn't transact. PayPal reset passwords.</t>
  </si>
  <si>
    <t>Office of the Maine Attorney General</t>
  </si>
  <si>
    <t>https://apps.web.maine.gov/online/aeviewer/ME/40/766753f1-f9c7-4dc5-9a5c-fe0f3ff51c06.shtml</t>
  </si>
  <si>
    <t>https://www.bleepingcomputer.com/news/security/paypal-accounts-breached-in-large-scale-credential-stuffing-attack/</t>
  </si>
  <si>
    <t>Acer</t>
  </si>
  <si>
    <t>Acer suffered a data breach when a server was hacked, with threat actors selling 160GB of stolen data. The company said the incident hadn't impacted customer info.</t>
  </si>
  <si>
    <t>https://it.slashdot.org/story/23/03/07/1459230/acer-confirms-breach-after-hacker-offers-to-sell-stolen-data?utm_source=feedly1.0mainlinkanon&amp;utm_medium=feed</t>
  </si>
  <si>
    <t>https://www.bleepingcomputer.com/news/security/acer-confirms-breach-after-160gb-of-data-for-sale-on-hacking-forum/</t>
  </si>
  <si>
    <t>MSI</t>
  </si>
  <si>
    <t>Money Message ransomware group claims to have stolen MSI's source code, demanding $4 million to prevent leaks. MSI downplays impact and hasn't confirmed paying ransom, assuring no user data was affected but advises software downloads only from official sources.</t>
  </si>
  <si>
    <t>https://it.slashdot.org/story/23/04/07/152242/msi-confirms-breach-as-ransomware-gang-claims-responsibility?utm_source=feedly1.0mainlinkanon&amp;utm_medium=feed</t>
  </si>
  <si>
    <t>https://uk.pcmag.com/security/146322/msi-confirms-breach-as-ransomware-gang-claims-responsibility</t>
  </si>
  <si>
    <t>T-Mobile</t>
  </si>
  <si>
    <t>T-Mobile's system was exploited by 'bad actors' from November 2022 to January 2023, exposing customer data. It's their ninth hack since 2018, with a 2021 breach affecting 49 million customers.</t>
  </si>
  <si>
    <t>https://arstechnica.com/information-technology/2023/05/t-mobile-discloses-2nd-data-breach-of-2023-this-one-leaking-account-pins-and-more/</t>
  </si>
  <si>
    <t>T-Mobile faced its second 2023 data breach, exposing PINs and data from Feb to Mar. Though way smaller than the first 2023 breach (only affecting 836 customers), it adds to the $350mil 2021 settlement and erodes customer trust.</t>
  </si>
  <si>
    <t>https://www.bleepingcomputer.com/news/security/t-mobile-discloses-second-data-breach-since-the-start-of-2023/</t>
  </si>
  <si>
    <t>ChatGPT</t>
  </si>
  <si>
    <t>Over 101,000 ChatGPT accounts were stolen by malware last year. Breakdown: Asia-Pacific 40,999, Middle-East/Africa 24,925, Europe 16,951, Latin America 12,314, North America 4,737.  Malware extracts browser credentials from SQLite databases, using CryptProtectData function to decrypt stored data.</t>
  </si>
  <si>
    <t>https://www.bleepingcomputer.com/news/security/over-100-000-chatgpt-accounts-stolen-via-info-stealing-malware/</t>
  </si>
  <si>
    <t>TIAA</t>
  </si>
  <si>
    <t>The Teachers Insurance and Annuity Association of America</t>
  </si>
  <si>
    <t>This US retirement fund for teachers faced a data breach exposing client details. A former teacher-client is suing for inadequate cybersecurity and leaving data unencrypted on a vulnerable platform.</t>
  </si>
  <si>
    <t>hacked, poor security</t>
  </si>
  <si>
    <t>ClassAction</t>
  </si>
  <si>
    <t>https://www.classaction.org/news/teachers-insurance-and-annuity-association-of-america-hit-with-class-action-over-may-2023-data-breach#:~:text=Teachers%20Insurance%20and%20Annuity%20Association%20of%20America%20faces%20a%20class,of%20approximately%202.3%20million%20individuals.</t>
  </si>
  <si>
    <t>https://news.slashdot.org/story/23/06/30/2038234/schools-say-us-teachers-retirement-fund-was-breached-by-moveit-hackers?utm_source=feedly1.0mainlinkanon&amp;utm_medium=feed</t>
  </si>
  <si>
    <t>Microsoft</t>
  </si>
  <si>
    <t>Anonymous Sudan hacked Microsoft, accessed customer data, and caused outages. They offered the database for $50,000. But Microsoft claims no evidence of compromised customer data.</t>
  </si>
  <si>
    <t>https://www.bleepingcomputer.com/news/security/microsoft-denies-data-breach-theft-of-30-million-customer-accounts/</t>
  </si>
  <si>
    <t>China-backed hackers stole a cryptographic key from Microsoft, undetected for a month, accessing 25 organizations, including government. Microsoft's postmortem cites past system vulnerabilities.</t>
  </si>
  <si>
    <t>unknown</t>
  </si>
  <si>
    <t>NYT</t>
  </si>
  <si>
    <t>https://www.nytimes.com/2023/07/11/us/politics/china-hack-us-government-microsoft.html?smid=nytcore-ios-share</t>
  </si>
  <si>
    <t>https://www.wired.com/story/china-backed-hackers-steal-microsofts-signing-key-post-mortem/</t>
  </si>
  <si>
    <t>Roblox</t>
  </si>
  <si>
    <t>Data identifying Roblox creators was breached at a developers' conference, undisclosed for 2 years due to a third-party security issue.</t>
  </si>
  <si>
    <t>https://www.theverge.com/2023/7/21/23802742/roblox-data-breach-leak-developer-personal-information-exposed</t>
  </si>
  <si>
    <t>Discord.io</t>
  </si>
  <si>
    <t>Unidentified person listed user data for sale on darknet. Discord.io enables custom Discord invites.</t>
  </si>
  <si>
    <t>Stackdiary</t>
  </si>
  <si>
    <r>
      <rPr>
        <rFont val="Arial"/>
        <color rgb="FF000000"/>
        <sz val="9.0"/>
        <u/>
      </rPr>
      <t>https://stackdiary.com/the-data-of-760000-discord-io-users-was-put-up-for-sale-on-the-darknet/</t>
    </r>
    <r>
      <rPr>
        <rFont val="Arial"/>
        <color rgb="FF000000"/>
        <sz val="9.0"/>
      </rPr>
      <t>/</t>
    </r>
  </si>
  <si>
    <t>Clorox</t>
  </si>
  <si>
    <t>Clorox detected unauthorized IT activity in August 2023. By September, the contained hack led to slower production and a 2% stock drop. Specific affected files undisclosed</t>
  </si>
  <si>
    <t>https://it.slashdot.org/story/23/10/04/1917217/clorox-security-breach-linked-to-group-behind-casino-hacks?utm_source=feedly1.0mainlinkanon&amp;utm_medium=feed</t>
  </si>
  <si>
    <t>Latitude Financial</t>
  </si>
  <si>
    <t>14 million customer records, including driver's licence numbers, passport numbers and financial statements, stolen in a cyber-attack that was worse than the company initially reported.</t>
  </si>
  <si>
    <t>Privacy Commissioner</t>
  </si>
  <si>
    <t>https://www.privacy.org.nz/publications/statements-media-releases/new-zealands-biggest-data-breach-shows-retention-is-the-sleeping-giant-of-data-security/</t>
  </si>
  <si>
    <t>Toyota</t>
  </si>
  <si>
    <t>An access key to a data server storing customer email addresses and management numbers was mistakenly published publically on GitHub for five years.</t>
  </si>
  <si>
    <t xml:space="preserve">poor security </t>
  </si>
  <si>
    <t>https://yro.slashdot.org/story/22/10/10/2032250/toyota-discloses-data-leak-after-access-key-exposed-on-github?utm_source=feedly1.0mainlinkanon&amp;utm_medium=feed</t>
  </si>
  <si>
    <t>Shein</t>
  </si>
  <si>
    <t>Online fast fashion retailer suffered a breach of its login credentials in 2018 but failed to notify its customers</t>
  </si>
  <si>
    <t>https://techcrunch.com/2022/10/13/shein-zoetop-fined-1-9m-data-breach/?guccounter=1</t>
  </si>
  <si>
    <t>Indonesia's health agency</t>
  </si>
  <si>
    <t>BPJS Kesehatan</t>
  </si>
  <si>
    <t>The ID numbers, salary and phone numbers of every single man, woman and child in the country was stolen.</t>
  </si>
  <si>
    <t>Kr Asia</t>
  </si>
  <si>
    <t>https://kr-asia.com/shoddy-data-protection-in-indonesia-threatens-personal-security-of-citizens</t>
  </si>
  <si>
    <t>CoinSquare</t>
  </si>
  <si>
    <t>Major Canadian Crypto Exchange. company claims customer assets are “secure in cold storage and are not at risk.”</t>
  </si>
  <si>
    <t>Coin Desk</t>
  </si>
  <si>
    <t>https://www.coindesk.com/tech/2022/11/26/major-canadian-crypto-exchange-coinsquare-says-client-data-breached/</t>
  </si>
  <si>
    <t>Indian Railways</t>
  </si>
  <si>
    <t>Stolen data includes usernames, emails, phone numbers, gender, city, state, invoices</t>
  </si>
  <si>
    <t>Techlo Media</t>
  </si>
  <si>
    <t>https://techlomedia.in/2022/12/data-of-30-million-indian-railways-users-is-up-for-sale-on-a-dark-forum-96589/</t>
  </si>
  <si>
    <t>Indonesian SIM cards</t>
  </si>
  <si>
    <t>A vast data hack of 1.3 bn SIM registrations evealing national identity numbers, phone numbers, and more.</t>
  </si>
  <si>
    <t>1.3bn</t>
  </si>
  <si>
    <t>Rest of World</t>
  </si>
  <si>
    <t>https://restofworld.org/2022/indonesia-hacked-sim-bjorka/</t>
  </si>
  <si>
    <t>LastPass</t>
  </si>
  <si>
    <t>Popular password manager breached; basic account info exposed. Sensitive vault data like usernames and passwords remained safely encrypted.</t>
  </si>
  <si>
    <t>https://techcrunch.com/2022/12/14/parsing-lastpass-august-data-breach-notice/</t>
  </si>
  <si>
    <t>https://www.forbes.com/sites/daveywinder/2023/03/03/why-you-should-stop-using-lastpass-after-new-hack-method-update/</t>
  </si>
  <si>
    <t>Twitter</t>
  </si>
  <si>
    <t>Over 200 million Twitter emails were stolen and posted online, possibly before Musk's 2022 takeover.</t>
  </si>
  <si>
    <t xml:space="preserve">web </t>
  </si>
  <si>
    <t>Wired</t>
  </si>
  <si>
    <t>https://www.wired.com/story/twitter-leak-200-million-user-email-addresses/</t>
  </si>
  <si>
    <t>City of Amagasaki, Japan</t>
  </si>
  <si>
    <t>An unnamed government official lost his bag after a night's drinking. It contained a USB stick with sensitive data of the entire city's residents. USB stick was encrypted and passworded.</t>
  </si>
  <si>
    <t>https://www.bbc.co.uk/news/world-asia-61921222</t>
  </si>
  <si>
    <t>Shanghai Police</t>
  </si>
  <si>
    <t>A database containing records of over a billion Chinese civilians – allegedly stolen from the Shanghai Police. Addresses, police records and national ID numbers. Potentially one of the largest data breaches in history. Details repressed and censored by Chinese media.</t>
  </si>
  <si>
    <t>"one billion"</t>
  </si>
  <si>
    <t>https://www.theregister.com/2022/07/05/shanghai_police_database_for_sell/</t>
  </si>
  <si>
    <t>Zero day vulnerability allowed a threat actor to create profiles of 5.4 million Twitter users inc. a verified phone number or email address, and scraped public information, such as follower counts, screen name, login name, etc</t>
  </si>
  <si>
    <t>https://www.bleepingcomputer.com/news/security/twitter-confirms-zero-day-used-to-expose-data-of-54-million-accounts/</t>
  </si>
  <si>
    <t>Plex</t>
  </si>
  <si>
    <t>Intruders access password data, usernames, and emails for at least half of its 30 million users.</t>
  </si>
  <si>
    <t>Ars technica</t>
  </si>
  <si>
    <t>https://arstechnica.com/information-technology/2022/08/plex-imposes-password-reset-after-hackers-steal-data-for-15-million-users/</t>
  </si>
  <si>
    <t>Dubai Real Estate Leak</t>
  </si>
  <si>
    <t>Data leak exposes how criminals, officials, and sanctioned politicians poured money into Dubai real estate including more than 100 members of Russia's political elite, public officials, or businesspeople close to the Kremlin, as well as dozens of Europeans implicated in money laundering and corruption</t>
  </si>
  <si>
    <t>E24</t>
  </si>
  <si>
    <t>https://e24.no/internasjonal-oekonomi/i/Bj97B0/dubai-uncovered-data-leak-exposes-how-criminals-officials-and-sanctioned-politicians-poured-money-into-dubai-real-estate</t>
  </si>
  <si>
    <t>Heroku</t>
  </si>
  <si>
    <t>A compromised token was used by attackers to exfiltrate customers' hashed and salted passwords from "a database." on the Salesforce-owned cloud platform.</t>
  </si>
  <si>
    <t>https://www.bleepingcomputer.com/news/security/heroku-admits-that-customer-credentials-were-stolen-in-cyberattack/</t>
  </si>
  <si>
    <t>Mailchimp</t>
  </si>
  <si>
    <t>Hackers gained access to internal customer support and account management tools of the email marketing company to steal audience data and conduct phishing attacks.</t>
  </si>
  <si>
    <t>https://www.bleepingcomputer.com/news/security/hackers-breach-mailchimps-internal-tools-to-target-crypto-customers/</t>
  </si>
  <si>
    <t>PayHere</t>
  </si>
  <si>
    <t>Sri Lankan payment gateway PayHere suffered a data breach exposing more than 65GB of payment records including over 1.5M unique email addresses. (IP and physical addresses, names, phone numbers, purchase histories and partially obfuscated credit card data (card type, first 6 and last 4 digits plus expiry date).</t>
  </si>
  <si>
    <t>Pay Here</t>
  </si>
  <si>
    <t>https://blog.payhere.lk/ensuring-integrity-on-payhere-cybersecurity-incident/</t>
  </si>
  <si>
    <t>CDEK</t>
  </si>
  <si>
    <t xml:space="preserve">UNVERIFIED. Russian courier service CDEK was hacked by Ukrainian hacker group "IT Army" - including 19M unique email addresses along with names and phone numbers. </t>
  </si>
  <si>
    <t>19m</t>
  </si>
  <si>
    <t>https://twitter.com/haveibeenpwned/status/1504343470072549377?lang=en</t>
  </si>
  <si>
    <t>Washington State Dpt of Licensing</t>
  </si>
  <si>
    <t>The Washington State Department of Licensing said the personal information of potentially millions of licensed professionals may have been exposed after it detected suspicious activity on its online licensing system.</t>
  </si>
  <si>
    <t>Seattle Times</t>
  </si>
  <si>
    <t>https://www.seattletimes.com/business/breach-at-state-licensing-agency-may-have-exposed-data-from-1000s-of-professionals/</t>
  </si>
  <si>
    <t>Red Cross</t>
  </si>
  <si>
    <t>A network intrusion at the International Committee for the Red Cross (ICRC) in January led to the theft of personal information on more than 500,000 people receiving assistance from the group. KrebsOnSecurity has learned that the email address used by a cybercriminal actor who offered to sell the stolen ICRC data also was used to register multiple domain names the FBI says are tied to a sprawling media influence operation originating from Iran.</t>
  </si>
  <si>
    <t>Arsetechnia</t>
  </si>
  <si>
    <t>https://arstechnica.com/information-technology/2022/01/red-cross-hack-compromises-the-personal-data-of-515k-highly-vulnerable-people/</t>
  </si>
  <si>
    <t>Open Subtitles</t>
  </si>
  <si>
    <t>https://forum.opensubtitles.org/viewtopic.php?t=17685</t>
  </si>
  <si>
    <t>FlexBooker</t>
  </si>
  <si>
    <t>appointment scheduling service</t>
  </si>
  <si>
    <t>3.7m</t>
  </si>
  <si>
    <t>https://www.bleepingcomputer.com/news/security/flexbooker-discloses-data-breach-over-37-million-accounts-impacted/</t>
  </si>
  <si>
    <t>LINE Pay</t>
  </si>
  <si>
    <t>https://www.theregister.com/2021/12/07/line_pay_leaks_around_133000/</t>
  </si>
  <si>
    <t>Robinhood</t>
  </si>
  <si>
    <t>a malicious hacker had socially engineered a customer service representative over the phone November 3 to get access to customer support systems. That allowed the hacker to obtain customer names and email addresses, but also the additional full names, dates of birth and ZIP codes of 310 customers.</t>
  </si>
  <si>
    <t>5m</t>
  </si>
  <si>
    <t>https://techcrunch.com/2021/11/09/robinhood-data-breach/?guccounter=1</t>
  </si>
  <si>
    <t>GoDaddy</t>
  </si>
  <si>
    <t>Security Incident Affecting Managed WordPress Servic</t>
  </si>
  <si>
    <t>SEC</t>
  </si>
  <si>
    <t>Travelio</t>
  </si>
  <si>
    <t xml:space="preserve">The Indonesian real estate website Travelio suffered a data breach of over 470k customer accounts. The data included email addresses, names, password hashes, phone numbers and for some accounts, dates of birth, physical address and Facebook auth tokens. </t>
  </si>
  <si>
    <t>470K</t>
  </si>
  <si>
    <t>HaveIBeenPwned</t>
  </si>
  <si>
    <t>https://www.riskbasedsecurity.com/2021/12/14/dark-web-roundup-november-2021/</t>
  </si>
  <si>
    <t>Hot Hardware</t>
  </si>
  <si>
    <t>https://hothardware.com/news/acer-confirms-hacked-again-60gb-stolen-customer-data</t>
  </si>
  <si>
    <t>Brewdog</t>
  </si>
  <si>
    <t>BrewDog, one of the world's largest craft beer brewers, has exposed personally identifiable information (PII) belonging to more than 200,000 of its shareholders and customers,</t>
  </si>
  <si>
    <t>Tech Radar</t>
  </si>
  <si>
    <t>https://www.techradar.com/news/brewdog-exposes-data-of-200000-customers-and-shareholders</t>
  </si>
  <si>
    <t>Experian SA</t>
  </si>
  <si>
    <t>South Africa</t>
  </si>
  <si>
    <t>Handed over personal information of their South African customers to a fraudulent client.</t>
  </si>
  <si>
    <t>Uni of Hawaii</t>
  </si>
  <si>
    <t>https://westoahu.hawaii.edu/cyber/global-weekly-exec-summary/experian-security-breach-in-south-africa/#:~:text=Experian%20disclosed%20the%20data%20breach,local%20businesses%20(Cimpanu%202020).</t>
  </si>
  <si>
    <t>Nvidia</t>
  </si>
  <si>
    <t>CNN Business</t>
  </si>
  <si>
    <t>https://edition.cnn.com/2022/03/01/tech/nvidia-information-leak/</t>
  </si>
  <si>
    <t>https://it.slashdot.org/story/22/03/01/1523248/nvidia-says-employee-company-information-leaked-online-after-cyber-attack?utm_source=feedly1.0mainlinkanon&amp;utm_medium=feed</t>
  </si>
  <si>
    <t>Identity and access management provider Okta</t>
  </si>
  <si>
    <t>https://www.theverge.com/2022/4/20/23034360/okta-lapsus-hack-investigation-breach-25-minutes</t>
  </si>
  <si>
    <t>https://twitter.com/BillDemirkapi/status/1508527487655067660/</t>
  </si>
  <si>
    <t>Royal Enfield</t>
  </si>
  <si>
    <t>Motorcycle maker Royal Enfield left a database publicly exposed that resulted in the inadvertent publication of over 400k customers. (Email and physical addresses, names, motorcycle information, social media profiles, passwords, and other personal information)</t>
  </si>
  <si>
    <t>The Quint</t>
  </si>
  <si>
    <t>https://www.thequint.com/news/india/royal-enfield-exposed-database-containing-450000-customer-data-cyber-security-expert</t>
  </si>
  <si>
    <t>Avvo</t>
  </si>
  <si>
    <t xml:space="preserve">A data breach of the lawyer directory service released 4.1M unique email addresses alongside SHA-1 hashes, most likely representing user passwords. </t>
  </si>
  <si>
    <t>4.1m</t>
  </si>
  <si>
    <t>https://www.troyhunt.com/breach-disclosure-blow-by-blow-heres-why-its-so-hard/</t>
  </si>
  <si>
    <t>Aimware</t>
  </si>
  <si>
    <t>Video game cheats website "Aimware" suffered a data breach of subscribers' personal information (email and IP addresses, usernames, forum posts, private messages, website activity and passwords stored as salted MD5 hashes)</t>
  </si>
  <si>
    <t>Twitch</t>
  </si>
  <si>
    <t xml:space="preserve">Full source code breach of the streaming gaming site revealed a trove of internal data &amp; documents including core config packages, devtools, and payments to top streamers. </t>
  </si>
  <si>
    <t>https://www.bbc.co.uk/news/technology-58817658</t>
  </si>
  <si>
    <t>Syniverse</t>
  </si>
  <si>
    <t>"A company that is a critical part of the global telecommunications infrastructure used by AT&amp;T, T-Mobile, Verizon and several others around the world such as Vodafone and China Mobile, quietly disclosed that hackers were inside its systems for years, impacting more than 200 of its clients and potentially millions of cellphone users worldwide."</t>
  </si>
  <si>
    <t>https://www.vice.com/en/article/z3xpm8/company-that-routes-billions-of-text-messages-quietly-says-it-was-hacked</t>
  </si>
  <si>
    <t>Pandora Papers</t>
  </si>
  <si>
    <t>Millions of documents reveal offshore deals and assets of more than 100 billionaires, 30 world leaders and 300 public officials</t>
  </si>
  <si>
    <t>Guardian</t>
  </si>
  <si>
    <t>https://www.theguardian.com/news/2021/oct/03/pandora-papers-biggest-ever-leak-of-offshore-data-exposes-financial-secrets-of-rich-and-powerful</t>
  </si>
  <si>
    <t>Neiman Marcus</t>
  </si>
  <si>
    <t>Occurred sometime in May 2020 after "an unauthorized party" obtained the personal information of some Neiman Marcus customers from their online accounts.</t>
  </si>
  <si>
    <t>https://arstechnica.com/information-technology/2021/10/neiman-marcus-data-breach-impacts-4-6-million-customers/</t>
  </si>
  <si>
    <t>Epik</t>
  </si>
  <si>
    <t xml:space="preserve">An Internet-services company for concealing online identities, popular with the far right </t>
  </si>
  <si>
    <t>https://arstechnica.com/information-technology/2021/09/epik-data-breach-impacts-15-million-users-including-non-customers/</t>
  </si>
  <si>
    <t>Thailand visitors</t>
  </si>
  <si>
    <t>Any foreigner who has travelled to Thailand in the last decade ‘might have had their information exposed’</t>
  </si>
  <si>
    <t>100m</t>
  </si>
  <si>
    <t>South China Morning Post</t>
  </si>
  <si>
    <t>https://www.scmp.com/news/asia/southeast-asia/article/3149475/details-some-100-million-visitors-thailand-exposed-online</t>
  </si>
  <si>
    <t xml:space="preserve">T-Mobile </t>
  </si>
  <si>
    <t>Exposed the names, date of birth, Social Security number and driver’s license/ID information of more than 40 million current, former or prospective customers who applied for credit with the company. T-mobile paid a $500m settlement.</t>
  </si>
  <si>
    <t>Krebson Security</t>
  </si>
  <si>
    <t>https://krebsonsecurity.com/2021/08/t-mobile-breach-exposed-ssn-dob-of-40m-people/</t>
  </si>
  <si>
    <t>Contact tracing data</t>
  </si>
  <si>
    <t>A thousand web apps mistakenly exposed 38 million records on the open internet, including data from a number of Covid-19 contact tracing platforms, vaccination sign-ups, job application portals, and employee databases.</t>
  </si>
  <si>
    <t>38m</t>
  </si>
  <si>
    <t>https://www.wired.com/story/microsoft-power-apps-data-exposed/</t>
  </si>
  <si>
    <t>Estonian gov</t>
  </si>
  <si>
    <t>A hacker was able to obtain over 280,000 personal identity photos following an attack on the state information system last Friday.</t>
  </si>
  <si>
    <t>News ERR</t>
  </si>
  <si>
    <t>https://news.err.ee/1608291072/hacker-downloads-close-to-300-000-personal-id-photos</t>
  </si>
  <si>
    <t>Guntrader</t>
  </si>
  <si>
    <t>UK firearms sales website</t>
  </si>
  <si>
    <t>Criminals have hacked into a Gumtree-style website used for buying and selling firearms, making off with a 111,000-entry database containing names, mobile phone numbers, email addresses, user geolocation data, and more including bcrypt-hashed passwords used by gun shops across the UK.</t>
  </si>
  <si>
    <t>https://www.theregister.com/2021/07/23/guntrader_hacked_111k_users_sql_database/</t>
  </si>
  <si>
    <t>Linkedin</t>
  </si>
  <si>
    <t>The hacker appears to have misused the official LinkedIn API to scrape the data, the same method used in a similar breach back in April. User details, but no passwords.</t>
  </si>
  <si>
    <t>700m</t>
  </si>
  <si>
    <t>9 to 5 mac</t>
  </si>
  <si>
    <t>https://9to5mac.com/2021/06/29/linkedin-breach/</t>
  </si>
  <si>
    <t>VW</t>
  </si>
  <si>
    <t>Phone numbers, email addresses and some sensitive credit data. Nearly all those impacted were current or potential customers of Audi, one of the German automaker's luxury brands</t>
  </si>
  <si>
    <t>https://www.reuters.com/business/autos-transportation/vw-says-data-breach-vendor-impacted-33-million-people-north-america-2021-06-11/</t>
  </si>
  <si>
    <t>MacDonalds</t>
  </si>
  <si>
    <t>Unknown detail</t>
  </si>
  <si>
    <t>Wall St Journal</t>
  </si>
  <si>
    <t>https://www.wsj.com/articles/mcdonalds-hit-by-data-breach-in-south-korea-taiwan-11623412800</t>
  </si>
  <si>
    <t>Air India</t>
  </si>
  <si>
    <t>Passenger’s name, date of birth, contact information, passport information, ticket information, frequent flyer data and credit card information.</t>
  </si>
  <si>
    <t>Indian Express</t>
  </si>
  <si>
    <t>https://indianexpress.com/article/explained/air-india-sita-data-breach-explained-7325501/</t>
  </si>
  <si>
    <t>Omiai dating app</t>
  </si>
  <si>
    <t>Japanese dating app</t>
  </si>
  <si>
    <t>Addresses and dates of birth from identification, including passports, drivers’ licenses and health insurance cards, provided to the company.</t>
  </si>
  <si>
    <t>Japan Times</t>
  </si>
  <si>
    <t>https://www.japantimes.co.jp/news/2021/05/22/business/tech/omiai-dating-app-hack-japan/</t>
  </si>
  <si>
    <t>Amazon Reviews</t>
  </si>
  <si>
    <t>Database exposing an organized fake reviews scam affecting Amazon. The server contained a treasure trove of direct messages between Amazon vendors and customers willing to provide fake reviews in exchange for free products</t>
  </si>
  <si>
    <t>Safety Detectives</t>
  </si>
  <si>
    <t>https://www.safetydetectives.com/blog/amazon-reviews-leak-report/</t>
  </si>
  <si>
    <t>Peloton</t>
  </si>
  <si>
    <t>https://arstechnica.com/gadgets/2021/05/peloton-takes-3-months-to-fix-flaw-that-exposed-users-private-information/#p3</t>
  </si>
  <si>
    <t>Digital Ocean</t>
  </si>
  <si>
    <t>https://techcrunch.com/2021/04/28/digitalocean-customer-billing-data-breach/</t>
  </si>
  <si>
    <t>Park Mobile</t>
  </si>
  <si>
    <t>mobile parking app</t>
  </si>
  <si>
    <t>Customer email addresses, dates of birth, phone numbers, license plate numbers, hashed passwords and mailing addresses.</t>
  </si>
  <si>
    <t>https://krebsonsecurity.com/2021/04/parkmobile-breach-exposes-license-plate-data-mobile-numbers-of-21m-users/</t>
  </si>
  <si>
    <t>Ubiquiti</t>
  </si>
  <si>
    <t>Unknown amount of user data breached</t>
  </si>
  <si>
    <t>ZDNet</t>
  </si>
  <si>
    <t>https://www.zdnet.com/article/ubiquiti-tells-customers-to-change-passwords-after-security-breach/</t>
  </si>
  <si>
    <t>Meet Mindful</t>
  </si>
  <si>
    <t>Dating site user data includes real names, phone numbers, Facebook account codes, latitude &amp; longtitude. Thankfully private messages were not leaked.</t>
  </si>
  <si>
    <t>ZDnet</t>
  </si>
  <si>
    <t>https://www.zdnet.com/article/hacker-leaks-data-of-2-28-million-dating-site-users/</t>
  </si>
  <si>
    <t>Experian Brazil</t>
  </si>
  <si>
    <t>Details hazy</t>
  </si>
  <si>
    <t>220m</t>
  </si>
  <si>
    <t>https://www.zdnet.com/article/experian-challenged-over-massive-data-leak-in-brazil/</t>
  </si>
  <si>
    <t>Gab</t>
  </si>
  <si>
    <t>Over 70GB of data from the far-right social media site was hacked. Alll posts, messages, passwords from all users were breached.</t>
  </si>
  <si>
    <t>100K</t>
  </si>
  <si>
    <t>https://www.wired.com/story/gab-hack-data-breach-ddosecrets/</t>
  </si>
  <si>
    <t>Star Alliance</t>
  </si>
  <si>
    <t>The Star Alliance of airlines including Singapore Airlines, Lufthansa and United, said on Thursday it had been the victim of a cyber attack leading to a breach of passenger data. Lufthansa, Cathay Pacific and Air New Zealand were also affected. Breached data was limited to "name, tier status and membership number”</t>
  </si>
  <si>
    <t>https://www.theguardian.com/world/2021/mar/05/airline-data-hack-hundreds-of-thousands-of-star-alliance-passengers-details-stolen</t>
  </si>
  <si>
    <t>Facebook</t>
  </si>
  <si>
    <t>Phone numbers, full names, locations, email addresses, and biographical information on 533 million users from 106 countries. Scraped due to a vulnerability "patched in 2019".</t>
  </si>
  <si>
    <t>533m</t>
  </si>
  <si>
    <t>Business Insider</t>
  </si>
  <si>
    <t>https://www.businessinsider.com/stolen-data-of-533-million-facebook-users-leaked-online-2021-4?r=US&amp;IR=T</t>
  </si>
  <si>
    <t>Ledger</t>
  </si>
  <si>
    <t>A threat actor has leaked the stolen email and mailing addresses for Ledger cryptocurrency wallet users on a hacker forum for free.</t>
  </si>
  <si>
    <t>https://www.bleepingcomputer.com/news/security/physical-addresses-of-270k-ledger-owners-leaked-on-hacker-forum/</t>
  </si>
  <si>
    <t>T-mobile</t>
  </si>
  <si>
    <t>The information exposed in this breach includes phone numbers, call records, and the number of lines on an account.</t>
  </si>
  <si>
    <t>https://www.bleepingcomputer.com/news/security/t-mobile-data-breach-exposed-phone-numbers-call-records/</t>
  </si>
  <si>
    <t>The Hospital Group</t>
  </si>
  <si>
    <t xml:space="preserve">Hackers compromised the plastic surgery firm and threatened to release over 900 gigabytes of private surgery photographs. </t>
  </si>
  <si>
    <t>https://www.bbc.co.uk/news/technology-55439190</t>
  </si>
  <si>
    <t>SolarWinds</t>
  </si>
  <si>
    <t>Suspected Russian hackers compromised network monitoring software used by the Pentagon, intelligence agencies, nuclear labs and many Fortune 500 companies. A tainted software update acted as a trojan horse. An unknown number of companies and individuals might be affected.</t>
  </si>
  <si>
    <t>New York Times</t>
  </si>
  <si>
    <t>https://www.nytimes.com/2020/12/14/us/politics/russia-hack-nsa-homeland-security-pentagon.html</t>
  </si>
  <si>
    <t>Ho Mobile</t>
  </si>
  <si>
    <t>Italian mobile operator owned by Vodaphone is now taking the rare step of offering to replace the SIM cards of all affected customers. Data hacked full names, telephone numbers, social security numbers, email addresses, dates and places of birth, nationality, and home addresses.</t>
  </si>
  <si>
    <t>ZD Net</t>
  </si>
  <si>
    <t>https://www.zdnet.com/article/italian-mobile-operator-offers-to-replace-sim-cards-after-massive-data-breach/</t>
  </si>
  <si>
    <t>Spotify</t>
  </si>
  <si>
    <t>Undisclosed number of users had their email addresses and passwords left open online. Spotify said the vulnerability existed as far back as April 9 but wasn’t discovered until November 12.</t>
  </si>
  <si>
    <t>https://techcrunch.com/2020/12/10/spotify-resets-user-passwords-after-a-bug-exposed-private-account-information/?guccounter=1&amp;guce_referrer=aHR0cHM6Ly9pdC5zbGFzaGRvdC5vcmcv&amp;guce_referrer_sig=AQAAAMGNMpm00iWQgE4Zhw1q6_5FoeBsJUbWyKEniavHxaZR-X1oBrnXuFtvr9B4IYBK1C6x9AfEqEZwzfJaZhhINvaBZltXd-DF036LVwwnAhWAMQpD98Lahw3sni-Z2bS6qEIjPgodPdZHV3DRJWLrNt0bOoohuh_DWM8-IngVnCl6</t>
  </si>
  <si>
    <t>Drizly</t>
  </si>
  <si>
    <t xml:space="preserve">Alcohol delivery service hacked with email addresses, DOB, hashed passwords and some home addresses leaked. </t>
  </si>
  <si>
    <t>https://techcrunch.com/2020/07/28/drizly-data-breach/</t>
  </si>
  <si>
    <t>GEDmatch</t>
  </si>
  <si>
    <t>DNA data on up to 1.4m users of this geneaology site may have been hacked.</t>
  </si>
  <si>
    <t>misc, health</t>
  </si>
  <si>
    <t>https://www.nytimes.com/2020/08/01/technology/gedmatch-breach-privacy.html?referringSource=articleShare</t>
  </si>
  <si>
    <t>Call of Duty / Activision</t>
  </si>
  <si>
    <t xml:space="preserve">Login data for users of the popular video games may have compromised. Activision refutes the claim. </t>
  </si>
  <si>
    <t>https://www.forbes.com/sites/daveywinder/2020/09/21/activision-accounts-hacked-500000-call-of-duty-players-could-be-affected-report/?sh=7ca04e0f7bbe</t>
  </si>
  <si>
    <t>Zhenhua</t>
  </si>
  <si>
    <t>Personal details of millions of notable people around the world found in a leaked database compiled by a Chinese tech company with reported links to the country’s military and intelligence networks. Mostly compiled from social media profiles.</t>
  </si>
  <si>
    <t>https://www.theguardian.com/world/2020/sep/14/zhenhua-data-full-list-leak-database-personal-details-millions-china-tech-company</t>
  </si>
  <si>
    <t>Cense AI</t>
  </si>
  <si>
    <t>Medical records from an artificial intelligence company were left open online.</t>
  </si>
  <si>
    <t>tech, health</t>
  </si>
  <si>
    <t>PC Mag</t>
  </si>
  <si>
    <t>https://uk.pcmag.com/encryption/128228/report-ai-company-leaks-over-25m-medical-records</t>
  </si>
  <si>
    <t>Nintendo</t>
  </si>
  <si>
    <t>Unauthorised access to thousands of Nintendo Switch accounts. Hackers were able to use saved payment details to make purchases.</t>
  </si>
  <si>
    <t>300K</t>
  </si>
  <si>
    <t>https://techcrunch.com/2020/06/09/nintendo-accounts-affected-breach/?guccounter=1&amp;guce_referrer=aHR0cHM6Ly9nYW1lcy5zbGFzaGRvdC5vcmcvc3RvcnkvMjAvMDYvMDkvMTg0MjIzNy9uaW50ZW5kby1ub3ctc2F5cy0zMDAwMDAtYWNjb3VudHMtYnJlYWNoZWQtYnktaGFja2Vycz91dG1fc291cmNlPXJzczEuMG1haW5saW5rYW5vbiZ1dG1fbWVkaXVtPWZlZWQ&amp;guce_referrer_sig=AQAAAIXC8IvaFgPdt5t-CUm7yPEhKblsmme4097SUtEWdSkjyrdsxVYiQBfbdpekm_Y29T7evb-5zNNl2-ZHfNSmVkKFnE5vClvpvsaPYykOO8WtAX76dZoL2EUkVL8XfmMQBVlNF43T5MATGNeSnwn6Ta6ELVBXnf_ZTsmVaemjk1Vf</t>
  </si>
  <si>
    <t>Pakistani mobile operators</t>
  </si>
  <si>
    <t>Personal details stolen from Jazz and other mobile networks were put up for sale for $2.1m in bitcoin.</t>
  </si>
  <si>
    <t>115m</t>
  </si>
  <si>
    <t>https://www.zdnet.com/article/details-of-44m-pakistani-mobile-users-leaked-online-part-of-bigger-115m-cache/</t>
  </si>
  <si>
    <t>US Marshals Service</t>
  </si>
  <si>
    <t>Prisoners had sensitive personal data stolen in December 2019. They were notified five months later.</t>
  </si>
  <si>
    <t>287K</t>
  </si>
  <si>
    <t>NextGov</t>
  </si>
  <si>
    <t>https://www.nextgov.com/cybersecurity/2020/05/us-marshals-service-breach-exposed-personal-data-387000-prisoners/165305/</t>
  </si>
  <si>
    <t>db8151dd</t>
  </si>
  <si>
    <t>"mystery breach"</t>
  </si>
  <si>
    <t>Aggregated data from multiple websites was discovered in an open database. It included addresses, job titles, phone numbers and social media profiles. The breach was dubbed 'db8151dd'.</t>
  </si>
  <si>
    <t>22m</t>
  </si>
  <si>
    <t>9 to 5 Mac</t>
  </si>
  <si>
    <t>https://9to5mac.com/2020/05/15/db8151dd/</t>
  </si>
  <si>
    <t>EasyJet</t>
  </si>
  <si>
    <t xml:space="preserve">The airline became aware of a hack in January, but didn't notify customers until April. Email addresses, travel details and credit card details were stolen. </t>
  </si>
  <si>
    <t>9m</t>
  </si>
  <si>
    <t>https://www.bbc.co.uk/news/technology-52722626</t>
  </si>
  <si>
    <t xml:space="preserve">Customer support records spanning 14 years were left online without password protection. </t>
  </si>
  <si>
    <t>250m</t>
  </si>
  <si>
    <t>https://www.forbes.com/sites/daveywinder/2020/01/22/microsoft-security-shocker-as-250-million-customer-records-exposed-online/#91076484d1b3</t>
  </si>
  <si>
    <t>Dutch Government</t>
  </si>
  <si>
    <t>Two hard drives with data from 6.9m registered organ donors went missing. They contained contact details, ID numbers &amp; signatures.</t>
  </si>
  <si>
    <t>lost device</t>
  </si>
  <si>
    <t>https://www.zdnet.com/article/dutch-government-loses-hard-drives-with-data-of-6-9-million-registered-donors/</t>
  </si>
  <si>
    <t>Virgin Media</t>
  </si>
  <si>
    <t xml:space="preserve">A poorly-configured database left names, email addresses and phone numbers exposed for 10 months. </t>
  </si>
  <si>
    <t>900K</t>
  </si>
  <si>
    <t xml:space="preserve">BBC </t>
  </si>
  <si>
    <t>https://www.bbc.co.uk/news/business-51760510</t>
  </si>
  <si>
    <t>Boots Advantage Card</t>
  </si>
  <si>
    <t>Hackers accessed Advantage Card records, but no financial data was stolen. Payment using points was suspended.</t>
  </si>
  <si>
    <t>150K</t>
  </si>
  <si>
    <t>Which</t>
  </si>
  <si>
    <t>https://www.which.co.uk/news/2020/03/boots-advantage-card-tesco-clubcard-both-suffer-data-breaches-in-same-week/</t>
  </si>
  <si>
    <t>Tesco Clubcard</t>
  </si>
  <si>
    <t>Details of accrued loyalty points were accessed, but financial details weren't exposed.</t>
  </si>
  <si>
    <t>600K</t>
  </si>
  <si>
    <t>https://www.techradar.com/uk/news/tesco-clubcard-holders-warned-of-major-security-issue</t>
  </si>
  <si>
    <t>Marriott Hotels</t>
  </si>
  <si>
    <t xml:space="preserve">Guest records were accessed using the logins of two employees between mid-Jan and end of Feb. </t>
  </si>
  <si>
    <t>5.2m</t>
  </si>
  <si>
    <t>Marriott</t>
  </si>
  <si>
    <t>https://news.marriott.com/news/2020/03/31/marriott-international-notifies-guests-of-property-system-incident</t>
  </si>
  <si>
    <t>Zoom</t>
  </si>
  <si>
    <t xml:space="preserve">Email addresses, passwords and personal meeting URLs were sold on the dark web. It led to a host of zoom-bombing pranks. </t>
  </si>
  <si>
    <t>500K</t>
  </si>
  <si>
    <t>We Live Security</t>
  </si>
  <si>
    <t>https://www.welivesecurity.com/2020/04/16/half-million-zoom-accounts-sale-dark-web/</t>
  </si>
  <si>
    <t>Israeli government</t>
  </si>
  <si>
    <t>Names, addresses, and ID card numbers of every Israeli voter were found on an insecure website belonging to Elector, a political communications app.</t>
  </si>
  <si>
    <t>6.5m</t>
  </si>
  <si>
    <t>NYTimes</t>
  </si>
  <si>
    <t>https://www.nytimes.com/2020/02/10/world/middleeast/israeli-voters-leak.html?action=click&amp;module=News&amp;pgtype=Homepage</t>
  </si>
  <si>
    <t>MGM Hotels</t>
  </si>
  <si>
    <t>Data stolen during an 2019 hack of an MGM server was published on a hacking forum.</t>
  </si>
  <si>
    <t>10.6m</t>
  </si>
  <si>
    <t>https://www.zdnet.com/article/exclusive-details-of-10-6-million-of-mgm-hotel-guests-posted-on-a-hacking-forum/</t>
  </si>
  <si>
    <t>Buchbinder Car Rentals</t>
  </si>
  <si>
    <t xml:space="preserve">Correspondence, invoices and contracts containing personal details were left exposed on an unsecured company server. </t>
  </si>
  <si>
    <t>Teller Report</t>
  </si>
  <si>
    <t>https://www.tellerreport.com/news/2020-01-22---big-data-leak--media--at-buchbinder-car-rental-company--customer-data-was-open-.BJ-S5Jk8Z8.html</t>
  </si>
  <si>
    <t>Wawa</t>
  </si>
  <si>
    <t>fuel &amp; convenience store chain</t>
  </si>
  <si>
    <t xml:space="preserve">Card-stealing malware was installed, and remained undiscovered for nine months. </t>
  </si>
  <si>
    <t>30m</t>
  </si>
  <si>
    <t>Krebs on Security</t>
  </si>
  <si>
    <t>https://krebsonsecurity.com/2020/01/wawa-breach-may-have-compromised-more-than-30-million-payment-cards/</t>
  </si>
  <si>
    <t>Desjardins Group</t>
  </si>
  <si>
    <t>An employee of the Canadian financial firm leaked customer information outside the organisation: names, addresses, birthdates, social insurance numbers &amp; transaction habits.</t>
  </si>
  <si>
    <t>CBC</t>
  </si>
  <si>
    <t>https://www.cbc.ca/news/canada/montreal/desjardins-data-breach-1.5344216</t>
  </si>
  <si>
    <t>US Customs and Border Protection</t>
  </si>
  <si>
    <t>Photos of faces and license plates taken at an US border crossing were stolen in a cyberattack on a surveillance contractor.</t>
  </si>
  <si>
    <t>Washington Post</t>
  </si>
  <si>
    <t>https://www.washingtonpost.com/technology/2019/06/10/us-customs-border-protection-says-photos-travelers-into-out-country-were-recently-taken-data-breach/?utm_term=.69c66aaf152f</t>
  </si>
  <si>
    <t>Quest Diagnostics</t>
  </si>
  <si>
    <t>For an 8 month period, a hacker group stole personal and payment information from a firm providing billing services for the US healthcare sector.</t>
  </si>
  <si>
    <t>https://www.zdnet.com/article/amca-data-breach-has-now-gone-over-the-20-million-mark/</t>
  </si>
  <si>
    <t>Australian National University</t>
  </si>
  <si>
    <t>A hacker accessed personal information including addresses, bank account details, payroll information and academic records. Staff, students and visitors were affected.</t>
  </si>
  <si>
    <t>https://www.theguardian.com/australia-news/2019/jun/04/australian-national-university-hit-by-huge-data-breach</t>
  </si>
  <si>
    <t>Canva</t>
  </si>
  <si>
    <t xml:space="preserve"> Names, email addresses and location data belonging to users of an Australian graphic design service were stolen by a hacker.</t>
  </si>
  <si>
    <t>139m</t>
  </si>
  <si>
    <t>https://www.zdnet.com/article/australian-tech-unicorn-canva-suffers-security-breach/</t>
  </si>
  <si>
    <t>Chtrbox</t>
  </si>
  <si>
    <t>Instagram Influencers</t>
  </si>
  <si>
    <t>Contact details for millions of Instagram influencers, celebrities and brand accounts was left exposed in an online database for at least six days.</t>
  </si>
  <si>
    <t>Techcrunch</t>
  </si>
  <si>
    <t>https://techcrunch.com/2019/05/20/instagram-influencer-celebrity-accounts-scraped/</t>
  </si>
  <si>
    <t>WiFi Finder</t>
  </si>
  <si>
    <t>A hotspot finder app</t>
  </si>
  <si>
    <t>An Android app for finding local WiFi passwords inadvertently provided access to the entire database, including domestic WiFi points.</t>
  </si>
  <si>
    <t>https://techcrunch.com/2019/04/22/hotspot-password-leak/</t>
  </si>
  <si>
    <t>A security breach of Toyota subsidiaries' IT systems may have leaked personal customer information.</t>
  </si>
  <si>
    <t>https://www.bleepingcomputer.com/news/security/toyota-security-breach-exposes-personal-info-of-31-million-clients/</t>
  </si>
  <si>
    <t>https://global.toyota/jp/newsroom/corporate/27465617.html</t>
  </si>
  <si>
    <t>Unknown</t>
  </si>
  <si>
    <t>Open database in China</t>
  </si>
  <si>
    <t>A Dutch researcher found women's personal information in an open Chinese database. It included phone numbers, addressed and their "BreedReady" status, whatever that might be.</t>
  </si>
  <si>
    <t>https://www.theguardian.com/world/2019/mar/11/china-database-lists-breedready-status-of-18-million-women</t>
  </si>
  <si>
    <t>Vårdguiden</t>
  </si>
  <si>
    <t>Sweden's healthcare hotline</t>
  </si>
  <si>
    <t>170,000 hours of sensitive calls to Sweden's healthcare hotline were stored on an open web server with no encryption or authentication. The breach was blamed on subcontractor Medicall.</t>
  </si>
  <si>
    <t>ComputerSweden</t>
  </si>
  <si>
    <t>https://computersweden.idg.se/2.2683/1.714787/inspelade-samtal-1177-vardguiden-oskyddade-internet</t>
  </si>
  <si>
    <t>https://thenextweb.com/eu/2019/02/18/2-7-million-patient-calls-to-swedish-healthcare-hotline-left-unprotected-online/#</t>
  </si>
  <si>
    <t>Dubsmash</t>
  </si>
  <si>
    <t>Part of the theft of 617 million online account details from 16 hacked websites, put up for sale on the dark web.</t>
  </si>
  <si>
    <t>162m</t>
  </si>
  <si>
    <t>https://www.theregister.co.uk/2019/02/11/620_million_hacked_accounts_dark_web/</t>
  </si>
  <si>
    <t>ShareThis</t>
  </si>
  <si>
    <t>HauteLook</t>
  </si>
  <si>
    <t>Animoto</t>
  </si>
  <si>
    <t>EyeEm</t>
  </si>
  <si>
    <t>8fit</t>
  </si>
  <si>
    <t>Whitepages</t>
  </si>
  <si>
    <t>Fotolog</t>
  </si>
  <si>
    <t>Armor Games</t>
  </si>
  <si>
    <t>BookMate</t>
  </si>
  <si>
    <t>CoffeeMeetsBagel</t>
  </si>
  <si>
    <t>Artsy</t>
  </si>
  <si>
    <t>DataCamp</t>
  </si>
  <si>
    <t>Ixigo</t>
  </si>
  <si>
    <t>Part of the theft of 127 million online account details from 8 hacked websites. They were put up for sale on the dark web 1 week after a similar tranche of 617 million records from 16 other websites.</t>
  </si>
  <si>
    <t>https://techcrunch.com/2019/02/14/hacker-strikes-again/</t>
  </si>
  <si>
    <t>YouNow</t>
  </si>
  <si>
    <t>Houzz</t>
  </si>
  <si>
    <t>https://techcrunch.com/2019/01/31/houzz-data-breach/</t>
  </si>
  <si>
    <t>Ge.tt</t>
  </si>
  <si>
    <t>Coinmama</t>
  </si>
  <si>
    <t>Roll20</t>
  </si>
  <si>
    <t>Stronghold Kingdoms</t>
  </si>
  <si>
    <t>Petflow</t>
  </si>
  <si>
    <t>500px</t>
  </si>
  <si>
    <t>A July 2018 hack exposed the personal information of all 500px users, including names, usernames, email addresses, encrypted passwords, location, birth date, and gender.</t>
  </si>
  <si>
    <t>PetaPixel</t>
  </si>
  <si>
    <t>https://petapixel.com/2019/02/13/500px-hacked-personal-data-stolen-from-all-14-8-million-users/</t>
  </si>
  <si>
    <t>Blur</t>
  </si>
  <si>
    <t>password manager</t>
  </si>
  <si>
    <t>A server belonging to the password manager service contained a freely accessible file with users' email addresses, names and encrypted passwords.</t>
  </si>
  <si>
    <t>https://www.zdnet.com/article/data-of-2-4-million-blur-password-manager-users-left-exposed-online/</t>
  </si>
  <si>
    <t>Blank Media Games</t>
  </si>
  <si>
    <t>A hacker stole usernames, email addresses and encrypted passwords belonging to players of the game "Town of Salem" from an insecure server.</t>
  </si>
  <si>
    <t>https://www.zdnet.com/article/town-of-salem-game-suffers-data-breach-exposing-7-6-million-user-details/</t>
  </si>
  <si>
    <t>Indian citizens</t>
  </si>
  <si>
    <t xml:space="preserve">The discovery of a huge, unprotected MongoDB database containing personal information of Indian citizens, including their education, resume and current salary.
</t>
  </si>
  <si>
    <t>275m</t>
  </si>
  <si>
    <t>https://www.bleepingcomputer.com/news/security/over-275-million-records-exposed-by-unsecured-mongodb-database/</t>
  </si>
  <si>
    <t>Bulgarian National Revenue Agency</t>
  </si>
  <si>
    <t>A hacker stole personal details of Bulgarian citizens from 110 government databases. 5m records, out of a total population of 7m.</t>
  </si>
  <si>
    <t>https://www.zdnet.com/article/hacker-steals-data-of-millions-of-bulgarians-emails-it-to-local-media/</t>
  </si>
  <si>
    <t>Capital One</t>
  </si>
  <si>
    <t>The massive data breach included personal information from credit card applications over a 14-year period. A former Amazon employee, Paige Thompson, 36, was found guilty of wire fraud.</t>
  </si>
  <si>
    <t>https://www.forbes.com/sites/rachelsandler/2019/07/29/capital-one-says-hacker-breached-accounts-of-100-million-people-ex-amazon-employee-arrested/#2a5cb36b41d2</t>
  </si>
  <si>
    <t>Suprema</t>
  </si>
  <si>
    <t>biometrics security company</t>
  </si>
  <si>
    <t>A biometric security company stored unencrypted usernames and passwords, fingerprints and facial recognition information on a publicly accessible database.</t>
  </si>
  <si>
    <t>https://www.theguardian.com/technology/2019/aug/14/major-breach-found-in-biometrics-system-used-by-banks-uk-police-and-defence-firms</t>
  </si>
  <si>
    <t>Several unprotected databases were found to contain the phone numbers of around 20% of all Facebook users, with (in some cases) names and locations.</t>
  </si>
  <si>
    <t>420m</t>
  </si>
  <si>
    <t>Fast Company</t>
  </si>
  <si>
    <t>https://www.fastcompany.com/90399734/the-phone-numbers-of-419-million-facebook-accounts-have-been-leaked</t>
  </si>
  <si>
    <t>DoorDash</t>
  </si>
  <si>
    <t>food delivery company</t>
  </si>
  <si>
    <t>Users who joined the platform before April 2018 had their names, email addresses, order history, phone numbers and encrypted passwords stolen in a hack.</t>
  </si>
  <si>
    <t>4.9m</t>
  </si>
  <si>
    <t>https://techcrunch.com/2019/09/26/doordash-data-breach/</t>
  </si>
  <si>
    <t>BriansClub</t>
  </si>
  <si>
    <t>site selling stolen card data</t>
  </si>
  <si>
    <t>A site selling stolen payment card data was hacked and 26 million records were leaked. Banks were able to invalidate those cards, taking around 1/3 of the world's stolen cards out of circulation.</t>
  </si>
  <si>
    <t>26m</t>
  </si>
  <si>
    <t>https://arstechnica.com/information-technology/2019/10/data-for-a-whopping-26-million-stolen-payment-cards-leaked-in-hack-of-fraud-bazaar/</t>
  </si>
  <si>
    <t>OxyData</t>
  </si>
  <si>
    <t>Information compiled by a data aggregation firm were found on an insecure server. It included complete scrapes of LinkedIn data, including recruiter information.</t>
  </si>
  <si>
    <t>380m</t>
  </si>
  <si>
    <t>Dataviper</t>
  </si>
  <si>
    <t>https://www.dataviper.io/blog/2019/pdl-data-exposure-billion-people/</t>
  </si>
  <si>
    <t>Click2Gov</t>
  </si>
  <si>
    <t>Vulnerabilities in government payment software allowed hackers to access financial records and personal data across 46 US cities.</t>
  </si>
  <si>
    <t>Fortune</t>
  </si>
  <si>
    <t>http://fortune.com/2018/12/18/click2gov-local-government-portals-hackers-credit-card-breach/</t>
  </si>
  <si>
    <t>SingHealth</t>
  </si>
  <si>
    <t>Hackers stole personal details of 1.5 million patients, as well as the prescription details of 160,000 people, including prime minister Lee Hesien Loong.</t>
  </si>
  <si>
    <t>Straits Times</t>
  </si>
  <si>
    <t>https://www.straitstimes.com/singapore/personal-info-of-15m-singhealth-patients-including-pm-lee-stolen-in-singapores-most</t>
  </si>
  <si>
    <t>GovPayNow.com</t>
  </si>
  <si>
    <t>Government Payment Service Inc</t>
  </si>
  <si>
    <t>A company used by US government agencies to accept online payments exposed personal records via a standard web browser, including addresses, phone numbers and credit card digits.</t>
  </si>
  <si>
    <t>https://krebsonsecurity.com/2018/09/govpaynow-com-leaks-14m-records/</t>
  </si>
  <si>
    <t>Cathay Pacific Airways</t>
  </si>
  <si>
    <t>Stolen data included names, nationalities, birth dates, phone numbers, addresses, passport &amp; identity card numbers &amp; expired credit card numbers.</t>
  </si>
  <si>
    <t>ABC News</t>
  </si>
  <si>
    <t>https://www.abc.net.au/news/2018-10-25/cathay-pacific-data-breach-affects-9.4-million-customers/10429878</t>
  </si>
  <si>
    <t>Chinese resume leak</t>
  </si>
  <si>
    <t>Information thought to have been scraped from Chinese jobseeking websites was found in an insecure database. It included resumes, phone numbers, height, weight, driving license &amp; literacy level.</t>
  </si>
  <si>
    <t>202m</t>
  </si>
  <si>
    <t>HackenProof</t>
  </si>
  <si>
    <t>https://blog.hackenproof.com/industry-news/202-million-private-resumes-exposed</t>
  </si>
  <si>
    <t>Google+</t>
  </si>
  <si>
    <t>A vulnerability exposed users' personal details to developers, even if their profiles were set to private. As a result, Google shut down the consumer version of the social network 4 months early.</t>
  </si>
  <si>
    <t>https://www.theverge.com/2018/12/10/18134541/google-plus-privacy-api-data-leak-developers</t>
  </si>
  <si>
    <t>Quora</t>
  </si>
  <si>
    <t>Login details and private messages were compromised by "a malicious third party".</t>
  </si>
  <si>
    <t>NY Times</t>
  </si>
  <si>
    <t>https://www.nytimes.com/2018/12/04/technology/quora-hack-data-breach.html</t>
  </si>
  <si>
    <t>Marriott International</t>
  </si>
  <si>
    <t>Hackers breached the reservation system of all Starwood hotels, including Sheraton, Westin and Le Meridien. Personal information, credit card details and passport info dating back to 2014 was stolen.</t>
  </si>
  <si>
    <t>383m</t>
  </si>
  <si>
    <t>NY Times, CNET</t>
  </si>
  <si>
    <t>https://www.nytimes.com/2018/11/30/business/marriott-data-breach.html</t>
  </si>
  <si>
    <t>https://www.cnet.com/news/marriott-says-hackers-stole-more-than-5-million-passport-numbers/</t>
  </si>
  <si>
    <t>NMBS</t>
  </si>
  <si>
    <t>Belgian national railway operator</t>
  </si>
  <si>
    <t>Customer names, gender, birth dates, email and postal address data were left on a publicly searchable server belonging to the Belgian rail authority. Caused by a data worker “clicking on the wrong button”.</t>
  </si>
  <si>
    <t>Flanders Today</t>
  </si>
  <si>
    <t>http://www.flanderstoday.eu/business/nmbs-data-leak-was-breach-privacy</t>
  </si>
  <si>
    <t>Cambridge Analytica, headed at the time by Steve Bannon, harvested profiles in early 2014 to build a system that could profile US voters and target them with political adverts.</t>
  </si>
  <si>
    <t>50m</t>
  </si>
  <si>
    <t>https://www.theguardian.com/news/2018/mar/17/cambridge-analytica-facebook-influence-us-election?CMP=twt_gu</t>
  </si>
  <si>
    <t>Panerabread</t>
  </si>
  <si>
    <t xml:space="preserve">Customer records, including loyalty card numbers, were available via the bakery chain's website for at least 8 months. The firm claims 10k records were leaked. Security researchers put the figure at over 37 million. </t>
  </si>
  <si>
    <t>Krebsonsecurity, Medium</t>
  </si>
  <si>
    <t>https://krebsonsecurity.com/2018/04/panerabread-com-leaks-millions-of-customer-records/</t>
  </si>
  <si>
    <t>https://medium.com/@djhoulihan/no-panera-bread-doesnt-take-security-seriously-bf078027f815</t>
  </si>
  <si>
    <t>Dixons Carphone</t>
  </si>
  <si>
    <t>The firm admitted that hackers were able to access the details of 10m customers and 6m payment cards.</t>
  </si>
  <si>
    <t>https://www.bbc.co.uk/news/business-45016906</t>
  </si>
  <si>
    <t>MyHeritage</t>
  </si>
  <si>
    <t>The genealogy site received a message from a researcher who had discovered over 92m email addresses and encrypted passwords on an external server.</t>
  </si>
  <si>
    <t>Bloomberg</t>
  </si>
  <si>
    <t>https://www.bloombergquint.com/technology/hack-of-dna-website-exposes-data-from-92-million-user-accounts</t>
  </si>
  <si>
    <t>Saks and Lord &amp; Taylor</t>
  </si>
  <si>
    <t>Both owned by Hudson's Bay Company</t>
  </si>
  <si>
    <t>A known ring of cybercriminals implanted software into store cash registers, siphoning off credit card details from readers.</t>
  </si>
  <si>
    <t>https://www.nytimes.com/2018/04/01/technology/saks-lord-taylor-credit-cards.html</t>
  </si>
  <si>
    <t>Careem</t>
  </si>
  <si>
    <t>Dubai-born ride hailing service</t>
  </si>
  <si>
    <t>The Dubai-based ride hailing service admitted that names, email addresses, phone numbers and trip data had been accessed in what it called a "cyber incident".</t>
  </si>
  <si>
    <t>Khaleej Times</t>
  </si>
  <si>
    <t>https://www.khaleejtimes.com/nation/dubai//dubais-careem-admits-to-data-breach-of-14-million-users</t>
  </si>
  <si>
    <t>Texas voter records</t>
  </si>
  <si>
    <t>A single file containing 14.8 million voter records was found on an unsecured server. It was thought to have been originally compiled by Data Trust, a Republican-focused data analytics firm.</t>
  </si>
  <si>
    <t>TechCrunch</t>
  </si>
  <si>
    <t>https://techcrunch.com/2018/08/23/millions-of-texas-voter-records-exposed-online/</t>
  </si>
  <si>
    <t>British Airways</t>
  </si>
  <si>
    <t>The personal and financial details of customers who booked flights in a two-week period over the summer were compromised.</t>
  </si>
  <si>
    <t>https://www.theguardian.com/business/2018/sep/06/british-airways-customer-data-stolen-from-its-website</t>
  </si>
  <si>
    <t>Personal data along with passwords encrypted by a notoriously weak algorithm (MD5) were stolen. The firm initially failed to disclose the password breach, "because they were encrypted".</t>
  </si>
  <si>
    <t>Motherboard</t>
  </si>
  <si>
    <t>https://motherboard.vice.com/en_us/article/a3qpk5/t-mobile-hack-data-breach-api-customer-data</t>
  </si>
  <si>
    <t>MyFitnessPal</t>
  </si>
  <si>
    <t>UnderArmour</t>
  </si>
  <si>
    <t>A breach of usernames, email addresses, and hashed passwords belonging to users of the fitness app.</t>
  </si>
  <si>
    <t>150m</t>
  </si>
  <si>
    <t>https://www.theguardian.com/technology/2018/mar/30/hackers-steal-data-150m-myfitnesspal-app-users-under-armour</t>
  </si>
  <si>
    <t>Helse Sør-Øst RHF</t>
  </si>
  <si>
    <t>Health authority responsible for 10 Norwegian counties.</t>
  </si>
  <si>
    <t>Patient records of more than half of Norway's population were stolen. The hack is thought to have happened via old computers running Windows XP.</t>
  </si>
  <si>
    <t>It Governance</t>
  </si>
  <si>
    <t>https://www.itgovernance.eu/blog/en/breach-at-norways-largest-healthcare-authority-was-a-disaster-waiting-to-happen</t>
  </si>
  <si>
    <t>Nametests</t>
  </si>
  <si>
    <t>Facebook quiz app owned by Social Sweethearts</t>
  </si>
  <si>
    <t>A security failure in a "personality test" app on Facebook left millions of people’s data publicly exposed for almost two years – even after they had deleted the app.</t>
  </si>
  <si>
    <t>120m</t>
  </si>
  <si>
    <t>Medium</t>
  </si>
  <si>
    <t>https://medium.com/@intideceukelaire/this-popular-facebook-app-publicly-exposed-your-data-for-years-12483418eff8</t>
  </si>
  <si>
    <t>The data was stolen via an attack on a third-party customer support firm. It was likely to have affected UK customers who bought tickets between Feb and Jun 2018.</t>
  </si>
  <si>
    <t>BBC News</t>
  </si>
  <si>
    <t>https://www.bbc.co.uk/news/technology-44628874</t>
  </si>
  <si>
    <t>Firebase</t>
  </si>
  <si>
    <t>A service from Google</t>
  </si>
  <si>
    <t>Misconfigured databases used by app developers were found to be exposing 113GB of personal data, accumulated by thousands of iOS and Android mobile apps.</t>
  </si>
  <si>
    <t>https://www.bleepingcomputer.com/news/security/thousands-of-apps-leak-sensitive-data-via-misconfigured-firebase-backends/</t>
  </si>
  <si>
    <t>Aadhaar</t>
  </si>
  <si>
    <t>India's national, biometric government ID database</t>
  </si>
  <si>
    <t>India's biometric database was breached via a leak at a state-owned utility company. All registered Indian citizens were affected; their names, identity numbers and bank details were exposed. Data later found for sale on WhatsApp for less than £6.</t>
  </si>
  <si>
    <t>1.1bn</t>
  </si>
  <si>
    <t>http://www.zdnet.com/article/another-data-leak-hits-india-aadhaar-biometric-database/</t>
  </si>
  <si>
    <t>Grindr</t>
  </si>
  <si>
    <t>A third-party tool that allows users to see who had blocked them was able to access non-public personal info, including locations of users who had opted out of location sharing.</t>
  </si>
  <si>
    <t>NBC News</t>
  </si>
  <si>
    <t>https://www.nbcnews.com/feature/nbc-out/security-flaws-gay-dating-app-grindr-expose-users-location-data-n858446</t>
  </si>
  <si>
    <t>Orbitz</t>
  </si>
  <si>
    <t>An legacy version of the travel website was hacked, exposing personal details and payment card info of people who'd made purchases in 2016 and 2017. Orbitz is now owned by Expedia.</t>
  </si>
  <si>
    <t>US News</t>
  </si>
  <si>
    <t>https://www.usnews.com/news/business/articles/2018-03-20/orbitz-legacy-travel-booking-platform-likely-hacked</t>
  </si>
  <si>
    <t>MBM Company</t>
  </si>
  <si>
    <t>Limogés Jewellery</t>
  </si>
  <si>
    <t xml:space="preserve">An insecure customer database belonging to the jewellery firm exposed postal addresses, email addresses, IP addresses and plain-text passwords. </t>
  </si>
  <si>
    <t>NextWeb</t>
  </si>
  <si>
    <t>https://thenextweb.com/security/2018/03/14/jewelry-site-accidentally-leaks-personal-details-plaintext-passwords-1-3m-users/</t>
  </si>
  <si>
    <t>LocalBlox</t>
  </si>
  <si>
    <t>datasearch service</t>
  </si>
  <si>
    <t>A cloud storage repository was left publically accessible. Data included names, addresses, DOBs, and other information scraped from social media websites including Facebook.</t>
  </si>
  <si>
    <t>UpGuard</t>
  </si>
  <si>
    <t>https://www.upguard.com/breaches/s3-localblox</t>
  </si>
  <si>
    <t>A glitch caused some passwords to be stored in readable text that was visible on Twitter's internal computer system.</t>
  </si>
  <si>
    <t>330m</t>
  </si>
  <si>
    <t>https://www.reuters.com/article/us-twitter-passwords/twitter-urges-all-users-to-change-passwords-after-glitch-idUSKBN1I42JG</t>
  </si>
  <si>
    <t>ViewFines</t>
  </si>
  <si>
    <t>South African traffic fines database</t>
  </si>
  <si>
    <t>Data originating with a South African traffic fine payment firm was leaked online. It included names, national ID numbers, cell numbers, email addresses and plain text passwords.</t>
  </si>
  <si>
    <t>iAfrikan</t>
  </si>
  <si>
    <t>https://www.iafrikan.com/2018/05/23/just-under-1-million-personal-records-of-south-africans-leaked-online/</t>
  </si>
  <si>
    <t>TicketFly</t>
  </si>
  <si>
    <t xml:space="preserve">Names, addresses, email addresses and phone numbers were stolen from the ticketing firm. Ransom demands were made. The FBI indicted a suspect in February 2020. </t>
  </si>
  <si>
    <t>https://www.theverge.com/2018/6/7/17438516/ticketfly-hack-personal-information-26-million-customers-leaked</t>
  </si>
  <si>
    <t>Amazon</t>
  </si>
  <si>
    <t>A "technical issue" inadvertently caused customer names &amp; email addresses to be posted to the Amazon website just prior to Black Friday.</t>
  </si>
  <si>
    <t>https://www.theguardian.com/technology/2018/nov/21/amazon-hit-with-major-data-breach-days-before-black-friday</t>
  </si>
  <si>
    <t>Urban Massage</t>
  </si>
  <si>
    <t>Home massage app</t>
  </si>
  <si>
    <t>An online database with no password protection contained thousands of customer records, including names, email addresses, phone numbers and sexual misconduct complaints.</t>
  </si>
  <si>
    <t>https://techcrunch.com/2018/11/27/urban-massage-data-exposed-customers-creepy-clients/?guccounter=1</t>
  </si>
  <si>
    <t xml:space="preserve">Dell </t>
  </si>
  <si>
    <t>Dell detected and disrupted unauthorized attempts to extract customer names, email addresses &amp; hashed passwords. The number of affected customers was not disclosed.</t>
  </si>
  <si>
    <t>https://www.zdnet.com/article/dell-announces-security-breach/</t>
  </si>
  <si>
    <t>High Tail Hall</t>
  </si>
  <si>
    <t>erotic role-playing site</t>
  </si>
  <si>
    <t>Hackers obtained email addresses, names, order histories, hashed passwords, physical and IP addresses for users of an "erotic role-playing game".</t>
  </si>
  <si>
    <t>Daily Mail</t>
  </si>
  <si>
    <t>https://www.dailymail.co.uk/sciencetech/article-6415441/Furry-erotica-site-hit-data-breach-exposed-hundreds-thousands-users-information.html</t>
  </si>
  <si>
    <t>SKY Brasil</t>
  </si>
  <si>
    <t>Poorly configured servers exposed customer details – including payment methods – for long enough to make their theft "likely".</t>
  </si>
  <si>
    <t>https://www.bleepingcomputer.com/news/security/sky-brasil-exposes-32-million-customer-records/</t>
  </si>
  <si>
    <t>Vision Direct</t>
  </si>
  <si>
    <t>UK opticians</t>
  </si>
  <si>
    <t xml:space="preserve">A 5-day data breach saw attackers steal personal information, passwords and CVV security codes. </t>
  </si>
  <si>
    <t>https://www.bbc.co.uk/news/technology-46261209</t>
  </si>
  <si>
    <t>Medicare &amp; Medicaid</t>
  </si>
  <si>
    <t>Centers for Medicare &amp; Medicaid Services</t>
  </si>
  <si>
    <t xml:space="preserve"> "Sensitive" information on applicants for US healthcare plans was hacked. It included names, birth dates, addresses, expected income &amp; health insurance status.</t>
  </si>
  <si>
    <t>HCA News</t>
  </si>
  <si>
    <t>https://www.hcanews.com/news/update-94k-hit-in-cms-data-breach</t>
  </si>
  <si>
    <t xml:space="preserve">The biggest hack in Facebook's history to date. Names, birth dates, phone numbers, search history and location data was stolen by hackers masquerading as a digital marketing company. </t>
  </si>
  <si>
    <t>Business Insider, Facebook</t>
  </si>
  <si>
    <t>https://www.businessinsider.com.au/facebook-thinks-spammers-responsible-hack-stole-info-from-29-million-users-2018-10?r=US&amp;IR=T</t>
  </si>
  <si>
    <t>https://newsroom.fb.com/news/2018/10/update-on-security-issue/</t>
  </si>
  <si>
    <t>Newegg</t>
  </si>
  <si>
    <t xml:space="preserve">Hackers injected 15 lines of card skimming code on the online retailer's payments page. It remained online for more than a month. </t>
  </si>
  <si>
    <t>https://techcrunch.com/2018/09/19/newegg-credit-card-data-breach/</t>
  </si>
  <si>
    <t>Mount Olympus</t>
  </si>
  <si>
    <t>mortgage lender</t>
  </si>
  <si>
    <t xml:space="preserve">An employee stole client information and loan files and took them with him when he went to work for a competitor. Mount Olympus later awarded $25m in damages. </t>
  </si>
  <si>
    <t>188K</t>
  </si>
  <si>
    <t>Housing Wire</t>
  </si>
  <si>
    <t>https://www.housingwire.com/articles/36597-guaranteed-rate-ordered-to-pay-25m-to-mount-olympus-mortgage-for-data-theft/</t>
  </si>
  <si>
    <t>Apollo</t>
  </si>
  <si>
    <t>intelligence firm</t>
  </si>
  <si>
    <t>Data scraping company left a database exposed online, revealing 200 million contacts, 10 million companies and 9 billion "data points".</t>
  </si>
  <si>
    <t>https://www.wired.com/story/apollo-breach-linkedin-salesforce-data/</t>
  </si>
  <si>
    <t>Disqus</t>
  </si>
  <si>
    <t>Hackers stole 17.5m email addresses in 2012. About a third of those records included passwords hashed using a weak algorithm.</t>
  </si>
  <si>
    <t>http://www.zdnet.com/article/disqus-confirms-comments-tool-hacked/</t>
  </si>
  <si>
    <t>RootsWeb</t>
  </si>
  <si>
    <t>Data on a "leaky server" belonging to Ancestry.com's community-driven site RootsWeb was exposed. Passwords, email addresses and usernames were leaked.</t>
  </si>
  <si>
    <t>Threat Post</t>
  </si>
  <si>
    <t>https://threatpost.com/leaky-rootsweb-server-exposes-some-ancestry-com-user-data/129248/</t>
  </si>
  <si>
    <t>Yahoo</t>
  </si>
  <si>
    <t xml:space="preserve">For two years, hackers used forged cookies to log into millions of Yahoo accounts without a password. </t>
  </si>
  <si>
    <t>CNet</t>
  </si>
  <si>
    <t>https://www.cnet.com/news/yahoo-says-forged-cookie-attack-accessed-about-32m-accounts/</t>
  </si>
  <si>
    <t>Uber concealed an October 2016 leak of personal information for more than a year. They paid hackers $100,000 to delete the stolen data. The chief security officer resigned.</t>
  </si>
  <si>
    <t>57m</t>
  </si>
  <si>
    <t>https://www.bloomberg.com/news/articles/2017-11-21/uber-concealed-cyberattack-that-exposed-57-million-people-s-data</t>
  </si>
  <si>
    <t>Wonga</t>
  </si>
  <si>
    <t>The firm reported unauthorised access to names, addresses, phone numbers and bank account details relating to British and Polish customers.</t>
  </si>
  <si>
    <t>https://www.theguardian.com/business/2017/apr/09/wonga-data-breach-could-affect-250000-uk-customers?CMP=Share_iOSApp_Other</t>
  </si>
  <si>
    <t>Snapchat</t>
  </si>
  <si>
    <t>Indian hackers leaked records after taking umbrage at comments made by Snapchat's CEO about their country.</t>
  </si>
  <si>
    <t>BGR</t>
  </si>
  <si>
    <t>http://www.bgr.in/news/indian-hacker-group-leaks-data-of-1-7-million-snapchat-users-after-ceos-poor-country-comments-report/</t>
  </si>
  <si>
    <t>Spambot</t>
  </si>
  <si>
    <t>A misconfigured spambot leaked email addresses and passwords. "Almost one address for every single man, woman and child in all of Europe." The set included some fake or repeated accounts.</t>
  </si>
  <si>
    <t>711m</t>
  </si>
  <si>
    <t>https://www.theguardian.com/technology/2017/aug/30/spambot-leaks-700m-email-addresses-huge-data-breach-passwords</t>
  </si>
  <si>
    <t>CEX</t>
  </si>
  <si>
    <t>The second-hand games seller fell victim to a security breach. An 'unauthorised third party' accessed systems holding personal information.</t>
  </si>
  <si>
    <t>https://uk.pcmag.com/cex/90937/cex-hack-up-to-2m-customers-potentially-affected</t>
  </si>
  <si>
    <t>Al.type</t>
  </si>
  <si>
    <t>The developer of the customisable keyboard app failed to secure its database server. 577GB of user records were exposed.</t>
  </si>
  <si>
    <t>http://www.zdnet.com/article/popular-virtual-keyboard-leaks-31-million-user-data/</t>
  </si>
  <si>
    <t>Cellebrite</t>
  </si>
  <si>
    <t xml:space="preserve">Cellebrite's main product is a device that rips data from mobile phones. 900GB of data was stolen from Cellebrite. The hackers got hacked. The number of records taken is unknown. 
</t>
  </si>
  <si>
    <t>https://www.vice.com/en_us/article/3daywj/hacker-steals-900-gb-of-cellebrite-data</t>
  </si>
  <si>
    <t>Waterly</t>
  </si>
  <si>
    <t>App for paying water bills</t>
  </si>
  <si>
    <t>An app which allows Israelis to pay water bills contained a vulnerability in the sign-in process. It could reveal payment history, personal ID information and credit card details.</t>
  </si>
  <si>
    <t>Data Breaches</t>
  </si>
  <si>
    <t>https://www.databreaches.net/waterly-app-potentially-exposed-up-to-1-million-israelis-details-researcher/</t>
  </si>
  <si>
    <t>Swedish Transport Agency</t>
  </si>
  <si>
    <t>All Swedish driving license data was made available to Czech IT workers. The question of whether national security was harmed was censored in the official report.</t>
  </si>
  <si>
    <t>The Local</t>
  </si>
  <si>
    <t>https://www.thelocal.se/20170717/swedish-authority-handed-over-keys-to-the-kingdom-in-it-security-slip-up</t>
  </si>
  <si>
    <t>Hong Kong Registration &amp; Electoral Office</t>
  </si>
  <si>
    <t>Two laptop computers were stolen at the backup venue for the election of the leader of Hong Kong. The names of electors and personal information of the city's voters was compromised.</t>
  </si>
  <si>
    <t xml:space="preserve">lost device </t>
  </si>
  <si>
    <t>SCMP</t>
  </si>
  <si>
    <t>http://www.scmp.com/news/hong-kong/politics/article/2082566/laptops-containing-37-million-hong-kong-voters-data-stolen</t>
  </si>
  <si>
    <t>River City Media</t>
  </si>
  <si>
    <t>Spam operator</t>
  </si>
  <si>
    <t>One of the world's largest spam operations accidentally leaked a backup of its database of over a billion email addresses, along with real names, IP and physical addresses.</t>
  </si>
  <si>
    <t>340m</t>
  </si>
  <si>
    <t>https://www.theguardian.com/technology/2017/mar/06/email-addresses-spam-leak-river-city-media</t>
  </si>
  <si>
    <t>DaFont</t>
  </si>
  <si>
    <t>Font sharing site</t>
  </si>
  <si>
    <t>The font site's database was targeted by a hacker who had seen it being traded elsewhere. The flaw was "easy to find". Usernames, email addresses and passwords were stolen.</t>
  </si>
  <si>
    <t>http://www.zdnet.com/article/font-sharing-site-dafont-hacked-thousands-of-accounts-stolen/</t>
  </si>
  <si>
    <t>Bell</t>
  </si>
  <si>
    <t xml:space="preserve">Email addresses and information about customers and contractors was leaked after being stolen from an insecure database. The company was threatened with further leaks. </t>
  </si>
  <si>
    <t>http://www.cbc.ca/beta/news/technology/bell-data-breach-customer-names-phone-numbers-emails-leak-1.4116608</t>
  </si>
  <si>
    <t>Zomato</t>
  </si>
  <si>
    <t>Restaurants &amp; events</t>
  </si>
  <si>
    <t>Stolen email addresses and hashed passwords were being sold on the dark web for just over $1000.</t>
  </si>
  <si>
    <t>HackRead</t>
  </si>
  <si>
    <t>https://www.hackread.com/zomato-hacked-17-million-accounts-sold-on-dark-web/</t>
  </si>
  <si>
    <t>Imgur</t>
  </si>
  <si>
    <t>https://blog.imgur.com/2017/11/24/notice-of-data-breach/</t>
  </si>
  <si>
    <t>TIO Networks</t>
  </si>
  <si>
    <t>Owned by Paypal</t>
  </si>
  <si>
    <t>A Paypal subsidiary providing bill payment services suffered a "security incident". Personal information and financial details were likely to have been breached.</t>
  </si>
  <si>
    <t>https://www.bleepingcomputer.com/news/security/paypal-says-1-6-million-customer-details-stolen-in-breach-at-canadian-subsidiary/</t>
  </si>
  <si>
    <t>Malaysian telcos &amp; MVNOs</t>
  </si>
  <si>
    <t>Phone numbers, customer details, addresses and SIM card information from over a dozen Malaysian mobile providers was discovered online after being stolen in 2014.</t>
  </si>
  <si>
    <t>LowYat</t>
  </si>
  <si>
    <t>https://www.lowyat.net/2017/146339/46-2-million-mobile-phone-numbers-leaked-from-2014-data-breach/</t>
  </si>
  <si>
    <t>Malaysian medical practitioners</t>
  </si>
  <si>
    <t>Databases belonging to the Malaysian Medical Council, the Malaysian Medical Association and the Malaysian Dental Association were discovered online after being stolen in 2014.</t>
  </si>
  <si>
    <t>Silicon</t>
  </si>
  <si>
    <t>https://www.silicon.co.uk/cloud/data-breach-mobile-numbers-malaysia-224079</t>
  </si>
  <si>
    <t>Instagram</t>
  </si>
  <si>
    <t>A bug in Instagram's API exposed users' contact details. The data was placed online in a searchable database, with a charge of $10 per search.</t>
  </si>
  <si>
    <t>https://www.theverge.com/2017/9/1/16244304/instagram-hack-api-bug-doxagram-selena-gomez</t>
  </si>
  <si>
    <t>Viacom</t>
  </si>
  <si>
    <t>A misconfigured server exposed 1Gb of Viacom's credentials – enough, say researchers, to take down the firm's internal IT infrastructure.</t>
  </si>
  <si>
    <t>The Hacker News</t>
  </si>
  <si>
    <t>https://thehackernews.com/2017/09/viacom-amazon-server.html</t>
  </si>
  <si>
    <t>Equifax</t>
  </si>
  <si>
    <t>A breach of the health insurance firm's database exposed the names, social security numbers, birth dates, addresses, driver's license numbers and credit card information of US, UK and Canadian citizens.</t>
  </si>
  <si>
    <t>finance, health</t>
  </si>
  <si>
    <t>143m</t>
  </si>
  <si>
    <t>UK Gov</t>
  </si>
  <si>
    <t>https://www.consumer.ftc.gov/blog/2017/09/equifax-data-breach-what-do</t>
  </si>
  <si>
    <t>SVR Tracking</t>
  </si>
  <si>
    <t>Vehicle tracking</t>
  </si>
  <si>
    <t>Personal data and vehicle details were exposed. Customer passwords were stored using an easily-crackable algorithm.</t>
  </si>
  <si>
    <t>https://thehackernews.com/2017/09/hacker-track-car.html</t>
  </si>
  <si>
    <t>LinkedIn</t>
  </si>
  <si>
    <t>A massive batch of login credentials was discovered on the black market after being stolen by hackers. The breach dated from 2012, when the firm's password security policies were weak.</t>
  </si>
  <si>
    <t>117m</t>
  </si>
  <si>
    <t>CNN</t>
  </si>
  <si>
    <t>http://money.cnn.com/2016/05/19/technology/linkedin-hack/</t>
  </si>
  <si>
    <t>https://money.cnn.com/2012/06/06/technology/linkedin-password-hack/?iid=EL</t>
  </si>
  <si>
    <t>Tumblr</t>
  </si>
  <si>
    <t>A three year old data breach came to light. Millions of email addresses and hashed passwords had been stolen.</t>
  </si>
  <si>
    <t>https://www.vice.com/en_us/article/8q88k5/hackers-stole-68-million-passwords-from-tumblr-new-analysis-reveals</t>
  </si>
  <si>
    <t>At the time, the largest ever data breach from a single website. It was stolen, according to Yahoo, by a "state-sponsored actor". It included names, dates of birth and security information.</t>
  </si>
  <si>
    <t>500m</t>
  </si>
  <si>
    <t>CNBC</t>
  </si>
  <si>
    <t>https://www.cnbc.com/2016/09/22/yahoo-data-breach-is-among-the-biggest-in-history.html</t>
  </si>
  <si>
    <t>Mossack Fonseca</t>
  </si>
  <si>
    <t xml:space="preserve">Panamanian law firm </t>
  </si>
  <si>
    <t>A hacker took 2.6TB of data from the Panamanian law firm. It included emails, contracts, scanned documents, transcripts and sensitive information relating to many politicians and public figures.</t>
  </si>
  <si>
    <t>PanamaPapers</t>
  </si>
  <si>
    <t>http://panamapapers.sueddeutsche.de/articles/56febff0a1bb8d3c3495adf4/</t>
  </si>
  <si>
    <t>Philippines’ Commission on Elections</t>
  </si>
  <si>
    <t>COMELEC</t>
  </si>
  <si>
    <t xml:space="preserve">After a message was posted on the COMELEC website by hackers from Anonymous, warning the government of its weak election security, the entire database of voters was stolen and posted online. </t>
  </si>
  <si>
    <t>Trend Micro</t>
  </si>
  <si>
    <t>http://blog.trendmicro.com/trendlabs-security-intelligence/55m-registered-voters-risk-philippine-commission-elections-hacked/</t>
  </si>
  <si>
    <t>Syrian government</t>
  </si>
  <si>
    <t>Hacking outfit calling itself 'Cyber Justice Team' leaked 10GB of data from multiple Syrian government and private websites. Much of it was duplicated from previously known hacks.</t>
  </si>
  <si>
    <t>Softpedia</t>
  </si>
  <si>
    <t>http://news.softpedia.com/news/syrian-government-hacked-43-gb-of-data-spilled-online-by-hacktivists-502765.shtml</t>
  </si>
  <si>
    <t>Minecraft</t>
  </si>
  <si>
    <t>Lifeboat' community</t>
  </si>
  <si>
    <t>Players using Minecraft's Lifeboat service had their email addresses and passwords leaked. The passwords were very weakly hashed.</t>
  </si>
  <si>
    <t>https://www.bbc.co.uk/news/technology-36168860</t>
  </si>
  <si>
    <t>Turkish citizenship database</t>
  </si>
  <si>
    <t>An entire database of voter records, originally stolen back in 2008, was leaked online.</t>
  </si>
  <si>
    <t>http://www.businessinsider.com/turkish-citizenship-database-allegedly-hacked-and-leaked-2016-4?r=UK&amp;IR=T</t>
  </si>
  <si>
    <t>Banner Health</t>
  </si>
  <si>
    <t>Hackers gained access to payment card data that was used to buy food and drink at Banner Health outlets. In 2019, Banner agreed to a $6m settlement over the breach.</t>
  </si>
  <si>
    <t>Healthcare Informatics</t>
  </si>
  <si>
    <t>https://www.healthcare-informatics.com/news-item/cybersecurity/breaking-massive-cyber-attack-banner-health-affects-37m-individuals</t>
  </si>
  <si>
    <t>Mail. ru</t>
  </si>
  <si>
    <t>Game-related forums</t>
  </si>
  <si>
    <t>Two hackers attacked three game-related forums hosted by the Russian company Mail.ru. They stole email addresses, scrambled passwords and birthdates.</t>
  </si>
  <si>
    <t>http://www.zdnet.com/article/over-25-million-accounts-stolen-after-mail-ru-forums-raided-by-hackers/</t>
  </si>
  <si>
    <t>PayAsUGym</t>
  </si>
  <si>
    <t>The fitness website was hacked. Email addresses and passwords were published online.</t>
  </si>
  <si>
    <t>http://www.bbc.co.uk/news/technology-38350987</t>
  </si>
  <si>
    <t>Lynda.com</t>
  </si>
  <si>
    <t>owned by LinkedIn</t>
  </si>
  <si>
    <t>Hackers breached a database holding contact information and interest in online courses. Lynda's owners, LinkedIn, said that 55,000 user passwords were also breached.</t>
  </si>
  <si>
    <t>Neowin</t>
  </si>
  <si>
    <t>https://www.neowin.net/news/microsoft-owned-linkedin-is-sending-emails-to-users-about-a-lyndacom-data-breach</t>
  </si>
  <si>
    <t>Linux Ubuntu forums</t>
  </si>
  <si>
    <t>2 million usernames, email addresses, and IP addresses were compromised via a vulnerability in the forum software.</t>
  </si>
  <si>
    <t>https://www.zdnet.com/article/ubuntu-forums-hack-exposes-two-million-users/</t>
  </si>
  <si>
    <t>Wendy's</t>
  </si>
  <si>
    <t>Restaurant chain</t>
  </si>
  <si>
    <t>Malware installed in 1025 point of sale systems was used to steal credit card data from customers. It's not known how many individuals were impacted.</t>
  </si>
  <si>
    <t>https://www.forbes.com/sites/moneybuilder/2016/07/08/this-week-in-credit-card-news-wendys-data-breach-affects-1000-stores-card-fraud-dropping/#260a2f727bab</t>
  </si>
  <si>
    <t>Clinton campaign</t>
  </si>
  <si>
    <t>The computer network used by Hillary Clinton's campaign team was hacked as part of a broader cyber attack on Democratic political organizations.</t>
  </si>
  <si>
    <t>http://news.trust.org/item/20160729204542-r98dj</t>
  </si>
  <si>
    <t xml:space="preserve">uTorrent </t>
  </si>
  <si>
    <t>Access to user data was gained via a third party. Uncertain as to what exactly had been stolen, the firm advised its users to change their passwords.</t>
  </si>
  <si>
    <t>Torrent Freak</t>
  </si>
  <si>
    <t>https://torrentfreak.com/utorrent-forums-hacked-passwords-compromised-160608/</t>
  </si>
  <si>
    <t>World Check</t>
  </si>
  <si>
    <t>Run by Thompson Reuters</t>
  </si>
  <si>
    <t>A database of suspected terrorists and criminals used by global banks and intelligence agencies was leaked online. Access is normally granted via a strict vetting process.</t>
  </si>
  <si>
    <t>The Stack</t>
  </si>
  <si>
    <t>https://thestack.com/security/2016/06/29/2-million-person-terror-database-leaked-online/</t>
  </si>
  <si>
    <t>Mutuelle Generale de la Police</t>
  </si>
  <si>
    <t>French police health insurance</t>
  </si>
  <si>
    <t>Personal details of French police officers were uploaded to Google Drive by an employee. The leak came two weeks after a gendarme was murdered in an ISIS-inspired attack.</t>
  </si>
  <si>
    <t>http://www.bbc.co.uk/news/world-europe-36645519</t>
  </si>
  <si>
    <t>VK</t>
  </si>
  <si>
    <t>Russia's Facebook</t>
  </si>
  <si>
    <t>A database stolen in 2013 from the Russian social network, containing full names, email addresses and passwords, was offered for sale online.</t>
  </si>
  <si>
    <t>http://motherboard.vice.com/read/another-day-another-hack-100-million-accounts-for-vk-russias-facebook</t>
  </si>
  <si>
    <t>KM.ru &amp; Nival</t>
  </si>
  <si>
    <t>News site and email provider/Videogame maker</t>
  </si>
  <si>
    <t>A hacker targeted several Russian websites in revenge for the shooting down of flight MH17 over Ukraine. They included videogame firm Nival and email provider KM.ru.</t>
  </si>
  <si>
    <t>https://motherboard.vice.com/en_us/article/pgkp57/a-teen-hacker-is-targeting-russian-sites-as-revenge-for-the-mh17-crash</t>
  </si>
  <si>
    <t>Fling</t>
  </si>
  <si>
    <t>Dating site</t>
  </si>
  <si>
    <t>Data allegedly stolen in 2011 was put up for sale on the dark web. The stash included email addresses, plain text passwords and information on sexual desires &amp; preferences.</t>
  </si>
  <si>
    <t>IBTimes</t>
  </si>
  <si>
    <t>https://www.ibtimes.co.uk/fling-com-breach-passwords-sexual-preferences-40-million-users-sale-dark-web-1558711</t>
  </si>
  <si>
    <t>MySpace</t>
  </si>
  <si>
    <t>In one of the largest password breaches ever, 360 million MySpace logins were stolen and put on sale for $2,800.</t>
  </si>
  <si>
    <t>164m</t>
  </si>
  <si>
    <t>https://www.vice.com/en_us/article/pgkk8v/427-million-myspace-passwords-emails-data-breach</t>
  </si>
  <si>
    <t>Three</t>
  </si>
  <si>
    <t>Three mobile company in the UK</t>
  </si>
  <si>
    <t>Fraudsters compromised the mobile network's handset upgrade system and ordered new handsets to sell online. Customer details were accessed as part of the breach.</t>
  </si>
  <si>
    <t>http://www.threemediacentre.co.uk/news/2017/handsetfraud-update.aspx</t>
  </si>
  <si>
    <t>Red Cross Blood Service</t>
  </si>
  <si>
    <t>Australian donor information was accessed via an unsecured database posted online by a contractor. Information included that of "at-risk sexual behaviour".</t>
  </si>
  <si>
    <t>http://www.abc.net.au/news/2016-10-28/red-cross-blood-service-admits-to-data-breach/7974036</t>
  </si>
  <si>
    <t xml:space="preserve">Telegram </t>
  </si>
  <si>
    <t>Instant messaging service</t>
  </si>
  <si>
    <t>An Iranian hacking group called Rocket Kitten stole millions of phone numbers from Telegram, an instant messaging service which prides itself on strong security.</t>
  </si>
  <si>
    <t>Venture Beat</t>
  </si>
  <si>
    <t>http://venturebeat.com/2016/08/02/hackers-break-into-telegram-revealing-15-million-users-phone-numbers/</t>
  </si>
  <si>
    <t>Dailymotion</t>
  </si>
  <si>
    <t>video sharing site</t>
  </si>
  <si>
    <t>Users of the video sharing site had their email addresses and usernames stolen. One in five also had their passwords compromised.</t>
  </si>
  <si>
    <t>http://www.zdnet.com/article/dailymotion-hack-exposes-millions-of-accounts/</t>
  </si>
  <si>
    <t>Weebly</t>
  </si>
  <si>
    <t>IP addresses, usernames and hashed passwords were stolen from the web design platform.</t>
  </si>
  <si>
    <t>https://techcrunch.com/2016/10/20/weebly-hacked-43-million-credentials-stolen/</t>
  </si>
  <si>
    <t>Interpark</t>
  </si>
  <si>
    <t xml:space="preserve">South Korean police blamed North Korea for stealing personal customer data from a shopping mall's server in an attempt to obtain foreign currency. </t>
  </si>
  <si>
    <t>NY times</t>
  </si>
  <si>
    <t>http://www.nytimes.com/2016/07/29/world/asia/north-korea-hacking-interpark.html</t>
  </si>
  <si>
    <t>Healthcare data accessed by an unauthorised third party contained names, dates of birth and lab results.</t>
  </si>
  <si>
    <t>Newsroom</t>
  </si>
  <si>
    <t>http://newsroom.questdiagnostics.com/2016-12-12-Quest-Diagnostics-Provides-Notice-of-Data-Security-Incident#assets_129</t>
  </si>
  <si>
    <t>Friend Finder Network</t>
  </si>
  <si>
    <t>Parent company of Adult Friend Finder , Cams.com and Penthouse.com</t>
  </si>
  <si>
    <t>Almost every password used on Adult Friend Finder, Cams.com and Penthouse.com was breached. Those passwords were encrypted, but easily crackable.</t>
  </si>
  <si>
    <t>412m</t>
  </si>
  <si>
    <t>http://www.zdnet.com/article/adultfriendfinder-network-hack-exposes-secrets-of-412-million-users/</t>
  </si>
  <si>
    <t>Brazzers</t>
  </si>
  <si>
    <t>Porn site</t>
  </si>
  <si>
    <t>A vulnerability in the pornsite's forum software compromised millions of accounts, many of which had identical login details for the site itself.</t>
  </si>
  <si>
    <t>https://www.vice.com/en_us/article/vv7pgd/nearly-800000-brazzers-porn-site-accounts-exposed-in-forum-hack</t>
  </si>
  <si>
    <t>ClixSense</t>
  </si>
  <si>
    <t>A service which pays people to view adverts and take surveys was hacked. Stolen information included addresses, banking details and social security numbers.</t>
  </si>
  <si>
    <t>Digital trends</t>
  </si>
  <si>
    <t>http://www.digitaltrends.com/computing/clixsense-hacked/</t>
  </si>
  <si>
    <t>Carefirst</t>
  </si>
  <si>
    <t>Blue Cross, Blue Shield US medical insurer</t>
  </si>
  <si>
    <t>Hackers gained access to a database belonging to the healthcare insurer, stealing names, birth dates, email addresses and insurance ID numbers.</t>
  </si>
  <si>
    <t>https://krebsonsecurity.com/2015/05/carefirst-blue-cross-breach-hits-1-1m/</t>
  </si>
  <si>
    <t>Gaming site</t>
  </si>
  <si>
    <t>All users were forced to reset their passwords after unauthorised access to a number of accounts.</t>
  </si>
  <si>
    <t>http://blog.twitch.tv/2015/03/important-notice-about-your-twitch-account/</t>
  </si>
  <si>
    <t>Premera</t>
  </si>
  <si>
    <t>US healthcare provider</t>
  </si>
  <si>
    <t>The health insurance firm revealed that its IT systems had been breached, exposing financial and medical records.</t>
  </si>
  <si>
    <t>Computer Weekly</t>
  </si>
  <si>
    <t>https://www.computerweekly.com/news/2240242508/Premera-hack-exposes-11-million-financial-and-medical-records</t>
  </si>
  <si>
    <t>The breach, which occurred in Sep 2014, revealed the names &amp; license plates of 50,000 drivers across the USA.</t>
  </si>
  <si>
    <t>tech, web</t>
  </si>
  <si>
    <t>https://techcrunch.com/2015/02/27/uber-database-breach-exposed-information-of-50000-drivers-company-confirms/</t>
  </si>
  <si>
    <t>Deep Root Analytics</t>
  </si>
  <si>
    <t>A insecure database containing US voter information was discovered by a researcher. It contained names, addresses, contact details and party affiliations.</t>
  </si>
  <si>
    <t>198m</t>
  </si>
  <si>
    <t>Reuters, UpGuard</t>
  </si>
  <si>
    <t>http://uk.reuters.com/article/us-usa-voters-breach-idUKKBN0UB1E020151229</t>
  </si>
  <si>
    <t>https://www.upguard.com/breaches/the-rnc-files</t>
  </si>
  <si>
    <t>Kromtech</t>
  </si>
  <si>
    <t>MacKeeper software</t>
  </si>
  <si>
    <t xml:space="preserve">A security researcher stumbled on an insecure database belonging to the Mac software provider, containing usernames, email addresses and passwords. </t>
  </si>
  <si>
    <t>https://www.bbc.co.uk/news/technology-35100330</t>
  </si>
  <si>
    <t>https://www.reddit.com/r/apple/comments/3wq9fc/massive_data_breach/</t>
  </si>
  <si>
    <t>Invest Bank</t>
  </si>
  <si>
    <t>United Arab Emirates bank</t>
  </si>
  <si>
    <t>A hacker breached the systems of a UAE bank. They demanded a ransom of $3m in bitcoin to stop tweeting data, relating mainly to corporate accounts.</t>
  </si>
  <si>
    <t xml:space="preserve">Daily Dot </t>
  </si>
  <si>
    <t>https://www.dailydot.com/debug/invest-bank-hacker-buba/</t>
  </si>
  <si>
    <t>Sanrio</t>
  </si>
  <si>
    <t>Hello Kitty and other franchises</t>
  </si>
  <si>
    <t>A researcher accessed a database containing login information, password hints and birthdates of fans of the Hello Kitty brand, including many children.</t>
  </si>
  <si>
    <t>CSO Online</t>
  </si>
  <si>
    <t>https://www.csoonline.com/article/3017171/database-leak-exposes-3-3-million-hello-kitty-fans.html</t>
  </si>
  <si>
    <t>VTech</t>
  </si>
  <si>
    <t>Toymaker company</t>
  </si>
  <si>
    <t>The toy maker was targeted by a hacker who stole the private data of millions of children, including names, email addresses and birth dates.</t>
  </si>
  <si>
    <t>http://www.theguardian.com/technology/2015/dec/02/vtech-hack-us-hong-kong-investigate-children-exposed</t>
  </si>
  <si>
    <t>http://www.troyhunt.com/2015/11/when-children-are-breached-inside.html</t>
  </si>
  <si>
    <t>Hacking Team</t>
  </si>
  <si>
    <t>An Italian hacking firm which sells digital surveillance software to national security organisations – including those of repressive regimes – was itself hacked, and the data put on BitTorrent.</t>
  </si>
  <si>
    <t>http://www.theguardian.com/technology/2015/jul/06/hacking-team-hacked-firm-sold-spying-tools-to-repressive-regimes-documents-claim</t>
  </si>
  <si>
    <t>AshleyMadison.com</t>
  </si>
  <si>
    <t>US ex-marital affairs site</t>
  </si>
  <si>
    <t>The online hookup site for extra-marital affairs was severely breached. Personal details and company financial records were threatened with release.</t>
  </si>
  <si>
    <t>http://krebsonsecurity.com/2015/07/online-cheating-site-ashleymadison-hacked/</t>
  </si>
  <si>
    <t>US Office of Personnel Management (2nd Breach)</t>
  </si>
  <si>
    <t>Hackers with suspected links to China accessed sensitive data on US intelligence and military personnel, leading to concerns about potential blackmail attempts.</t>
  </si>
  <si>
    <t>http://www.bbc.co.uk/news/world-us-canada-33120405</t>
  </si>
  <si>
    <t>http://www.reuters.com/article/2015/07/09/us-cybersecurity-usa-idUSKCN0PJ2M420150709?feedType=RSS&amp;feedName=topNews&amp;utm_source=twitter</t>
  </si>
  <si>
    <t>US Office of Personnel Management</t>
  </si>
  <si>
    <t>Hackers gained access to federal employees’ Social Security numbers, job assignments, performance ratings and training information.</t>
  </si>
  <si>
    <t>http://www.washingtonpost.com/world/national-security/chinese-hackers-breach-federal-governments-personnel-office/2015/06/04/889c0e52-0af7-11e5-95fd-d580f1c5d44e_story.html?tid=hpModule_04941f10-8a79-11e2-98d9-3012c1cd8d1e</t>
  </si>
  <si>
    <t>Australian Immigration Department</t>
  </si>
  <si>
    <t>An agency employee inadvertently sent the passport numbers and visa details of all world leaders attending the G20 Brisbane summit to the organisers of the Asian Cup football tournament.</t>
  </si>
  <si>
    <t>http://www.theguardian.com/world/2015/mar/30/personal-details-of-world-leaders-accidentally-revealed-by-g20-organisers</t>
  </si>
  <si>
    <t>IRS</t>
  </si>
  <si>
    <t>US Tax service</t>
  </si>
  <si>
    <t>An organized crime syndicate used the IRS website to steal taxpayers' personal financial information. 15,000 of them were used to claim refunds in other people's names.</t>
  </si>
  <si>
    <t>http://money.cnn.com/2015/05/26/pf/taxes/irs-website-data-hack/index.html</t>
  </si>
  <si>
    <t>MSpy</t>
  </si>
  <si>
    <t>kid &amp; partner tracking service</t>
  </si>
  <si>
    <t>A service that claims to help people spy on mobile devices was hacked, exposing emails, text messages, payment and location data.</t>
  </si>
  <si>
    <t>http://krebsonsecurity.com/2015/05/mobile-spy-software-maker-mspy-hacked-customer-data-leaked/</t>
  </si>
  <si>
    <t>Adult Friend Finder</t>
  </si>
  <si>
    <t>Internet dating &amp; hookup site</t>
  </si>
  <si>
    <t>Data found on the dark web included sexual preferences, names, email addresses, usernames, dates of birth and postal codes. It included information of former as well as current users.</t>
  </si>
  <si>
    <t>Channel 4</t>
  </si>
  <si>
    <t>http://www.channel4.com/news/adult-friendfinder-dating-hack-internet-dark-web</t>
  </si>
  <si>
    <t>Securus Technologies</t>
  </si>
  <si>
    <t>Prison phone service provider</t>
  </si>
  <si>
    <t>An anonymous hacker leaked records of over 70m prisoner phone calls, plus links to recordings, potentially violating constitutional protections.</t>
  </si>
  <si>
    <t>70m</t>
  </si>
  <si>
    <t>The Intercept</t>
  </si>
  <si>
    <t>https://theintercept.com/2015/11/11/securus-hack-prison-phone-company-exposes-thousands-of-calls-lawyers-and-clients/</t>
  </si>
  <si>
    <t>TalkTalk</t>
  </si>
  <si>
    <t>Telecoms provider</t>
  </si>
  <si>
    <t>Shares in the telecoms firm plunged by a third after the hack, which exposed the banking details of more than 15,000 people.</t>
  </si>
  <si>
    <t>https://www.bbc.co.uk/news/business-34743185</t>
  </si>
  <si>
    <t>http://www.bbc.co.uk/news/uk-34611857</t>
  </si>
  <si>
    <t>Experian / T-mobile</t>
  </si>
  <si>
    <t>The world's biggest data monitoring firm disclosed a massive data breach. It had exposed the details of T-Mobile customers applying for credit checks.</t>
  </si>
  <si>
    <t>http://www.reuters.com/article/2015/10/02/us-tmobile-dataprotection-idUSKCN0RV5PL20151002</t>
  </si>
  <si>
    <t>Slack</t>
  </si>
  <si>
    <t>software for remote working</t>
  </si>
  <si>
    <t>Sometime in February 2015, hackers were able to peruse Slack’s central database for up to four days. That database included usernames, email addresses and encrypted passwords.</t>
  </si>
  <si>
    <t>http://techcrunch.com/2015/03/27/slack-got-hacked/</t>
  </si>
  <si>
    <t>CarPhone Warehouse</t>
  </si>
  <si>
    <t>UK mobile phone supplier</t>
  </si>
  <si>
    <t>The breach exposed names, addresses, birth date and bank details. Around 480,000 were TalkTalk Mobile customers; 1.9m were customers of Carphone Warehouse directly.</t>
  </si>
  <si>
    <t>http://www.theguardian.com/technology/2015/aug/10/carphone-warehouse-uk-data-watchdog-investigating-customer-hack</t>
  </si>
  <si>
    <t>Frequent flyer accounts</t>
  </si>
  <si>
    <t>Hackers accessed tens of thousands of British Airways frequent-flyer accounts. The airline froze the affected accounts while it resolved the issue.</t>
  </si>
  <si>
    <t>http://www.theguardian.com/business/2015/mar/29/british-airways-frequent-flyer-accounts-hacked</t>
  </si>
  <si>
    <t xml:space="preserve">Anthem </t>
  </si>
  <si>
    <t>Second-largest health insurer in the US</t>
  </si>
  <si>
    <t>A "sophisticated cyberattack" on one of the USA's largest health insurers uncovered names, dates of birth, social security numbers, addresses and employment information.</t>
  </si>
  <si>
    <t>80m</t>
  </si>
  <si>
    <t>https://www.nytimes.com/2015/02/05/business/hackers-breached-data-of-millions-insurer-says.html</t>
  </si>
  <si>
    <t>UCLA Health</t>
  </si>
  <si>
    <t>Patient information was exposed in a hack on the network. In 2019, the firm reached a $2 million class-action lawsuit settlement.</t>
  </si>
  <si>
    <t>4.5m</t>
  </si>
  <si>
    <t>Health IT Security</t>
  </si>
  <si>
    <t>https://healthitsecurity.com/news/ucla-health-reaches-7.5m-settlement-over-2015-breach-of-4.5m</t>
  </si>
  <si>
    <t>US retailer</t>
  </si>
  <si>
    <t>Malware in the firm's IT system leaked customer payment data for several months.</t>
  </si>
  <si>
    <t>http://www.nytimes.com/2014/01/24/business/neiman-marcus-breach-affected-1-1-million-cards.html</t>
  </si>
  <si>
    <t>http://krebsonsecurity.com/2014/08/stealthy-razor-thin-atm-insert-skimmers/</t>
  </si>
  <si>
    <t>AOL</t>
  </si>
  <si>
    <t>User accounts were compromised in order to send out spam messages.</t>
  </si>
  <si>
    <t>https://www.nbcnews.com/tech/security/youve-got-hacked-aol-confirms-significant-number-mail-users-hit-n91701</t>
  </si>
  <si>
    <t>Community Health Systems</t>
  </si>
  <si>
    <t>The US hospital operator suffered a system breach, leaking 5 years worth of data. Details included names, addresses, social security numbers. The goal: identity theft.</t>
  </si>
  <si>
    <t>http://money.cnn.com/2014/08/18/technology/security/hospital-chs-hack/</t>
  </si>
  <si>
    <t>Privatization Agency of the Republic of Serbia</t>
  </si>
  <si>
    <t>A text file containing personal data and financial documents relating to almost all adult Serbian citizens was made publically available.</t>
  </si>
  <si>
    <t>Poverenik</t>
  </si>
  <si>
    <t>https://www.poverenik.rs/en/press-releases/1953-povreda-prava-na-zastitu-podataka-o-licnosti-skoro-svih-punoletnih-gradjana-srbije.html</t>
  </si>
  <si>
    <t>Sony Pictures</t>
  </si>
  <si>
    <t>Potentially every piece of data held by the company was hacked, including unreleased films, employee social security numbers and sensitive internal documents. North Korea suspected.</t>
  </si>
  <si>
    <t>Buzzfeed</t>
  </si>
  <si>
    <t>http://www.buzzfeed.com/tomgara/sony-hack</t>
  </si>
  <si>
    <t>Indiana University</t>
  </si>
  <si>
    <t>Students who attended the university between 2011 and 2014 may have had their data accessed by three automated computer data mining applications.</t>
  </si>
  <si>
    <t>http://news.iu.edu/releases/iu/2014/02/data-exposure-disclosure.shtml</t>
  </si>
  <si>
    <t>http://www.usatoday.com/story/news/nation/2014/02/26/indiana-university-data-breach/5830685/</t>
  </si>
  <si>
    <t>Ebay</t>
  </si>
  <si>
    <t>Hackers attacked between late February and early March, using the login credentials of three corporate employees. They then accessed a database containing all user records.</t>
  </si>
  <si>
    <t>145m</t>
  </si>
  <si>
    <t>https://www.businessinsider.com/cyber-thieves-took-data-on-145-million-ebay-customers-by-hacking-3-corporate-employees-2014-5?r=US&amp;IR=T</t>
  </si>
  <si>
    <t>UPS</t>
  </si>
  <si>
    <t>Malware was discovered in the credit &amp; debit card processing systems of 51 UPS branches in 24 states. It was leaking data for as long as eight months.</t>
  </si>
  <si>
    <t>Time</t>
  </si>
  <si>
    <t>http://time.com/3151681/ups-hack/</t>
  </si>
  <si>
    <t>European Central Bank</t>
  </si>
  <si>
    <t>The ECB received an anonymous call requesting money in return for the stolen data. The bank didn't say how much the blackmailer asked for, but did say that it refused to pay anything.</t>
  </si>
  <si>
    <t>City am</t>
  </si>
  <si>
    <t>http://www.cityam.com/1406190300/ecb-website-hacked</t>
  </si>
  <si>
    <t>JP Morgan Chase</t>
  </si>
  <si>
    <t>A hack of the USA's largest bank began in June, but was not discovered until July, when the hackers had already obtained the highest level of administrative privilege for dozens of servers.</t>
  </si>
  <si>
    <t>76m</t>
  </si>
  <si>
    <t>Deal Book</t>
  </si>
  <si>
    <t>http://dealbook.nytimes.com/2014/10/02/jpmorgan-discovers-further-cyber-security-issues/?_php=true&amp;_type=blogs&amp;_r=0</t>
  </si>
  <si>
    <t>New York Taxis</t>
  </si>
  <si>
    <t>A freedom of information request resulted in the release of data on all 173 million journeys undertaken by New York taxis in one year. Unfortunately, the data was not properly anonymised.</t>
  </si>
  <si>
    <t>https://medium.com/@vijayp/f6bc289679a1</t>
  </si>
  <si>
    <t>HSBC Turkey</t>
  </si>
  <si>
    <t>An attack on credit and debit card systems left numbers, account numbers, expiry dates and customer names compromised.</t>
  </si>
  <si>
    <t>http://www.reuters.com/article/us-hsbc-turkey-cybersecurity/hsbc-turkey-says-customer-credit-card-data-stolen-idUSKCN0IW1RR20141112</t>
  </si>
  <si>
    <t>Japan Airlines</t>
  </si>
  <si>
    <t>Japan Airlines confirmed the possible theft of information from up to 750,000 frequent-flier programme members, including names, birth dates, addresses and places of work.</t>
  </si>
  <si>
    <t>WSJ, Japan Airlines</t>
  </si>
  <si>
    <t>http://online.wsj.com/articles/japan-airlines-reports-hacker-attack-1412053828</t>
  </si>
  <si>
    <t>http://www.jal.co.jp/en/info/other/140924.html</t>
  </si>
  <si>
    <t>Staples</t>
  </si>
  <si>
    <t>Point of sale systems were infected with malware. Thieves may have used it to steal customer names, payment card numbers, expiration dates and card verification codes.</t>
  </si>
  <si>
    <t>http://fortune.com/2014/12/19/staples-cards-affected-breach/</t>
  </si>
  <si>
    <t>GMail</t>
  </si>
  <si>
    <t>Account details and passwords were posted on a Russian Bitcoin forum. Close inspection revealed the user details to be old (3+ years). Gmail itself was not hacked.</t>
  </si>
  <si>
    <t>The Next Web</t>
  </si>
  <si>
    <t>http://thenextweb.com/google/2014/09/10/4-93-million-gmail-usernames-passwords-published-google-says-evidence-systems-compromised/</t>
  </si>
  <si>
    <t>Home Depot</t>
  </si>
  <si>
    <t>Malware installed on cash register systems at 2,200 stores syphoned credit card details of up to 56 million customers, which were then sold online.</t>
  </si>
  <si>
    <t>http://krebsonsecurity.com/2014/09/banks-credit-card-breach-at-home-depot/</t>
  </si>
  <si>
    <t>Korea Credit Bureau</t>
  </si>
  <si>
    <t>An employee was accused of of stealing data from customers of three credit card firms while working as a temporary consultant.</t>
  </si>
  <si>
    <t>Security Week</t>
  </si>
  <si>
    <t>http://www.securityweek.com/20-million-people-fall-victim-south-korea-data-leak</t>
  </si>
  <si>
    <t>Dominios Pizzas (France)</t>
  </si>
  <si>
    <t>Hackers demanded a ransom of €30,000 (£24,000) from Domino's Pizza after stealing personal data on more than 600,000 of its French and Belgian customers.</t>
  </si>
  <si>
    <t>http://www.theguardian.com/technology/2014/jun/16/dominos-pizza-ransom-hack-data</t>
  </si>
  <si>
    <t>Mozilla</t>
  </si>
  <si>
    <t>After the failure of a "data sanitation" process, Mozilla’s developer community was alerted to an accidental leak of email addresses and encrypted passwords.</t>
  </si>
  <si>
    <t>http://www.theguardian.com/technology/2014/aug/05/mozilla-leak-developer-email-addresses-passwords-firefox</t>
  </si>
  <si>
    <t>Massive American business hack</t>
  </si>
  <si>
    <t>7-Eleven, JC Penney, Hannaford, Heartland, JetBlue, Dow Jones, Euronet, Visa Jordan, Global Payment, Diners Singapore and Ingenicard</t>
  </si>
  <si>
    <t>For more than seven years a hacking ring targeted banks, payment processors and chain stores to steal more than 160 million credit and debit card numbers.</t>
  </si>
  <si>
    <t>160m</t>
  </si>
  <si>
    <t>Technology Review</t>
  </si>
  <si>
    <t>https://www.technologyreview.com/s/517551/prosecutors-describe-massive-breach-of-credit-card-data/</t>
  </si>
  <si>
    <t>Affinity Health Plan, Inc.</t>
  </si>
  <si>
    <t>A rented photocopier used to copy health records did not have its hard-drive wiped before its return, exposing personal data.</t>
  </si>
  <si>
    <t>Proskauer</t>
  </si>
  <si>
    <t>https://privacylaw.proskauer.com/2013/08/articles/identity-theft/a-1-2-million-photocopier-mistake-health-plan-settles-with-hhs-in-hipaa-breach-case/</t>
  </si>
  <si>
    <t>Citigroup</t>
  </si>
  <si>
    <t>The bank failed to redact court records before they were placed on a publicly accessible system. The personal information of customers entering bankruptcy between 2007-2011 was exposed.</t>
  </si>
  <si>
    <t>http://news.softpedia.com/news/Citi-Exposes-Details-of-150-000-Individuals-Who-Went-into-Bankruptcy-369979.shtml</t>
  </si>
  <si>
    <t>Tianya</t>
  </si>
  <si>
    <t xml:space="preserve">Usernames, clear tect passwords and email addresses hacked. </t>
  </si>
  <si>
    <t>China's biggest online forum confirmed that private information for 40 million users had been breached back in 2011.</t>
  </si>
  <si>
    <t>Computer World, Hacker News</t>
  </si>
  <si>
    <t>http://www.scmagazine.com.au/News/349585,28-million-clear-text-passwords-found-after-tianya65279-hack.aspx</t>
  </si>
  <si>
    <t>https://thehackernews.com/2011/12/tianya-chinas-biggest-online-forum-40.html</t>
  </si>
  <si>
    <t>Scribd</t>
  </si>
  <si>
    <t xml:space="preserve">"world's largest online library" </t>
  </si>
  <si>
    <t>A website billing itself as the "world's largest online library" was hacked. 1% of its users had passwords compromised.</t>
  </si>
  <si>
    <t>Naked Security, NBC News</t>
  </si>
  <si>
    <t>http://nakedsecurity.sophos.com/2013/04/05/scribd-worlds-largest-online-library-admits-to-network-intrusion-password-breach/</t>
  </si>
  <si>
    <t>http://www.nbcnews.com/technology/scribd-hack-exposes-thousands-users-1B9239618</t>
  </si>
  <si>
    <t>Living Social</t>
  </si>
  <si>
    <t>special offers website</t>
  </si>
  <si>
    <t>Hackers gained access to  names, e-mail addresses, dates of birth &amp; encrypted passwords for 50 million users of an online offers site part-owned by Amazon.</t>
  </si>
  <si>
    <t>Naked Security, New York Times</t>
  </si>
  <si>
    <t>http://nakedsecurity.sophos.com/2013/04/27/livingsocial-hacked-50-million-affected/</t>
  </si>
  <si>
    <t>http://bits.blogs.nytimes.com/2013/04/26/living-social-hack-exposes-data-for-50-million-customers/</t>
  </si>
  <si>
    <t xml:space="preserve">A 2013 attack was eventually disclosed in 2016. Stolen data included names, telephone numbers, birth dates, passwords and security questions. </t>
  </si>
  <si>
    <t>1bn</t>
  </si>
  <si>
    <t>NY Times, BBC</t>
  </si>
  <si>
    <t>http://www.nytimes.com/2016/12/14/technology/yahoo-hack.html?action=Click&amp;contentCollection=BreakingNews&amp;contentID=64651831&amp;pgtype=Homepage&amp;_r=0</t>
  </si>
  <si>
    <t>https://www.bbc.co.uk/news/business-41493494</t>
  </si>
  <si>
    <t>SnapChat</t>
  </si>
  <si>
    <t>Hackers abused an exploit to siphon off usernames and phone numbers, which were then posted online.</t>
  </si>
  <si>
    <t>https://www.bbc.co.uk/news/technology-25572661</t>
  </si>
  <si>
    <t>University of Delaware</t>
  </si>
  <si>
    <t>Confidential personal information on past and current employees of the University of Delaware was stolen when a software vulnerability was exploited.</t>
  </si>
  <si>
    <t>http://www1.udel.edu/udaily/2014/jul/resources073013.html</t>
  </si>
  <si>
    <t>Central Hudson Gas &amp; Electric</t>
  </si>
  <si>
    <t>Customer banking information and other personal information may have been accessed when systems belonging to the energy supplier were hacked.</t>
  </si>
  <si>
    <t>eSecurity Planet</t>
  </si>
  <si>
    <t>https://www.esecurityplanet.com/network-security/central-hudson-gas-and-electric-hacked.html</t>
  </si>
  <si>
    <t>A Java vulnerability gave hackers access to some user information including usernames, email addresses, session tokens and encrypted/salted versions of passwords.</t>
  </si>
  <si>
    <t>https://edition.cnn.com/2013/02/01/tech/social-media/twitter-hacked/index.html</t>
  </si>
  <si>
    <t>Crescent Health Inc., Walgreens</t>
  </si>
  <si>
    <t>A stolen laptop exposed private data including names, social security numbers, health insurance information, birth dates, diagnoses and other medical information.</t>
  </si>
  <si>
    <t>Healthcare IT News</t>
  </si>
  <si>
    <t>https://www.healthcareitnews.com/news/walgreens-company-announces-data-breach</t>
  </si>
  <si>
    <t>Florida Department of Juvenile Justice</t>
  </si>
  <si>
    <t>The theft of a mobile device containing youth and employment records exposed 100,000 young people to potential identity theft.</t>
  </si>
  <si>
    <t>https://www.databreaches.net/stolen-florida-dept-of-juvenile-justice-device-contained-records-of-more-than-100000-youth-and-employees/</t>
  </si>
  <si>
    <t>Advocate Medical Group</t>
  </si>
  <si>
    <t>Four unencrypted computers were stolen from an office belonging to the healthcare provider. 4,000,000 patient names, addresses, dates of birth and Social Security numbers were exposed.</t>
  </si>
  <si>
    <t>http://healthitsecurity.com/2013/08/27/advocate-medical-group-endures-massive-data-breach/</t>
  </si>
  <si>
    <t>OVH</t>
  </si>
  <si>
    <t>French Internet host</t>
  </si>
  <si>
    <t>A hacker gained access to an email account, from where they were able to compromise the firm's internal systems. The European customer database was exposed.</t>
  </si>
  <si>
    <t>http://status.ovh.net/?do=details&amp;id=5070</t>
  </si>
  <si>
    <t>Apple</t>
  </si>
  <si>
    <t>Apple's developer portal was hacked. "Some" information about 275,000 3rd-party developers was potentially stolen.</t>
  </si>
  <si>
    <t>http://www.guardian.co.uk/technology/2013/jul/22/apple-developer-site-hacked</t>
  </si>
  <si>
    <t>NASDAQ</t>
  </si>
  <si>
    <t>Nasdaq OMX Group</t>
  </si>
  <si>
    <t>Cybercriminals targeted the Nasdaq online forum, stealing email addresses and passwords.</t>
  </si>
  <si>
    <t>https://uk.reuters.com/article/net-us-nasdaq-cybercrime-website/nasdaq-forum-website-hacked-passwords-compromised-idUSBRE96H1F520130718</t>
  </si>
  <si>
    <t>UbiSoft</t>
  </si>
  <si>
    <t>games company</t>
  </si>
  <si>
    <t>The video games publisher revealed that user names, email addresses and encrypted passwords had been "illegally accessed".</t>
  </si>
  <si>
    <t>https://www.bbc.co.uk/news/technology-23159997</t>
  </si>
  <si>
    <t>Ubuntu</t>
  </si>
  <si>
    <t>The discussion forum for the popular alternative, open-source operating system</t>
  </si>
  <si>
    <t>The discussion forum for the operating system was hacked, exposing personal details and weakly-hashed passwords.</t>
  </si>
  <si>
    <t>http://arstechnica.com/security/2013/07/hack-exposes-e-mail-addresses-password-data-for-2-million-ubuntu-forum-users/</t>
  </si>
  <si>
    <t>Japan's Club Nintendo service</t>
  </si>
  <si>
    <t>Names, phone numbers, home and email addresses of Japanese members of Club Nintendo were stolen after a website breach.</t>
  </si>
  <si>
    <t>https://www.zdnet.com/article/club-nintendo-site-hacked-customer-data-exposed/</t>
  </si>
  <si>
    <t>National Security Agency</t>
  </si>
  <si>
    <t xml:space="preserve">Edward Snowden, an intelligence contractor in Hawaii, downloaded up to 1.5 million files. He then flew to Hong Kong to meet journalists Glenn Greenwald and Laura Poitras before fleeing to Moscow. </t>
  </si>
  <si>
    <t>http://uk.businessinsider.com/snowden-leaks-timeline-2016-9</t>
  </si>
  <si>
    <t xml:space="preserve">By using the network's "Download Your Information" tool, some Facebook members were able to access phone numbers and email addresses of strangers. </t>
  </si>
  <si>
    <t>https://www.facebook.com/notes/facebook-security/important-message-from-facebooks-white-hat-program/10151437074840766</t>
  </si>
  <si>
    <t>Evernote</t>
  </si>
  <si>
    <t>online note-taking site</t>
  </si>
  <si>
    <t>Evernote asked all its users to reset their passwords, following the discovery of unauthorised access of personal details.</t>
  </si>
  <si>
    <t>Wired, Digital Trends</t>
  </si>
  <si>
    <t>http://www.wired.co.uk/news/archive/2013-03/04/evernote-hacked</t>
  </si>
  <si>
    <t>http://www.digitaltrends.com/mobile/evernote-hack-50-million-users-forced-to-reset-passwords/</t>
  </si>
  <si>
    <t>Kirkwood Community College</t>
  </si>
  <si>
    <t>Hacked online database</t>
  </si>
  <si>
    <t>Hackers accessed data relating to applications made between February 2006 and March 2013, including names, birth dates, race, contact information and Social Security numbers.</t>
  </si>
  <si>
    <t>https://www.esecurityplanet.com/hackers/kirkwood-community-college-hacked.html</t>
  </si>
  <si>
    <t>Yahoo Japan</t>
  </si>
  <si>
    <t>22 million Yahoo user IDs may have been leaked after Yahoo detected an unauthorized attempt to access the administrative system of its Yahoo Japan portal.</t>
  </si>
  <si>
    <t>https://www.reuters.com/article/us-yahoojapan/yahoo-japan-suspects-22-million-user-ids-leaked-kyodo-idUSBRE94G0P620130517</t>
  </si>
  <si>
    <t>Drupal</t>
  </si>
  <si>
    <t>open-source content management platform</t>
  </si>
  <si>
    <t>Malicious files were placed on the servers of the content management platform. They exposed usernames, e-mail addresses and cryptographically hashed passwords.</t>
  </si>
  <si>
    <t>http://arstechnica.com/security/2013/05/drupal-org-resets-login-credentials-after-hack-exposes-password-data/</t>
  </si>
  <si>
    <t>TerraCom &amp; YourTel</t>
  </si>
  <si>
    <t>Journalists discovered the personal data of over 170,000 customers on a publicly accessible server. Hilariously, the firms branded the journalists "hackers".</t>
  </si>
  <si>
    <t>Boing Boing, Wired</t>
  </si>
  <si>
    <t>http://boingboing.net/2013/05/23/terracom-and-yourtel-threaten.html</t>
  </si>
  <si>
    <t>http://www.wired.co.uk/news/archive/2013-05/23/reporter-google-breach-hacker</t>
  </si>
  <si>
    <t>Washington State court system</t>
  </si>
  <si>
    <t>Administrative offices</t>
  </si>
  <si>
    <t>Social Security numbers and a million driver's license numbers may have been accessed by hackers exploiting weaknesses in old server software.</t>
  </si>
  <si>
    <t>Reuters, Privacy Rights</t>
  </si>
  <si>
    <t>https://www.reuters.com/article/us-usa-hack-washingtonstate-idUSBRE9480YY20130509</t>
  </si>
  <si>
    <t>http://www.privacyrights.org/data-breach</t>
  </si>
  <si>
    <t>MacRumours.com</t>
  </si>
  <si>
    <t>A moderator account on the forum was logged into by the hacker, who then was able to escalate privileges. All users were advised to change their passwords.</t>
  </si>
  <si>
    <t>http://www.wired.co.uk/news/archive/2013-11/13/mac-rumours-forums-hacked</t>
  </si>
  <si>
    <t>Court Ventures</t>
  </si>
  <si>
    <t>Experian</t>
  </si>
  <si>
    <t>A 24 year old Vietnamese national, Hieu Minh Ngo, ran an identity theft service from his bedroom. A deal he struck with Experian gave him access to the personal and financial data of American citizens.</t>
  </si>
  <si>
    <t>NY Times, Gov Tech</t>
  </si>
  <si>
    <t>https://krebsonsecurity.com/2014/03/experian-lapse-allowed-id-theft-service-to-access-200-million-consumer-records/</t>
  </si>
  <si>
    <t>http://www.govtech.com/security/San-Diego-Sues-Experian-Over-Alleged-2010-Breach.html</t>
  </si>
  <si>
    <t>Vodafone</t>
  </si>
  <si>
    <t>An IT contractor for the firm used his access to the telecom giant's system to steal customer details, including bank account numbers and sort codes.</t>
  </si>
  <si>
    <t>http://www.securityweek.com/attacker-steals-data-2-million-vodafone-germany-customers</t>
  </si>
  <si>
    <t>Adobe</t>
  </si>
  <si>
    <t>Hackers obtained access to a swathe of Adobe customer IDs, encrypted passwords &amp; sensitive information including encrypted credit and debit card numbers. Plus source code.</t>
  </si>
  <si>
    <t>https://www.bbc.co.uk/news/technology-24740873</t>
  </si>
  <si>
    <t>D&amp;B, Altegrity</t>
  </si>
  <si>
    <t>Hackers stole millions of social security numbers from a number of large US data brokers, intending to steal identities.</t>
  </si>
  <si>
    <t>USA Today; Reuters</t>
  </si>
  <si>
    <t>http://www.usatoday.com/story/cybertruth/2013/09/26/lexisnexis-dunn--bradstreet-altegrity-hacked/2878769/</t>
  </si>
  <si>
    <t>http://www.reuters.com/article/2013/09/26/us-cyberattacks-databrokers-idUSBRE98P03220130926</t>
  </si>
  <si>
    <t>ssndob.ms</t>
  </si>
  <si>
    <t>Teenage hackers collected data for exposed.su, a site that charged people to search for  the social security numbers, birthdays, phone numbers and addresses of celebrities.</t>
  </si>
  <si>
    <t>http://krebsonsecurity.com/2013/09/data-broker-giants-hacked-by-id-theft-service/</t>
  </si>
  <si>
    <t>Target</t>
  </si>
  <si>
    <t>Investigators believe that personal data was obtained via software installed on card-swiping machines at Target stores.</t>
  </si>
  <si>
    <t>Huffington Post</t>
  </si>
  <si>
    <t>http://www.huffingtonpost.com/2013/12/19/target-hacked-customer-credit-card-data-accessed_n_4471672.html?utm_hp_ref=mostpopular</t>
  </si>
  <si>
    <t>China Software Developer Network</t>
  </si>
  <si>
    <t>A man surnamed Zeng was arrested on suspicion of leaking personal information belonging to users of the China Software Developer Network (CSDN).</t>
  </si>
  <si>
    <t>http://www.zdnet.com/blog/security/chinese-hacker-arrested-for-leaking-6-million-logins/11064</t>
  </si>
  <si>
    <t>Global Payments</t>
  </si>
  <si>
    <t>Credit, debit and check processing for merchants (Visa, Mastercard, etc)</t>
  </si>
  <si>
    <t>Hackers gained unauthorised access to systems of the payment processing firm, exposing over a million credit card numbers.</t>
  </si>
  <si>
    <t>http://www.washingtonpost.com/business/technology/faq-the-global-payments-hack/2012/04/02/gIQAIHLLrS_story.html</t>
  </si>
  <si>
    <t>South Carolina Government</t>
  </si>
  <si>
    <t>South Carolina Department of Health and Human Services</t>
  </si>
  <si>
    <t>A man was arrested for sending confidential information on Medicaid beneficiaries to his personal email address.</t>
  </si>
  <si>
    <t>The State</t>
  </si>
  <si>
    <t>https://www.infosecurity-magazine.com/news/data-breach-hits-228000-south-carolina-medicaid/</t>
  </si>
  <si>
    <t>Three Iranian banks</t>
  </si>
  <si>
    <t>Saderat, Eghtesad Novin, &amp; Saman</t>
  </si>
  <si>
    <t>After finding a security flaw in Iran's banking system, Khosrow Zarefarid sent a formal report to the CEOs of all affected banks. When they ignored him, he hacked 3m bank accounts to prove his point.</t>
  </si>
  <si>
    <t>http://www.zdnet.com/blog/security/3-million-bank-accounts-hacked-in-iran/11577</t>
  </si>
  <si>
    <t>California Department of Child Support Services</t>
  </si>
  <si>
    <t>California child support records were lost in transit during a "disaster preparedness" exercise.</t>
  </si>
  <si>
    <t>https://www.businessinsider.com/california-child-support-data-breach-2012-4?IR=T</t>
  </si>
  <si>
    <t>Emory Healthcare</t>
  </si>
  <si>
    <t>hospital system in Atlanta</t>
  </si>
  <si>
    <t xml:space="preserve">The company 'misplaced' 10 backup discs containing sensitive patient information, including social security numbers. </t>
  </si>
  <si>
    <t>Emory</t>
  </si>
  <si>
    <t>http://news.emory.edu/stories/2012/04/ehc_missing_data/campus.html</t>
  </si>
  <si>
    <t>Office of the Texas Attorney General</t>
  </si>
  <si>
    <t>The office of Texas Attorney General Greg Abbott mistakenly gave attorneys access to a database containing millions of Social Security numbers.</t>
  </si>
  <si>
    <t>Raw Story</t>
  </si>
  <si>
    <t>http://www.rawstory.com/rs/2012/04/26/texas-attorney-general-exposes-millions-of-voters-social-security-numbers/</t>
  </si>
  <si>
    <t>Medicaid</t>
  </si>
  <si>
    <t>US health program for low income people and families</t>
  </si>
  <si>
    <t>Hackers operating out of Eastern Europe circumvented server security at the Utah Health Department, stealing the Social Security numbers of Medicaid claimants.</t>
  </si>
  <si>
    <t>government, health</t>
  </si>
  <si>
    <t>5</t>
  </si>
  <si>
    <t>https://www.reuters.com/article/us-usa-hackers-utah/european-hackers-suspected-in-utah-medicaid-files-breach-idUSBRE83404G20120405</t>
  </si>
  <si>
    <t>Blizzard</t>
  </si>
  <si>
    <t>Activision, Battle.net</t>
  </si>
  <si>
    <t xml:space="preserve">Scrambled passwords, e-mail addresses, and personal security answers were stolen from Blizzard's internal network. Blizzard would not elaborate on the size of the hack ("millions"). </t>
  </si>
  <si>
    <t>https://www.forbes.com/sites/erikkain/2012/08/09/its-official-blizzard-hacked-account-information-stolen/#6dfbcdc355d1</t>
  </si>
  <si>
    <t>New York State Electric &amp; Gas</t>
  </si>
  <si>
    <t>An employee from a software consulting firm was able to grant unauthorized access to the energy supplier's database.</t>
  </si>
  <si>
    <t>https://www.databreaches.net/nyseg-and-rge-notify-customers-of-unauthorized-access-to-customer-data/</t>
  </si>
  <si>
    <t>Memorial Healthcare System</t>
  </si>
  <si>
    <t>Florida</t>
  </si>
  <si>
    <t>For more than a year, an employee of an affiliated physician’s office accessed patient information through a web portal: names, dates of birth and Social Security numbers.</t>
  </si>
  <si>
    <t>Modern Healthcare</t>
  </si>
  <si>
    <t>https://www.databreaches.net/more-breaches-you-may-not-have-known-about/</t>
  </si>
  <si>
    <t>Zappos</t>
  </si>
  <si>
    <t>The Amazon-owned e-commerce firm was the target of a cyber attack on its internal network, exposing names, e-mail addresses, phone numbers,addresses, and encrypted passwords.</t>
  </si>
  <si>
    <t>http://www.forbes.com/sites/andygreenberg/2012/01/15/zappos-says-hackers-accessed-24-million-customers-account-details/</t>
  </si>
  <si>
    <t>Formspring</t>
  </si>
  <si>
    <t xml:space="preserve"> Interest-based social Q&amp;A website</t>
  </si>
  <si>
    <t>420,000 hashed passwords were posted to a security forum. Formspring immediately forced users to reset their passwords.</t>
  </si>
  <si>
    <t>http://news.cnet.com/8301-1009_3-57469944-83/formspring-disables-user-passwords-in-security-breach/?tag=mncol;txt</t>
  </si>
  <si>
    <t>KT Corp.</t>
  </si>
  <si>
    <t>Korean mobile carrier</t>
  </si>
  <si>
    <t>Two suspects earned an estimated $877,000 by selling the contact information and plan details of 8.7 million subscribers to Korea's second largest mobile phone network.</t>
  </si>
  <si>
    <t>Korea Times, CNet</t>
  </si>
  <si>
    <t>http://www.koreatimes.co.kr/www/news/biz/2012/07/113_116143.html</t>
  </si>
  <si>
    <t>http://news.cnet.com/8301-1009_3-57482215-83/hackers-accused-of-stealing-data-from-9m-korean-mobile-users/</t>
  </si>
  <si>
    <t>Yahoo Voices</t>
  </si>
  <si>
    <t>Usernames and passwords thought to be related to Yahoo's Voice service were dumped online, after being accessed in a database hack.</t>
  </si>
  <si>
    <t>https://www.helpnetsecurity.com/2012/07/12/nearly-half-a-million-yahoo-passwords-leaked-following-hack/</t>
  </si>
  <si>
    <t>Last.fm</t>
  </si>
  <si>
    <t>Owned by CBS</t>
  </si>
  <si>
    <t>Usernames, email addresses and other internal records, such as newsletter sign-ups and ad-related data, were stolen in a 2012 hack.</t>
  </si>
  <si>
    <t>http://www.zdnet.com/article/hackers-stole-43-million-last-fm-account-details-in-2012-breach/</t>
  </si>
  <si>
    <t>https://www.zdnet.com/article/last-fm-investigating-security-issue-passwords-leaked/</t>
  </si>
  <si>
    <t>LinkedIn, eHarmony, Last.fm</t>
  </si>
  <si>
    <t>Hacker 'dwdm' uploaded a file containing 6.5 million passwords to a Russian hacker forum. Soon after, another 1.5 million passwords were discovered in another file on the forum.</t>
  </si>
  <si>
    <t>Cnet</t>
  </si>
  <si>
    <t>http://news.cnet.com/8301-1009_3-57449325-83/what-the-password-leaks-mean-to-you-faq/?tag=mncol;txt</t>
  </si>
  <si>
    <t>Gamigo</t>
  </si>
  <si>
    <t>4 months after the gaming site Gamigo warned users about a hacker intrusion, more than 8 million usernames, emails &amp; encrypted passwords from the site were published on the web.</t>
  </si>
  <si>
    <t>http://www.forbes.com/sites/andygreenberg/2012/07/23/eight-million-passwords-spilled-from-gaming-site-gamigo-months-after-breach/</t>
  </si>
  <si>
    <t>Militarysingles.com</t>
  </si>
  <si>
    <t>Online dating network for, you guessed it, military singles</t>
  </si>
  <si>
    <t>Hacking group LulzSec released a database of 163,792 names, usernames, e-mail addresses, IP addresses, and passwords of "single" military personnel.</t>
  </si>
  <si>
    <t>web, military</t>
  </si>
  <si>
    <t>PC World</t>
  </si>
  <si>
    <t>http://www.pcworld.com/article/252647/reborn_lulzsec_claims_hack_of_dating_site_for_military_personnel.html</t>
  </si>
  <si>
    <t>"Apple"</t>
  </si>
  <si>
    <t>Millions of Apple Unique Device Identifiers (UDIDs) were leaked online. A hacking group claimed it had hacked an FBI laptop, but a software firm called BlueToad was found to be the source.</t>
  </si>
  <si>
    <t>tech, retail</t>
  </si>
  <si>
    <t>CNET</t>
  </si>
  <si>
    <t>http://news.cnet.com/8301-1009_3-57505330-83/antisec-claims-to-have-snatched-12m-apple-device-ids-from-fbi/</t>
  </si>
  <si>
    <t>http://news.cnet.com/8301-1009_3-57509595-83/udid-leak-source-idd-bluetoad-mobile-firm-says-it-was-hacked/</t>
  </si>
  <si>
    <t>Greek government</t>
  </si>
  <si>
    <t>A computer programmer was arrested in Greece for allegedly stealing the identity information of 83% of the country's population. The 35-year-old was suspected of trying to sell it on.</t>
  </si>
  <si>
    <t>http://www.wired.co.uk/news/archive/2012-11/22/greece-id-theft</t>
  </si>
  <si>
    <t>South Carolina State Dept. of Revenue</t>
  </si>
  <si>
    <t>A server containing social security numbers and credit card data was breached by an international hacker.</t>
  </si>
  <si>
    <t>Information Week</t>
  </si>
  <si>
    <t>http://www.infoworld.com/article/2615754/cyber-crime/south-carolina-reveals-massive-data-breach-of-social-security-numbers--credit-cards.html</t>
  </si>
  <si>
    <t>User credentials were stolen in a 2012 hack, but the number affected only came to light four years later. Dropbox reset any passwords that had been unchanged since 2012.</t>
  </si>
  <si>
    <t>68.7m</t>
  </si>
  <si>
    <t>The Telegraph</t>
  </si>
  <si>
    <t>https://www.bbc.co.uk/news/technology-37232635</t>
  </si>
  <si>
    <t>New York City Health &amp; Hospitals Corp.</t>
  </si>
  <si>
    <t>New York City Health &amp; Hospitals Corporation's North Bronx Healthcare Network</t>
  </si>
  <si>
    <t xml:space="preserve">Computer backup tapes from the New York provider were stolen from a truck that was transporting them to a secure storage location. </t>
  </si>
  <si>
    <t>InfoRisk</t>
  </si>
  <si>
    <t>https://www.inforisktoday.com/new-york-breach-affects-17-million-a-3349</t>
  </si>
  <si>
    <t>Seacoast Radiology, PA</t>
  </si>
  <si>
    <t>Computer gamers hacked a server in search of more bandwidth to play Call of Duty. In the process they  gained access to personal records of more than 230,000 patients.</t>
  </si>
  <si>
    <t>Fosters</t>
  </si>
  <si>
    <t>http://www.fosters.com/apps/pbcs.dll/article?AID=/20110120/GJNEWS_01/701209744</t>
  </si>
  <si>
    <t>South Shore Hospital, Massachusetts</t>
  </si>
  <si>
    <t>South Shore Hospital hired a contractor to destroy files no longer in use. The firm lost the shipment. It contained social security numbers, medical records and banking details.</t>
  </si>
  <si>
    <t>Boston Globe</t>
  </si>
  <si>
    <t>https://www.infosecurity-magazine.com/news/south-shore-hospital-data-breach-may-affect-up-to/</t>
  </si>
  <si>
    <t>Betfair</t>
  </si>
  <si>
    <t>UK gambling site</t>
  </si>
  <si>
    <t>Betfair waited 18 months to report the breach of their online gambling site, alarming banking institutions and security experts. The breach involved user names, addresses and account details.</t>
  </si>
  <si>
    <t>FT</t>
  </si>
  <si>
    <t>https://www-ft-com.libezproxy.open.ac.uk/content/819f5b1c-eb80-11e0-a576-00144feab49a</t>
  </si>
  <si>
    <t>Ankle &amp; foot Center of Tampa Bay, Inc.</t>
  </si>
  <si>
    <t>Names, social security numbers, date of birth, home addressees, account numbers, healthcare services and diagnostics were hacked.</t>
  </si>
  <si>
    <t>Phi Privacy</t>
  </si>
  <si>
    <t>https://www.databreaches.net/ankle-foot-center-of-tampa-bay-breach-affecting-156000-included-social-security-numbers-as-well-as-phi/</t>
  </si>
  <si>
    <t>Yale University</t>
  </si>
  <si>
    <t>The names and Social Security numbers of 43,000 people affiliated with the university were publicly viewable on Google for 10 months.</t>
  </si>
  <si>
    <t>http://www.nbcnews.com/id/44235153/ns/technology_and_science-security/t/data-breach-hits-yale-university/</t>
  </si>
  <si>
    <t>Morgan Stanley Smith Barney</t>
  </si>
  <si>
    <t>Morgan Stanley mailed two CDRs containing sensitive data about investors to the New York State Department of Taxation and Finance. When it arrived at the relevant desk, the CDs were missing.</t>
  </si>
  <si>
    <t>https://abcnews.go.com/Business/morgan-stanley-smith-barney-breach-losing-client-data/story?id=14008632</t>
  </si>
  <si>
    <t>State of Texas</t>
  </si>
  <si>
    <t>3.5 million records were accidentally published online including people's names, mailing addresses and social security numbers. They were there for a year.</t>
  </si>
  <si>
    <t>Dallas News</t>
  </si>
  <si>
    <t>https://uk.pcmag.com/news/105457/texas-security-breach-exposes-35m-records</t>
  </si>
  <si>
    <t>Epsilon</t>
  </si>
  <si>
    <t>Marketing email provider</t>
  </si>
  <si>
    <t xml:space="preserve">Names &amp; email addresses of customers of Barclaycard US, Capital One, JP Morgan, Citigroup &amp; other firms were stolen via a breach in an email system.  </t>
  </si>
  <si>
    <t>https://www.theguardian.com/technology/2011/apr/04/epsilon-email-hack</t>
  </si>
  <si>
    <t>Sony PSN</t>
  </si>
  <si>
    <t>Rounding off a thoroughly unhappy year for Sony, their third breach saw a breach of 76,000,000 Sony PSN and Qriocity user accounts. They were offline for 23 days.</t>
  </si>
  <si>
    <t>Mashable</t>
  </si>
  <si>
    <t>https://blog.playstation.com/archive/2011/04/28/playstation-network-and-qriocity-outage-faq/</t>
  </si>
  <si>
    <t>US Law Enforcement</t>
  </si>
  <si>
    <t>"AntiSec" hackers published a huge trove of personal information from 70 different US law enforcement agencies.</t>
  </si>
  <si>
    <t>http://www.pcmag.com/article2/0,2817,2390683,00.asp</t>
  </si>
  <si>
    <t>University of Wisconsin - Milwaukee</t>
  </si>
  <si>
    <t xml:space="preserve">A malware attack on a database server exposed the names and social security numbers of students and staff, past and present. </t>
  </si>
  <si>
    <t>https://www.zdnet.com/article/university-of-wisconsin-hacked-75000-social-security-numbers-student-names-exposed/</t>
  </si>
  <si>
    <t>Stratfor</t>
  </si>
  <si>
    <t>geopolitical intelligence firm</t>
  </si>
  <si>
    <t xml:space="preserve">Hacking collective Anonymous published what they claimed was Stratfor's confidential client list, along with credit card details and passwords. In fact, it was a list of subscribers to Stratfor's online publication. </t>
  </si>
  <si>
    <t>military</t>
  </si>
  <si>
    <t>3</t>
  </si>
  <si>
    <t>https://www.nytimes.com/2011/12/26/technology/hackers-breach-the-web-site-of-stratfor-global-intelligence.html?ref=technology&amp;mtrref=bits.blogs.nytimes.com&amp;gwh=A41315BCE5C521B2A0D451BEFF0886E9&amp;gwt=pay</t>
  </si>
  <si>
    <t>Chinese gaming sites</t>
  </si>
  <si>
    <t>Several major Chinese gaming sites were hacked, breaching millions of user records.</t>
  </si>
  <si>
    <t>eHacking News</t>
  </si>
  <si>
    <t>http://www.ehackingnews.com/2011/12/hackers-compromised-38-million-chinese.html</t>
  </si>
  <si>
    <t>Southern California Medical-Legal Consultants</t>
  </si>
  <si>
    <t>Electronic files containing names and social security numbers of approximately 300,000 individuals who have applied for workers’ compensation benefits were left unsecured.</t>
  </si>
  <si>
    <t>https://www.databreaches.net/southern-california-medical-legal-consultants-reveals-that-300000-workers-compensation-applicants-names-and-social-security-numbers-were-exposed-on-internet/</t>
  </si>
  <si>
    <t>Writerspace.com</t>
  </si>
  <si>
    <t>Website design and hosting for writers</t>
  </si>
  <si>
    <t xml:space="preserve">Hacker group LulzSec released a stash of e-mails and passwords, 12,000 of which were confirmed to originate from Writerspace.com. </t>
  </si>
  <si>
    <t>http://www.pcmag.com/article2/0,2817,2387186,00.asp</t>
  </si>
  <si>
    <t>Bethesda Game Studios</t>
  </si>
  <si>
    <t>US video game company (Elder Scrolls, Fallout 3)</t>
  </si>
  <si>
    <t>Hacking collective Lulzsec claimed to have stolen the account information of 200,000 users.</t>
  </si>
  <si>
    <t>https://venturebeat.com/2011/06/13/lulzsec-bethesda-hack/</t>
  </si>
  <si>
    <t>Sega</t>
  </si>
  <si>
    <t>Information registered as part of the Sega Pass system was stolen, including names, birth dates, e-mail addresses and passwords.</t>
  </si>
  <si>
    <t>http://www.zdnet.com/blog/gamification/sega-1-3-million-customer-records-hacked-lulzsec-promises-retribution/481</t>
  </si>
  <si>
    <t>A breach of the bank's online web portal compromised the information of around 1% of Citbank card holders.</t>
  </si>
  <si>
    <t>http://www.pcworld.com/article/229891/Citigroup_Hack_Nets_Over_200k_in_Stolen_Customer_Details.html</t>
  </si>
  <si>
    <t>The LulzSec hacking collective accessed unencrypted user information. They claimed that they didn't have the resources to steal everything they were able to access.</t>
  </si>
  <si>
    <t>http://mashable.com/2011/06/02/sony-pictures-hacked/</t>
  </si>
  <si>
    <t xml:space="preserve">Accendo Insurance Co. </t>
  </si>
  <si>
    <t>Mismailed letters allowed some lines of sensitive information (medication name, date of birth, and member ID) to be visible through the envelope window.</t>
  </si>
  <si>
    <t>http://www.databreaches.net/?p=19198</t>
  </si>
  <si>
    <t>Unknown hackers broke into The Washington Post's jobs website, stealing user IDs and email addresses.</t>
  </si>
  <si>
    <t>http://www.pcmag.com/article2/0,2817,2388200,00.asp</t>
  </si>
  <si>
    <t>Health Net - IBM</t>
  </si>
  <si>
    <t>Data lost from HN servers managed by IBM</t>
  </si>
  <si>
    <t>As many as nine server drives containing personal information of former and current employees went missing from an IBM data center in California.</t>
  </si>
  <si>
    <t>IEEE Spectrum</t>
  </si>
  <si>
    <t>https://spectrum.ieee.org/riskfactor/computing/it/health-net-data-breaches-affects-19-million-people</t>
  </si>
  <si>
    <t>Eisenhower Medical Center</t>
  </si>
  <si>
    <t>California hospital</t>
  </si>
  <si>
    <t>A computer stolen from the hospital contained patients' names, ages, dates of birth, medical record numbers and the last four digits of their social security numbers.</t>
  </si>
  <si>
    <t>Data Breach Info</t>
  </si>
  <si>
    <t>http://databreachinvestigation.blogspot.com/2011/04/thief-gets-away-with-eisenhower-medical.html</t>
  </si>
  <si>
    <t>Spartanburg Regional Healthcare System</t>
  </si>
  <si>
    <t>A computer stolen from an employee's car contained a password-protected file with Social Security numbers as well as names, addresses, dates of birth and medical billing codes.</t>
  </si>
  <si>
    <t>GoUpstate</t>
  </si>
  <si>
    <t>https://www.inforisktoday.com/400000-affected-by-stolen-pc-a-3853</t>
  </si>
  <si>
    <t>NHS</t>
  </si>
  <si>
    <t>UK's national health service, govt funded</t>
  </si>
  <si>
    <t xml:space="preserve">A laptop holding the unencrypted records of eight million patients went missing from an NHS store room and wasn't reported until 3 weeks later. </t>
  </si>
  <si>
    <t>Alphr</t>
  </si>
  <si>
    <t>https://www.alphr.com/news/security/368062/nhs-loses-laptop-holding-8m-patient-records</t>
  </si>
  <si>
    <t xml:space="preserve">San Francisco Public Utilities Commission </t>
  </si>
  <si>
    <t>A server storing customer data was found to be a) unsecured, and b) infected with viruses.</t>
  </si>
  <si>
    <t>http://news.cnet.com/8301-27080_3-20068386-245/sf-utilities-agency-warns-of-potential-breach/</t>
  </si>
  <si>
    <t>Sony Online Entertainment</t>
  </si>
  <si>
    <t>Hackers may have taken personal information from accounts in Austria, Germany, The Netherlands and Spain, including over 12,000 credit card accounts and 10,000 bank accounts.</t>
  </si>
  <si>
    <t>https://privacyrights.org/data-breaches/sony-playstation-network-psn-sony-online-entertainment-soe</t>
  </si>
  <si>
    <t>Honda Canada</t>
  </si>
  <si>
    <t>Names, addresses and vehicle identification numbers were taken from two of the firms' eCommerce websites, myHonda and myAcura</t>
  </si>
  <si>
    <t>Guelph Mercury</t>
  </si>
  <si>
    <t>http://www.guelphmercury.com/news-story/2200845-honda-canada-hit-by-online-security-breach-283-000-car-owners-personal-data-stolen/</t>
  </si>
  <si>
    <t>Massachusetts Government</t>
  </si>
  <si>
    <t>Massachusetts Executive Office of Labor and Workforce</t>
  </si>
  <si>
    <t xml:space="preserve">Over 1,500 departmental computers were infected with malware which “downloads additional files, steals information and opens a back door on the compromised computer”. </t>
  </si>
  <si>
    <t>http://www.nbcnews.com/id/43086769/ns/technology_and_science-security/t/huge-data-breach-puts-risk/#.XAfhPhP7TUI</t>
  </si>
  <si>
    <t>Oregon Department of Motor Vehicles</t>
  </si>
  <si>
    <t>Detectives arrested Tim Nuss for accessing an old Oregon Department of Motor Vehicles database, including names, addresses, birth dates, gender and ages of people who registered.</t>
  </si>
  <si>
    <t>https://www.databreaches.net/or-deputies-man-used-dmv-database-in-id-theft/</t>
  </si>
  <si>
    <t>Steam</t>
  </si>
  <si>
    <t>gaming portal</t>
  </si>
  <si>
    <t>Attackers used login details from a forum hack to gain access to a database containing user names, encrypted passwords and credit card info, game purchases and billing addresses.</t>
  </si>
  <si>
    <t>SC Mag</t>
  </si>
  <si>
    <t>http://www.bbc.co.uk/news/technology-15690187</t>
  </si>
  <si>
    <t>Restaurant Depot</t>
  </si>
  <si>
    <t>food, equipment, and supplies for restaurants</t>
  </si>
  <si>
    <t>Nov 2011. Cybercrooks presumed to be operating from Russia hacked into the Restaurant Depot database and accessed credit and debit card details.</t>
  </si>
  <si>
    <t>https://www.finextra.com/newsarticle/23243/restaurant-depot-hacked-by-russian-cyber-criminals</t>
  </si>
  <si>
    <t>Nexon Korea Corp</t>
  </si>
  <si>
    <t>game developer</t>
  </si>
  <si>
    <t>Personal data of subscribers to the online game Maple Story was breached and subsequently leaked.</t>
  </si>
  <si>
    <t>https://uk.reuters.com/article/us-korea-hacking-nexon/data-of-13-million-south-korean-online-game-subscribers-hacked-idUSTRE7AP09H20111126</t>
  </si>
  <si>
    <t>Nemours Foundation</t>
  </si>
  <si>
    <t>US children's hospitals</t>
  </si>
  <si>
    <t>A Florida health care provider responsible for running children’s hospitals lost three data backup tapes, containing 10 years worth of information.</t>
  </si>
  <si>
    <t>Law360</t>
  </si>
  <si>
    <t>https://www.law360.com/articles/277961/nemours-says-data-breach-affected-1-6m-patients</t>
  </si>
  <si>
    <t>Sutter Medical Foundation</t>
  </si>
  <si>
    <t>A stolen laptop contained a database with names, addresses, dates of birth, phone numbers, email addresses, medical record numbers and health insurance plans.</t>
  </si>
  <si>
    <t>https://blog.trendmicro.com/sutter-health-sued-for-1-billion-following-data-breach/</t>
  </si>
  <si>
    <t>Tricare</t>
  </si>
  <si>
    <t>Healthcare service for US Military</t>
  </si>
  <si>
    <t>Backup tapes containing information for some 4.6 million active and retired military personnel, as well as their families, was stolen from a data contractor's car in San Antonio.</t>
  </si>
  <si>
    <t>military, health</t>
  </si>
  <si>
    <t>http://www.reuters.com/article/us-data-breach-texas-idUSTRE78S5JG20110929</t>
  </si>
  <si>
    <t>AvMed, Inc.</t>
  </si>
  <si>
    <t>Two company laptops containing names, addresses, dates of birth, Social Security numbers and health-related information were stolen from an AvMed facility in Gainesville.</t>
  </si>
  <si>
    <t>2</t>
  </si>
  <si>
    <t>Hack Notice</t>
  </si>
  <si>
    <t>https://www.databreachtoday.com/avmed-sued-over-laptop-breach-a-3111</t>
  </si>
  <si>
    <t>Blue Cross Blue Shield of Tennessee</t>
  </si>
  <si>
    <t>US health insurance organization</t>
  </si>
  <si>
    <t>A thief stole 57 unencrypted hard drives from the closet of a BlueCross call center in Chattanooga.</t>
  </si>
  <si>
    <t>https://www.databreaches.net/bcbs-of-tenn-breach-lessons-learned/</t>
  </si>
  <si>
    <t>US Military</t>
  </si>
  <si>
    <t>Wikileaks / Bradley Manning/Cablegate.</t>
  </si>
  <si>
    <t>The Wikileaks Embassy Cables, containing over 1/4 of a million dispatches from more than 250 worldwide embassies and consulates.</t>
  </si>
  <si>
    <t>http://www.guardian.co.uk/news/datablog/2010/nov/29/wikileaks-cables-data</t>
  </si>
  <si>
    <t>Gawker.com</t>
  </si>
  <si>
    <t>US news and gossip blog network including Gawker.com Gizmodo.com Lifehacker.com</t>
  </si>
  <si>
    <t>The notorious website was hacked. The source code was stolen, along with 1.5 million usernames, emails and passwords.</t>
  </si>
  <si>
    <t>http://www.guardian.co.uk/technology/2010/dec/13/gawker-hackers-passwords-twitter-wikileaks?INTCMP=SRCH</t>
  </si>
  <si>
    <t>http://www.mediaite.com/online/gawker-medias-entire-commenter-database-appears-to-have-been-hacked/</t>
  </si>
  <si>
    <t>Triple-S Salud, Inc.</t>
  </si>
  <si>
    <t>Puerto-Rican health insurance company</t>
  </si>
  <si>
    <t>A competitor accessed restricted areas of the healthcare firm's website without authorisation, compromising client information.</t>
  </si>
  <si>
    <t>https://www.databreaches.net/puerto-rico-dept-of-health-reports-breach-affecting-400000-triple-s-salud-fined-100k/</t>
  </si>
  <si>
    <t>Ohio State University</t>
  </si>
  <si>
    <t xml:space="preserve">The breach affected current and former students. It cost the university $4m in expenses related to investigative consulting, breach notification and credit security. </t>
  </si>
  <si>
    <t>The Lantern</t>
  </si>
  <si>
    <t>https://www.thelantern.com/2010/12/hacked-data-breach-costly-for-ohio-state-victims-of-compromised-info/</t>
  </si>
  <si>
    <t>Emergency Healthcare Physicians, Ltd.</t>
  </si>
  <si>
    <t>A Chicago emergency physician group</t>
  </si>
  <si>
    <t>A stolen portable hard drive contained records from 2003 to 2006, including patient names, addressees, phone numbers, birth dates and Social Security numbers.</t>
  </si>
  <si>
    <t>Healthcare Info Security</t>
  </si>
  <si>
    <t>http://www.healthcareinfosecurity.com/chicago-breach-affects-180000-a-2496</t>
  </si>
  <si>
    <t>Colorado government</t>
  </si>
  <si>
    <t>Department of Health Care Policy &amp; Financing</t>
  </si>
  <si>
    <t>State officials discovered the unauthorized removal of a computer hard drive housed at Colorado's Office of Information Technology which contained health insurance information.</t>
  </si>
  <si>
    <t>http://www.databreaches.net/?p=12611</t>
  </si>
  <si>
    <t>US Telecoms company</t>
  </si>
  <si>
    <t>Details of iPad 3G users, thought to include those of White House chief of staff Rahm Emanuel, was stolen from the AT&amp;T website.</t>
  </si>
  <si>
    <t>http://www.guardian.co.uk/technology/2010/jun/10/apple-ipad-security-leak?INTCMP=SRCH</t>
  </si>
  <si>
    <t>Lincoln Medical &amp; Mental Health Center</t>
  </si>
  <si>
    <t>Protected health information was exposed after seven CDs were lost in transit with FedEx.</t>
  </si>
  <si>
    <t>Alert Boot</t>
  </si>
  <si>
    <t>https://www.pcworld.idg.com.au/article/351659/new_york_hospital_loses_data_130_000_via_fedex/</t>
  </si>
  <si>
    <t>Educational Credit Management Corp</t>
  </si>
  <si>
    <t>US student loan guarantor</t>
  </si>
  <si>
    <t>A contractor for the US Department of Education stole a device containing student loan records. The breach affected as many as 5% of all the country's federal student loan borrowers.</t>
  </si>
  <si>
    <t>Wall Street Journal</t>
  </si>
  <si>
    <t>https://www.wsj.com/articles/SB10001424052702304434404575150024174102954</t>
  </si>
  <si>
    <t>US Federal Reserve Bank of Cleveland</t>
  </si>
  <si>
    <t>Nov 2010. A Malaysian man was charged with hacking into major US corporations and stealing 400,000 credit and debit card account numbers.</t>
  </si>
  <si>
    <t>Bank Info Security</t>
  </si>
  <si>
    <t>https://www.bankinfosecurity.com/cleveland-federal-reserve-hacked-a-3115</t>
  </si>
  <si>
    <t>Classified Iraq War documents</t>
  </si>
  <si>
    <t>Wikileaks posted classified Iraq War documents on its website.</t>
  </si>
  <si>
    <t>http://www.forbes.com/sites/andygreenberg/2010/10/22/wikileaks-reveals-the-biggest-classified-data-breach-in-history/</t>
  </si>
  <si>
    <t>Heartland</t>
  </si>
  <si>
    <t>Independent payment processor</t>
  </si>
  <si>
    <t>Keylogging malware caused a massive data breach. Heartland eventually paid more than $110 million to Visa, MasterCard, American Express and other card associations to settle claims.</t>
  </si>
  <si>
    <t>130m</t>
  </si>
  <si>
    <t>Dark Reading</t>
  </si>
  <si>
    <t>https://www.darkreading.com/attacks-and-breaches/heartland-payment-systems-hit-by-data-security-breach/d/d-id/1075770</t>
  </si>
  <si>
    <t>US National Guard</t>
  </si>
  <si>
    <t>A personal laptop owned by an Army Guard contractor was stolen. It contained a database including names, Social Security Numbers, incentive payment amounts and payment dates.</t>
  </si>
  <si>
    <t>http://edition.cnn.com/2009/US/12/17/theft.security.breach/index.html</t>
  </si>
  <si>
    <t>RockYou!</t>
  </si>
  <si>
    <t>Developer of online games (Zoo World/Zoo World 2) and advertising products</t>
  </si>
  <si>
    <t>The site did not allow users to use special characters or punctuation in their passwords and e-mailed user passwords in plain text. Hackers took advantage of these security lapses.</t>
  </si>
  <si>
    <t>web, gaming</t>
  </si>
  <si>
    <t>http://techcrunch.com/2009/12/14/rockyou-hack-security-myspace-facebook-passwords/</t>
  </si>
  <si>
    <t>CheckFree Corporation</t>
  </si>
  <si>
    <t>Provider of online banking, online bill payment and electronic bill payment services for the financial services industry</t>
  </si>
  <si>
    <t>Criminals took control of the payment service's domains. They redirected traffic to a Ukrainian Web server that used malware to install a password-stealing program on the victim's computer.</t>
  </si>
  <si>
    <t>Computer World</t>
  </si>
  <si>
    <t>https://www.computerworld.com/article/2530152/checkfree-warns-5-million-customers-after-hack.html</t>
  </si>
  <si>
    <t>Network Solutions</t>
  </si>
  <si>
    <t>Domain name registration business</t>
  </si>
  <si>
    <t>A large-scale infection of e-commerce sites with malicious code led to the compromise of thousands of debit and credit cards.</t>
  </si>
  <si>
    <t>http://voices.washingtonpost.com/securityfix/2009/07/network_solutions_hack_comprom.html</t>
  </si>
  <si>
    <t>Virginia Prescription Monitoring Program</t>
  </si>
  <si>
    <t>A prescriptions website with a database containing 8m patient records and 35m prescription records was hacked. The hacker demanded a $10 million ransom for the breach.</t>
  </si>
  <si>
    <t>Digital Health</t>
  </si>
  <si>
    <t>https://www.digitalhealth.net/2009/05/virginia-department-of-health-hacked/</t>
  </si>
  <si>
    <t>University of California Berkeley</t>
  </si>
  <si>
    <t>details on students, alumni and others</t>
  </si>
  <si>
    <t>The attackers accessed a computer belonging to the university's health centre. The personal information of current students and alumni was stolen.</t>
  </si>
  <si>
    <t>https://www.cnet.com/news/uc-berkeley-computers-hacked-160000-at-risk/</t>
  </si>
  <si>
    <t xml:space="preserve">Health Net </t>
  </si>
  <si>
    <t>Largest US publicly traded managed health care company</t>
  </si>
  <si>
    <t xml:space="preserve">A portable hard drive with seven years worth of personal and medical information was lost for six months before being reported. </t>
  </si>
  <si>
    <t>https://www.computerworld.com/article/2521838/security0/health-net-says-1-5m-medical-records-lost-in-data-breach.html</t>
  </si>
  <si>
    <t>The National Archives And Records Administration sent a defective, unencrypted hard drive for repair and recycling. It held detailed records on 76 million veterans dating back to 1972.</t>
  </si>
  <si>
    <t>http://www.wired.com/threatlevel/2009/10/probe-targets-archives-handling-of-data-on-70-million-vets/</t>
  </si>
  <si>
    <t>Compass Bank</t>
  </si>
  <si>
    <t>A former employee stole a hard drive containing 1m account details between May &amp; July 2007, then used it to defraud cutomers of nearly $32,000.</t>
  </si>
  <si>
    <t>https://www.computerworld.com/article/2536195/programmer-who-stole-drive-containing-1-million-bank-records-gets-42-months.html</t>
  </si>
  <si>
    <t>Hannaford Brothers Supermarket Chain</t>
  </si>
  <si>
    <t>Delhaize Group: Hannaford Bros, Sweetbay, Food Lion, Bloom, Bottom Dollar, Harveys, Kash n' Karry</t>
  </si>
  <si>
    <t>An estimated 4.2 million credit and debit card numbers were stolen when payment data was intercepted by hackers.</t>
  </si>
  <si>
    <t>NetworkWorld</t>
  </si>
  <si>
    <t>https://www.networkworld.com/article/2284998/lan-wan/details-emerging-on-hannaford-data-breach.html</t>
  </si>
  <si>
    <t>University of Miami</t>
  </si>
  <si>
    <t>Six backup tapes from the medical school containing more than 2 million medical records were stolen from a van that was transporting the data to an off-site facility.</t>
  </si>
  <si>
    <t>Identity Theft</t>
  </si>
  <si>
    <t>https://www.computerworld.com/article/2536837/thieves-pilfer-backup-tapes-holding-2m-medical-records.html</t>
  </si>
  <si>
    <t>BNY Mellon Shareowner Services</t>
  </si>
  <si>
    <t>Wealth management</t>
  </si>
  <si>
    <t>An archiving vendor lost a box full of data storage tapes containing sensitive information.</t>
  </si>
  <si>
    <t>https://www.reuters.com/article/us-mellon-breach-idUSN2143343820080521</t>
  </si>
  <si>
    <t>Countrywide Financial Corp</t>
  </si>
  <si>
    <t>Employee convicted of downloading millions of borrower files and selling the information to other loan officers.</t>
  </si>
  <si>
    <t>A senior financial analyst was sentenced to eight months in prison after pleading guilty to downloading millions of borrower files onto thumb drives &amp; selling the information.</t>
  </si>
  <si>
    <t>LATimes</t>
  </si>
  <si>
    <t>https://www.networkworld.com/article/2274502/security-oversight-may-have-enabled-countrywide-breach.html</t>
  </si>
  <si>
    <t>UK Home Office</t>
  </si>
  <si>
    <t>PA Consulting lost an unencrypted memory stick containing details of high risk, prolific and other offenders. It had its contract terminated after an enquiry.</t>
  </si>
  <si>
    <t>Wikipedia</t>
  </si>
  <si>
    <t>http://news.bbc.co.uk/1/hi/uk_politics/7608155.stm</t>
  </si>
  <si>
    <t>RBS Worldpay</t>
  </si>
  <si>
    <t>the U.S. payment processing arm of The Royal Bank of Scotland Group</t>
  </si>
  <si>
    <t>A hack compromised RBS Worldpay prepay and gift cards. Actual fraud has been committed on approximately 100 cards. The personal information of over 1m people was exposed.</t>
  </si>
  <si>
    <t>http://www.theregister.co.uk/2008/12/29/rbs_worldpay_breach/</t>
  </si>
  <si>
    <t>Auction.co.kr</t>
  </si>
  <si>
    <t>South Korea's largest online shopping site</t>
  </si>
  <si>
    <t>South Korea’s largest online shopping site was attacked by a Chinese hacker who made off with user information and a large amount of financial data.</t>
  </si>
  <si>
    <t>https://www.darkreading.com/attacks-breaches/hacker-steals-data-on-18m-auction-customers-in-south-korea/d/d-id/1129325</t>
  </si>
  <si>
    <t>GS Caltex</t>
  </si>
  <si>
    <t>Private oil company</t>
  </si>
  <si>
    <t>Two multimedia discs containing personal data of Korean customers was found by an office worker in a trash pile in Seoul. Likely to have been stolen by an employee.</t>
  </si>
  <si>
    <t>The Dong-a Ilbo</t>
  </si>
  <si>
    <t>http://english.donga.com/srv/service.php3?biid=2008090631088</t>
  </si>
  <si>
    <t>A laptop containing unencrypted Social Security numbers and bonus/salary info of AT&amp;T employees was stolen from a car.</t>
  </si>
  <si>
    <t>https://www.networkworld.com/article/2344552/security/latest--lost--laptop-holds-treasure-trove-of-unencrypted-at-t-payroll-data.html</t>
  </si>
  <si>
    <t>A laptop containing information on tens of thousands of past and current Stanford University employees was stolen.</t>
  </si>
  <si>
    <t>SFGate</t>
  </si>
  <si>
    <t>http://www.sfgate.com/bayarea/article/Stanford-employees-data-on-stolen-laptop-3281185.php</t>
  </si>
  <si>
    <t>University of Utah Hospitals &amp; Clinics</t>
  </si>
  <si>
    <t>stolen data tapes</t>
  </si>
  <si>
    <t>Petty thieves stole backup data tapes containing billing records from an employee's car. According to police reports the thieves tried - and failed - to view the tapes using a VHS player.</t>
  </si>
  <si>
    <t>Salt Lake Tribune</t>
  </si>
  <si>
    <t>http://archive.sltrib.com/story.php?ref=/ci_9540210</t>
  </si>
  <si>
    <t>Chile Ministry Of Education</t>
  </si>
  <si>
    <t xml:space="preserve">A computer hacker in Chile published confidential records belonging to six million people to illustrate the weakness of government security. </t>
  </si>
  <si>
    <t>http://news.bbc.co.uk/2/hi/americas/7395295.stm</t>
  </si>
  <si>
    <t>http://www.geek.com/articles/news/government-servers-in-chile-hacked-6-million-personal-records-made-public-20080514/</t>
  </si>
  <si>
    <t>Texas Lottery</t>
  </si>
  <si>
    <t>Data on more than 89,000 lottery winners (including names, Social Security numbers, addresses and prize amounts) were taken from the agency without permission by a former employee.</t>
  </si>
  <si>
    <t>Houston Chronicle</t>
  </si>
  <si>
    <t>https://www.chron.com/news/houston-texas/article/89-000-lottery-winners-affected-by-security-breach-1603025.php</t>
  </si>
  <si>
    <t>Starbucks</t>
  </si>
  <si>
    <t>A laptop containing private information on 97,000 employees was stolen. Employees won a case against the firm before losing in the federal court as they were unable to prove any cognizable harm.</t>
  </si>
  <si>
    <t>Info Watch</t>
  </si>
  <si>
    <t>https://infowatch.com/analytics/leaks_monitoring/1304</t>
  </si>
  <si>
    <t>UK Ministry of Defence</t>
  </si>
  <si>
    <t xml:space="preserve">A hard drive containing sensitive details of Armed Forces personnel - passport &amp; national insurance numbers, bank details etc - went missing. The loss was revealed during National Identity Fraud Prevention Week. </t>
  </si>
  <si>
    <t>http://news.bbc.co.uk/1/hi/uk_politics/7667507.stm</t>
  </si>
  <si>
    <t>T-Mobile, Deutsche Telecom</t>
  </si>
  <si>
    <t>Thieves stole a device containing names, addresses, cell phone numbers, and some birth dates and e-mail addresses for high-profile German citizens.</t>
  </si>
  <si>
    <t>https://www.dw.com/en/telekom-says-data-from-17-million-customers-was-stolen/a-3690132</t>
  </si>
  <si>
    <t>Norwegian Tax Authorities</t>
  </si>
  <si>
    <t>Tax authorities accidentally sent CD-ROMs filled with the 2006 tax returns of 4m Norwegian citizens to editorial staff at national newspapers, radios and television stations.</t>
  </si>
  <si>
    <t>http://infowatch.com/node/1289</t>
  </si>
  <si>
    <t>Service Personnel and Veterans Agency (UK)</t>
  </si>
  <si>
    <t>Hard drives containing personal information of employees were stolen from a high-security facility.</t>
  </si>
  <si>
    <t>http://news.bbc.co.uk/1/hi/england/gloucestershire/7639006.stm</t>
  </si>
  <si>
    <t>Monster.com</t>
  </si>
  <si>
    <t>Jobs website</t>
  </si>
  <si>
    <t>A trojan virus harvested user names, e-mail addresses, home addresses and phone numbers. Soon after, phishing e-mails encouraged users to download a Monster Job Seeker Tool, which was in fact malware.</t>
  </si>
  <si>
    <t>http://news.bbc.co.uk/1/hi/6956349.stm</t>
  </si>
  <si>
    <t>Driving Standards Agency</t>
  </si>
  <si>
    <t>A hard disk with details of UK driving theory test candidates was lost by a contractor while they were in Iowa, USA.</t>
  </si>
  <si>
    <t>http://news.bbc.co.uk/1/hi/uk_politics/7147715.stm</t>
  </si>
  <si>
    <t>Fidelity National Information Services</t>
  </si>
  <si>
    <t>An employee sold customer information to a data broker, including names, addresses, birth dates, bank account and credit card information.</t>
  </si>
  <si>
    <t>PCWorld</t>
  </si>
  <si>
    <t>http://www.pcworld.com/article/135117/article.html</t>
  </si>
  <si>
    <t>City and Hackney Teaching Primary Care Trust</t>
  </si>
  <si>
    <t>Disks containing children's personal details were lost by couriers. It prompted the agency to introduce disk encryption.</t>
  </si>
  <si>
    <t>https://www.computerweekly.com/news/2240104003/Hackney-NHS-trust-encrypts-IT-equipment-following-loss-of-child-data</t>
  </si>
  <si>
    <t>Gap Inc</t>
  </si>
  <si>
    <t>A laptop containing data on people who applied for positions at Gap stores between July 2006 and June 2007 was stolen.</t>
  </si>
  <si>
    <t>http://www.pcworld.com/article/137865/article.html</t>
  </si>
  <si>
    <t>Dai Nippon Printing</t>
  </si>
  <si>
    <t>Japanese printing company</t>
  </si>
  <si>
    <t>A former contractor of the firm stole 8.6 million records containing the personal data of customers.</t>
  </si>
  <si>
    <t>Compare Business Products</t>
  </si>
  <si>
    <t>https://www.comparebusinessproducts.com/fyi/15-most-massive-data-breaches-history</t>
  </si>
  <si>
    <t>TK / TJ Maxx</t>
  </si>
  <si>
    <t>Largest retail breach to date</t>
  </si>
  <si>
    <t xml:space="preserve">A Minnesota store wifi network was hacked. Data from the credit and debit cards of shoppers  was stolen. </t>
  </si>
  <si>
    <t>94m</t>
  </si>
  <si>
    <t>http://www.zdnet.com/wi-fi-hack-caused-tk-maxx-security-breach-3039286991/</t>
  </si>
  <si>
    <t>Personal information was mistakenly identified as trash and thrown out in garbage bags outside five branch offices in New York.</t>
  </si>
  <si>
    <t>http://www.pcworld.com/article/131453/article.html</t>
  </si>
  <si>
    <t>UK Revenue &amp; Customs</t>
  </si>
  <si>
    <t>HMRC</t>
  </si>
  <si>
    <t>A set of discs containing confidential details of 25 million child benefit recipients was lost.</t>
  </si>
  <si>
    <t>http://news.bbc.co.uk/2/hi/uk_news/7103911.stm</t>
  </si>
  <si>
    <t>TD Ameritrade</t>
  </si>
  <si>
    <t>US online broker</t>
  </si>
  <si>
    <t>The firm settled a class action lawsuit to compensate as many as 6.3 million customers whose data was stolen by hackers.</t>
  </si>
  <si>
    <t>Wired, CBNC</t>
  </si>
  <si>
    <t>http://www.wired.com/threatlevel/2008/07/ameritrade-hack/</t>
  </si>
  <si>
    <t>https://www.cnbc.com/id/20775257</t>
  </si>
  <si>
    <t>American Online</t>
  </si>
  <si>
    <t>AOL released search data for roughly 20 million web queries from 658,000 anonymized users of the service. No one is quite sure why.</t>
  </si>
  <si>
    <t>http://techcrunch.com/2006/08/06/aol-proudly-releases-massive-amounts-of-user-search-data/</t>
  </si>
  <si>
    <t>US Dept of Vet Affairs</t>
  </si>
  <si>
    <t>The Veterans Affairs Department agreed to pay $20 million to settle a class action lawsuit over the loss of a laptop.</t>
  </si>
  <si>
    <t>government, military</t>
  </si>
  <si>
    <t>GCN, US Gov</t>
  </si>
  <si>
    <t>http://gcn.com/Articles/2009/02/02/VA-data-breach-suit-settlement.aspx</t>
  </si>
  <si>
    <t>https://www.va.gov/oig/pubs/VAOIG-06-02238-163.pdf</t>
  </si>
  <si>
    <t>Automatic Data Processing</t>
  </si>
  <si>
    <t>Business outsourcing, payrolls, benefits</t>
  </si>
  <si>
    <t>Automatic Data Processing, one of the world's largest payroll service companies, confirmed that it was swindled by a data thief looking for information on investors.</t>
  </si>
  <si>
    <t>http://abcnews.go.com/Technology/story?id=2160425&amp;page=1#.UFcROxgUwaA</t>
  </si>
  <si>
    <t>KDDI</t>
  </si>
  <si>
    <t>Japanese telecommunications operator</t>
  </si>
  <si>
    <t>Tokyo police arrested two men for trying to extort nearly US$90,000. The pair allegedly threatened to disclose the existence of storage media containing personal data.</t>
  </si>
  <si>
    <t>http://www.computerworld.com/s/article/9001150/KDDI_suffers_massive_data_breach</t>
  </si>
  <si>
    <t>Hewlett Packard</t>
  </si>
  <si>
    <t>A laptop containing employee data was either lost or stolen. It included names, addresses, Social Security numbers, dates of birth and other employment-related information.</t>
  </si>
  <si>
    <t>https://www.computerweekly.com/news/2240076956/Personal-data-on-200000-HP-employees-stolen</t>
  </si>
  <si>
    <t>Ameritrade Inc.</t>
  </si>
  <si>
    <t>online broker</t>
  </si>
  <si>
    <t>A computer backup tape containing the personal information of customers between 2000 and 2003 was lost.</t>
  </si>
  <si>
    <t>NBC</t>
  </si>
  <si>
    <t>http://www.nbcnews.com/id/7561268/</t>
  </si>
  <si>
    <t>A box of computer tapes containing information on 3.9 million customers was lost in transit to a credit reporting agency.</t>
  </si>
  <si>
    <t>http://www.nytimes.com/2005/06/07/business/07data.html?pagewanted=all&amp;_moc.semityn.www</t>
  </si>
  <si>
    <t xml:space="preserve">Cardsystems Solutions Inc. </t>
  </si>
  <si>
    <t>Third-party payment processor for Visa, Mastercard, Amex,  and Discover</t>
  </si>
  <si>
    <t>An unauthorized entity enabled access to cusomer credit card data. It's not clear how many of the 40 million accounts were stolen.</t>
  </si>
  <si>
    <t>https://www.wired.com/2005/06/cardsystems-data-left-unsecured/</t>
  </si>
  <si>
    <t>A former America Online software engineer stole 92 million screen names and e-mail addresses and sold them to spammers who sent out up to 7 billion unsolicited e-mails.</t>
  </si>
  <si>
    <t>92m</t>
  </si>
  <si>
    <t>http://money.cnn.com/2004/06/23/technology/aol_spam/</t>
  </si>
  <si>
    <t>News Corp</t>
  </si>
  <si>
    <t>Feb 23</t>
  </si>
  <si>
    <t>Chinese state-linked hackers lurked undetected inside News Corp email systems for two years from 2020, stealing journalists' personal data, Social Security numbers and health records.</t>
  </si>
  <si>
    <t>media</t>
  </si>
  <si>
    <r>
      <rPr>
        <rFont val="Helvetica Neue"/>
        <color rgb="FF434343"/>
        <u/>
      </rPr>
      <t>https://arstechnica.com/information-technology/2023/02/conservative-news-corp-empire-says-hackers-were-inside-its-network-for-2-years/</t>
    </r>
  </si>
  <si>
    <t>Activision</t>
  </si>
  <si>
    <t>An SMS phishing attack on an HR employee gave hackers access to names, phone numbers, salaries and Call of Duty release roadmaps. Activision stayed silent for months.</t>
  </si>
  <si>
    <t>GGrecon</t>
  </si>
  <si>
    <r>
      <rPr>
        <rFont val="Helvetica Neue"/>
        <color rgb="FF434343"/>
        <u/>
      </rPr>
      <t>https://www.ggrecon.com/articles/huge-activision-leak-details-warzone-2-and-mw2-2023-roadmap/</t>
    </r>
  </si>
  <si>
    <r>
      <rPr>
        <rFont val="Helvetica Neue"/>
        <color rgb="FF434343"/>
        <u/>
      </rPr>
      <t>https://www.bleepingcomputer.com/news/security/hacker-leaks-alleged-activision-employee-data-on-cybercrime-forum/</t>
    </r>
  </si>
  <si>
    <t>JD Sports</t>
  </si>
  <si>
    <t>Jan 23</t>
  </si>
  <si>
    <t>Hackers accessed historic order data for 10 million customers across JD Sports sub-brands, stealing names, addresses, phone numbers and the last four digits of payment cards.</t>
  </si>
  <si>
    <t>10m</t>
  </si>
  <si>
    <r>
      <rPr>
        <rFont val="Helvetica Neue"/>
        <color rgb="FF434343"/>
        <u/>
      </rPr>
      <t>https://it.slashdot.org/story/23/01/30/2159249/jd-sports-admits-intruder-accessed-10-million-customers-data</t>
    </r>
  </si>
  <si>
    <t>CircleCI</t>
  </si>
  <si>
    <t>Malware secretly installed on an engineer's laptop stole their login credentials, letting attackers impersonate them and access customer code secrets and account keys stored on the platform</t>
  </si>
  <si>
    <r>
      <rPr>
        <rFont val="Helvetica Neue"/>
        <color rgb="FF434343"/>
        <u/>
      </rPr>
      <t>https://techcrunch.com/2023/01/14/circleci-hackers-stole-customer-source-code/</t>
    </r>
  </si>
  <si>
    <t>Toyota Connected</t>
  </si>
  <si>
    <t>May 23</t>
  </si>
  <si>
    <t>A cloud misconfiguration left Toyota's T-Connect vehicle location database open without a password for nearly ten years, exposing real-time location data of 2.15 million Japanese customers.</t>
  </si>
  <si>
    <t>BleepingComputer</t>
  </si>
  <si>
    <r>
      <rPr>
        <rFont val="Helvetica Neue"/>
        <color rgb="FF434343"/>
        <u/>
      </rPr>
      <t>https://www.bleepingcomputer.com/news/security/toyota-car-location-data-of-2-million-customers-exposed-for-ten-years/</t>
    </r>
  </si>
  <si>
    <t>UK Electoral Commission</t>
  </si>
  <si>
    <t>Aug 23</t>
  </si>
  <si>
    <t>Hostile actors — later attributed to China's APT31 — accessed electoral registers with names and addresses of 40 million UK voters for over a year before discovery in Oct 2022.</t>
  </si>
  <si>
    <t>40m</t>
  </si>
  <si>
    <r>
      <rPr>
        <rFont val="Helvetica Neue"/>
        <color rgb="FF434343"/>
        <u/>
      </rPr>
      <t>https://www.theguardian.com/technology/2023/aug/08/uk-electoral-commission-registers-targeted-by-hostile-hackers</t>
    </r>
  </si>
  <si>
    <t>Casio</t>
  </si>
  <si>
    <t>ClassPad</t>
  </si>
  <si>
    <t>Oct 23</t>
  </si>
  <si>
    <t>An operational error disabled network security settings on Casio's ClassPad education platform, allowing a hacker to steal customer names, emails and purchase data across 149 countries.</t>
  </si>
  <si>
    <r>
      <rPr>
        <rFont val="Helvetica Neue"/>
        <color rgb="FF434343"/>
        <u/>
      </rPr>
      <t>https://yro.slashdot.org/story/23/10/20/0031219/casio-keyed-up-after-data-loss-hits-customers-in-149-countries</t>
    </r>
  </si>
  <si>
    <r>
      <rPr>
        <rFont val="Helvetica Neue"/>
        <color rgb="FF434343"/>
        <u/>
      </rPr>
      <t>https://www.bleepingcomputer.com/news/security/casio-discloses-data-breach-impacting-customers-in-149-countries/</t>
    </r>
  </si>
  <si>
    <t>INL</t>
  </si>
  <si>
    <t>Idaho National Laboratory</t>
  </si>
  <si>
    <t>Nov 23</t>
  </si>
  <si>
    <t>Self-described "gay furry hackers" SiegedSec breached the US nuclear lab's Oracle HR system and leaked employee Social Security numbers, bank details and addresses.</t>
  </si>
  <si>
    <t>Engadget</t>
  </si>
  <si>
    <r>
      <rPr>
        <rFont val="Helvetica Neue"/>
        <color rgb="FF434343"/>
        <u/>
      </rPr>
      <t>https://www.engadget.com/self-proclaimed-gay-furry-hackers-breach-nuclear-lab-152034192.html</t>
    </r>
  </si>
  <si>
    <t>National Amusements</t>
  </si>
  <si>
    <t>CBS / Paramount</t>
  </si>
  <si>
    <t>Dec 23</t>
  </si>
  <si>
    <t>Hackers broke into the parent company of CBS and Paramount in December 2022, stealing financial account data from 82,128 people. The company waited a full year before disclosing the breach.</t>
  </si>
  <si>
    <r>
      <rPr>
        <rFont val="Helvetica Neue"/>
        <color rgb="FF434343"/>
        <u/>
      </rPr>
      <t>https://it.slashdot.org/story/23/12/26/2127250/cbs-paramount-owner-national-amusements-says-it-was-hacked</t>
    </r>
  </si>
  <si>
    <t>EasyPark</t>
  </si>
  <si>
    <t>RingGo / ParkMobile</t>
  </si>
  <si>
    <t>Europe's largest parking app operator suffered a cyberattack exposing customer names, addresses, emails and partial card or IBAN numbers across its EasyPark and RingGo brands in 23 countries.</t>
  </si>
  <si>
    <r>
      <rPr>
        <rFont val="Helvetica Neue"/>
        <color rgb="FF434343"/>
        <u/>
      </rPr>
      <t>https://www.theguardian.com/technology/2023/dec/26/hackers-steal-customer-data-europe-parking-app-easypark-ringgo-parkmobile</t>
    </r>
  </si>
  <si>
    <t>Vastaamo</t>
  </si>
  <si>
    <t>Oct 20</t>
  </si>
  <si>
    <t>Finnish psychotherapy provider breached twice; hackers then individually blackmailed patients threatening to publish private therapy session notes. Finland's biggest criminal investigation. Company went bankrupt.</t>
  </si>
  <si>
    <r>
      <rPr>
        <rFont val="Helvetica Neue"/>
        <color rgb="FF434343"/>
        <u/>
      </rPr>
      <t>https://en.wikipedia.org/wiki/Vastaamo_data_breach</t>
    </r>
  </si>
  <si>
    <t>PowerSchool</t>
  </si>
  <si>
    <t>Jan 25</t>
  </si>
  <si>
    <t>A single stolen credential let a 19-year-old access PowerSchool's K-12 platform, exfiltrating records of 62 million students and 9.5 million teachers — the largest children's data breach in US history.</t>
  </si>
  <si>
    <t>academic</t>
  </si>
  <si>
    <t>62m</t>
  </si>
  <si>
    <t>TechTarget</t>
  </si>
  <si>
    <r>
      <rPr>
        <rFont val="Helvetica Neue"/>
        <color rgb="FF434343"/>
        <u/>
      </rPr>
      <t>https://www.techtarget.com/WhatIs/feature/PowerSchool-data-breach-Explaining-how-it-happened</t>
    </r>
  </si>
  <si>
    <r>
      <rPr>
        <rFont val="Helvetica Neue"/>
        <color rgb="FF434343"/>
        <u/>
      </rPr>
      <t>https://techcrunch.com/2025/03/10/what-powerschool-isnt-saying-about-its-massive-student-data-breach/</t>
    </r>
  </si>
  <si>
    <t>SoundCloud</t>
  </si>
  <si>
    <t>Jan 26</t>
  </si>
  <si>
    <t>ShinyHunters exploited an internal service dashboard to map private emails to public profiles of 29.8 million users. SoundCloud refused to pay ransom; attackers released the data publicly.</t>
  </si>
  <si>
    <r>
      <rPr>
        <rFont val="Helvetica Neue"/>
        <color rgb="FF434343"/>
        <u/>
      </rPr>
      <t>https://haveibeenpwned.com/Breach/SoundCloud</t>
    </r>
  </si>
  <si>
    <r>
      <rPr>
        <rFont val="Helvetica Neue"/>
        <color rgb="FF434343"/>
        <u/>
      </rPr>
      <t>https://www.bleepingcomputer.com/news/security/have-i-been-pwned-soundcloud-data-breach-impacts-298-million-accounts/</t>
    </r>
  </si>
  <si>
    <t>Coupang</t>
  </si>
  <si>
    <t>Dec 25</t>
  </si>
  <si>
    <t>A former Chinese employee stole names, emails, phone numbers and order histories of 33.7 million customers — two thirds of South Korea's population — over five months. CEO resigned; $409M fine.</t>
  </si>
  <si>
    <r>
      <rPr>
        <rFont val="Helvetica Neue"/>
        <color rgb="FF434343"/>
        <u/>
      </rPr>
      <t>https://yro.slashdot.org/story/25/12/01/2158251/koreas-coupang-says-data-breach-exposed-nearly-34-million-customers-personal-information</t>
    </r>
  </si>
  <si>
    <r>
      <rPr>
        <rFont val="Helvetica Neue"/>
        <color rgb="FF434343"/>
        <u/>
      </rPr>
      <t>https://techcrunch.com/2025/12/01/koreas-coupang-says-data-breach-exposed-nearly-34m-customers-personal-information/</t>
    </r>
  </si>
  <si>
    <t>HCA</t>
  </si>
  <si>
    <t>HCA Healthcare</t>
  </si>
  <si>
    <t>Jul 23</t>
  </si>
  <si>
    <t>A hacker stole 27.7 million rows of patient data from HCA's external email-formatting storage and listed it for sale, then dumped it online when the US hospital giant refused to pay. 11.27 million patients affected across 20 states.</t>
  </si>
  <si>
    <r>
      <rPr>
        <rFont val="Helvetica Neue"/>
        <color rgb="FF434343"/>
        <u/>
      </rPr>
      <t>Qz.com</t>
    </r>
  </si>
  <si>
    <r>
      <rPr>
        <rFont val="Helvetica Neue"/>
        <color rgb="FF434343"/>
        <u/>
      </rPr>
      <t>https://qz.com/hackers-heath-data-hospitals-california-ransom-breach-1850942235</t>
    </r>
  </si>
  <si>
    <r>
      <rPr>
        <rFont val="Helvetica Neue"/>
        <color rgb="FF434343"/>
        <u/>
      </rPr>
      <t>https://www.bleepingcomputer.com/news/security/hca-confirms-breach-after-hacker-steals-data-of-11-million-patients/</t>
    </r>
  </si>
  <si>
    <t>HSE</t>
  </si>
  <si>
    <t>Health Service Executive Ireland</t>
  </si>
  <si>
    <t>May 21</t>
  </si>
  <si>
    <t>Russia-linked Conti gang encrypted Ireland's entire national health IT system after a single employee opened a malicious email attachment, stealing 700GB of patient data and shutting down hospitals for months.</t>
  </si>
  <si>
    <r>
      <rPr>
        <rFont val="Helvetica Neue"/>
        <color rgb="FF434343"/>
        <u/>
      </rPr>
      <t>https://abcnews.go.com/International/10-days-ransomware-attack-irish-health-system-struggling/story?id=77876092</t>
    </r>
  </si>
  <si>
    <r>
      <rPr>
        <rFont val="Helvetica Neue"/>
        <color rgb="FF434343"/>
        <u/>
      </rPr>
      <t>https://en.wikipedia.org/wiki/Health_Service_Executive_ransomware_attack</t>
    </r>
  </si>
  <si>
    <t>Kodex</t>
  </si>
  <si>
    <t>KodexGlobal</t>
  </si>
  <si>
    <t>Hackers compromised police accounts on Kodex — a platform that vets emergency data requests for Meta, Discord, Coinbase and others — gaining the ability to submit fake law enforcement subpoenas for user data.</t>
  </si>
  <si>
    <r>
      <rPr>
        <rFont val="Helvetica Neue"/>
        <color rgb="FF434343"/>
        <u/>
      </rPr>
      <t>https://it.slashdot.org/story/23/10/20/002204/hackers-compromise-accounts-of-kodex-company-that-vets-police-data-requests-for-tech-giants</t>
    </r>
  </si>
  <si>
    <r>
      <rPr>
        <rFont val="Helvetica Neue"/>
        <color rgb="FF434343"/>
        <u/>
      </rPr>
      <t>https://www.404media.co/hackers-target-kodex-accounts-edrs/</t>
    </r>
  </si>
  <si>
    <t>USPTO</t>
  </si>
  <si>
    <t>US Patent &amp; Trademark Office</t>
  </si>
  <si>
    <t>Jun 23</t>
  </si>
  <si>
    <t>An API misconfiguration silently exposed the private home addresses of 61,000 trademark applicants in public records for three years. USPTO said it had no evidence of misuse but apologised for the error.</t>
  </si>
  <si>
    <r>
      <rPr>
        <rFont val="Helvetica Neue"/>
        <color rgb="FF434343"/>
        <u/>
      </rPr>
      <t>https://yro.slashdot.org/story/23/06/28/1640236/us-patent-and-trademark-office-notifies-filers-of-years-long-data-leak</t>
    </r>
  </si>
  <si>
    <r>
      <rPr>
        <rFont val="Helvetica Neue"/>
        <color rgb="FF434343"/>
        <u/>
      </rPr>
      <t>https://techcrunch.com/2023/06/28/uspto-trademark-data-api-leak</t>
    </r>
  </si>
  <si>
    <t>OPM</t>
  </si>
  <si>
    <t>Office of Personnel Management</t>
  </si>
  <si>
    <t>Mar 14</t>
  </si>
  <si>
    <t>Chinese state hackers broke into the US government's HR department and spent months stealing the personnel files, background check records and fingerprints of 21.5 million federal workers, contractors and their families — potentially the most damaging government data theft in US history.</t>
  </si>
  <si>
    <t>https://en.wikipedia.org/wiki/2015_Office_of_Personnel_Management_data_breach</t>
  </si>
  <si>
    <r>
      <rPr>
        <rFont val="Arial"/>
        <color rgb="FF000000"/>
        <sz val="9.0"/>
        <u/>
      </rPr>
      <t>https://stackdiary.com/the-data-of-760000-discord-io-users-was-put-up-for-sale-on-the-darknet/</t>
    </r>
    <r>
      <rPr>
        <rFont val="Arial"/>
        <color rgb="FF000000"/>
        <sz val="9.0"/>
      </rPr>
      <t>/</t>
    </r>
  </si>
  <si>
    <t>long story</t>
  </si>
  <si>
    <t>30 words max</t>
  </si>
  <si>
    <t>web
health
app
retail
gaming
transport
financial
tech
government
telecoms
legal
media
academic
energy
military</t>
  </si>
  <si>
    <t>1. Just email address/Online information 
2 +SSN/Personal details/Passwords/home addresses
3 +Credit card/financial /PIN numbers information 
4 +Health &amp; other personal records 
5 Full details</t>
  </si>
  <si>
    <t>Example company name</t>
  </si>
  <si>
    <t xml:space="preserve"> Oct 23</t>
  </si>
  <si>
    <t>The driving licences and payment card details of thousands of motorists who had vehicles towed on behalf of the Irish police</t>
  </si>
  <si>
    <r>
      <rPr>
        <rFont val="Helvetica Neue"/>
        <color rgb="FF434343"/>
        <u/>
      </rPr>
      <t>https://arstechnica.com/information-technology/2023/02/conservative-news-corp-empire-says-hackers-were-inside-its-network-for-2-years/</t>
    </r>
  </si>
  <si>
    <r>
      <rPr>
        <rFont val="Helvetica Neue"/>
        <color rgb="FF434343"/>
        <u/>
      </rPr>
      <t>https://www.ggrecon.com/articles/huge-activision-leak-details-warzone-2-and-mw2-2023-roadmap/</t>
    </r>
  </si>
  <si>
    <r>
      <rPr>
        <rFont val="Helvetica Neue"/>
        <color rgb="FF434343"/>
        <u/>
      </rPr>
      <t>https://www.bleepingcomputer.com/news/security/hacker-leaks-alleged-activision-employee-data-on-cybercrime-forum/</t>
    </r>
  </si>
  <si>
    <r>
      <rPr>
        <rFont val="Helvetica Neue"/>
        <color rgb="FF434343"/>
        <u/>
      </rPr>
      <t>https://it.slashdot.org/story/23/01/30/2159249/jd-sports-admits-intruder-accessed-10-million-customers-data</t>
    </r>
  </si>
  <si>
    <r>
      <rPr>
        <rFont val="Helvetica Neue"/>
        <color rgb="FF434343"/>
        <u/>
      </rPr>
      <t>https://techcrunch.com/2023/01/14/circleci-hackers-stole-customer-source-code/</t>
    </r>
  </si>
  <si>
    <r>
      <rPr>
        <rFont val="Helvetica Neue"/>
        <color rgb="FF434343"/>
        <u/>
      </rPr>
      <t>https://www.bleepingcomputer.com/news/security/toyota-car-location-data-of-2-million-customers-exposed-for-ten-years/</t>
    </r>
  </si>
  <si>
    <r>
      <rPr>
        <rFont val="Helvetica Neue"/>
        <color rgb="FF434343"/>
        <u/>
      </rPr>
      <t>https://www.theguardian.com/technology/2023/aug/08/uk-electoral-commission-registers-targeted-by-hostile-hackers</t>
    </r>
  </si>
  <si>
    <r>
      <rPr>
        <rFont val="Helvetica Neue"/>
        <color rgb="FF434343"/>
        <u/>
      </rPr>
      <t>https://yro.slashdot.org/story/23/10/20/0031219/casio-keyed-up-after-data-loss-hits-customers-in-149-countries</t>
    </r>
  </si>
  <si>
    <r>
      <rPr>
        <rFont val="Helvetica Neue"/>
        <color rgb="FF434343"/>
        <u/>
      </rPr>
      <t>https://www.bleepingcomputer.com/news/security/casio-discloses-data-breach-impacting-customers-in-149-countries/</t>
    </r>
  </si>
  <si>
    <r>
      <rPr>
        <rFont val="Helvetica Neue"/>
        <color rgb="FF434343"/>
        <u/>
      </rPr>
      <t>https://www.engadget.com/self-proclaimed-gay-furry-hackers-breach-nuclear-lab-152034192.html</t>
    </r>
  </si>
  <si>
    <t>Danish energy sector</t>
  </si>
  <si>
    <t>SektorCERT</t>
  </si>
  <si>
    <t>Two waves of coordinated attacks exploited security flaws in networking equipment used by 22 Danish energy companies, breaching all of them within days — the largest ever attack on Danish critical infrastructure, with links to Russia's Sandworm group.</t>
  </si>
  <si>
    <t>energy</t>
  </si>
  <si>
    <t>SecurityWeek</t>
  </si>
  <si>
    <r>
      <rPr>
        <rFont val="Helvetica Neue"/>
        <color rgb="FF434343"/>
        <u/>
      </rPr>
      <t>https://www.securityweek.com/22-energy-firms-hacked-in-largest-coordinated-attack-on-denmarks-critical-infrastructure/</t>
    </r>
  </si>
  <si>
    <r>
      <rPr>
        <rFont val="Helvetica Neue"/>
        <color rgb="FF434343"/>
        <u/>
      </rPr>
      <t>https://it.slashdot.org/story/23/12/26/2127250/cbs-paramount-owner-national-amusements-says-it-was-hacked</t>
    </r>
  </si>
  <si>
    <r>
      <rPr>
        <rFont val="Helvetica Neue"/>
        <color rgb="FF434343"/>
        <u/>
      </rPr>
      <t>https://www.theguardian.com/technology/2023/dec/26/hackers-steal-customer-data-europe-parking-app-easypark-ringgo-parkmobile</t>
    </r>
  </si>
  <si>
    <r>
      <rPr>
        <rFont val="Helvetica Neue"/>
        <color rgb="FF434343"/>
        <u/>
      </rPr>
      <t>https://en.wikipedia.org/wiki/Vastaamo_data_breach</t>
    </r>
  </si>
  <si>
    <r>
      <rPr>
        <rFont val="Helvetica Neue"/>
        <color rgb="FF434343"/>
        <u/>
      </rPr>
      <t>https://www.techtarget.com/WhatIs/feature/PowerSchool-data-breach-Explaining-how-it-happened</t>
    </r>
  </si>
  <si>
    <r>
      <rPr>
        <rFont val="Helvetica Neue"/>
        <color rgb="FF434343"/>
        <u/>
      </rPr>
      <t>https://techcrunch.com/2025/03/10/what-powerschool-isnt-saying-about-its-massive-student-data-breach/</t>
    </r>
  </si>
  <si>
    <r>
      <rPr>
        <rFont val="Helvetica Neue"/>
        <color rgb="FF434343"/>
        <u/>
      </rPr>
      <t>https://haveibeenpwned.com/Breach/SoundCloud</t>
    </r>
  </si>
  <si>
    <r>
      <rPr>
        <rFont val="Helvetica Neue"/>
        <color rgb="FF434343"/>
        <u/>
      </rPr>
      <t>https://www.bleepingcomputer.com/news/security/have-i-been-pwned-soundcloud-data-breach-impacts-298-million-accounts/</t>
    </r>
  </si>
  <si>
    <r>
      <rPr>
        <rFont val="Helvetica Neue"/>
        <color rgb="FF434343"/>
        <u/>
      </rPr>
      <t>https://yro.slashdot.org/story/25/12/01/2158251/koreas-coupang-says-data-breach-exposed-nearly-34-million-customers-personal-information</t>
    </r>
  </si>
  <si>
    <r>
      <rPr>
        <rFont val="Helvetica Neue"/>
        <color rgb="FF434343"/>
        <u/>
      </rPr>
      <t>https://techcrunch.com/2025/12/01/koreas-coupang-says-data-breach-exposed-nearly-34m-customers-personal-information/</t>
    </r>
  </si>
  <si>
    <r>
      <rPr>
        <rFont val="Helvetica Neue"/>
        <color rgb="FF434343"/>
        <u/>
      </rPr>
      <t>Qz.com</t>
    </r>
  </si>
  <si>
    <r>
      <rPr>
        <rFont val="Helvetica Neue"/>
        <color rgb="FF434343"/>
        <u/>
      </rPr>
      <t>https://qz.com/hackers-heath-data-hospitals-california-ransom-breach-1850942235</t>
    </r>
  </si>
  <si>
    <r>
      <rPr>
        <rFont val="Helvetica Neue"/>
        <color rgb="FF434343"/>
        <u/>
      </rPr>
      <t>https://www.bleepingcomputer.com/news/security/hca-confirms-breach-after-hacker-steals-data-of-11-million-patients/</t>
    </r>
  </si>
  <si>
    <r>
      <rPr>
        <rFont val="Helvetica Neue"/>
        <color rgb="FF434343"/>
        <u/>
      </rPr>
      <t>https://abcnews.go.com/International/10-days-ransomware-attack-irish-health-system-struggling/story?id=77876092</t>
    </r>
  </si>
  <si>
    <r>
      <rPr>
        <rFont val="Helvetica Neue"/>
        <color rgb="FF434343"/>
        <u/>
      </rPr>
      <t>https://en.wikipedia.org/wiki/Health_Service_Executive_ransomware_attack</t>
    </r>
  </si>
  <si>
    <r>
      <rPr>
        <rFont val="Helvetica Neue"/>
        <color rgb="FF434343"/>
        <u/>
      </rPr>
      <t>https://it.slashdot.org/story/23/10/20/002204/hackers-compromise-accounts-of-kodex-company-that-vets-police-data-requests-for-tech-giants</t>
    </r>
  </si>
  <si>
    <r>
      <rPr>
        <rFont val="Helvetica Neue"/>
        <color rgb="FF434343"/>
        <u/>
      </rPr>
      <t>https://www.404media.co/hackers-target-kodex-accounts-edrs/</t>
    </r>
  </si>
  <si>
    <r>
      <rPr>
        <rFont val="Helvetica Neue"/>
        <color rgb="FF434343"/>
        <u/>
      </rPr>
      <t>https://yro.slashdot.org/story/23/06/28/1640236/us-patent-and-trademark-office-notifies-filers-of-years-long-data-leak</t>
    </r>
  </si>
  <si>
    <r>
      <rPr>
        <rFont val="Helvetica Neue"/>
        <color rgb="FF434343"/>
        <u/>
      </rPr>
      <t>https://techcrunch.com/2023/06/28/uspto-trademark-data-api-leak</t>
    </r>
  </si>
  <si>
    <t>processed</t>
  </si>
  <si>
    <r>
      <rPr>
        <rFont val="Arial"/>
        <color rgb="FFB7B7B7"/>
        <sz val="9.0"/>
        <u/>
      </rPr>
      <t>https://stackdiary.com/the-data-of-760000-discord-io-users-was-put-up-for-sale-on-the-darknet/</t>
    </r>
    <r>
      <rPr>
        <rFont val="Arial"/>
        <color rgb="FFB7B7B7"/>
        <sz val="9.0"/>
      </rPr>
      <t>/</t>
    </r>
  </si>
  <si>
    <t>Microsoft finally explains cause of Azure breach: An engineer’s account was hacked https://arstechnica.com/?p=1965985</t>
  </si>
  <si>
    <t>https://techcrunch.com/2023/10/18/hacker-leaks-millions-more-23andme-user-records-on-cybercrime-forum/</t>
  </si>
  <si>
    <t>https://old.reddit.com/r/sysadmin/comments/10kp4ye/lastpass_breach_gets_worse/</t>
  </si>
  <si>
    <t>https://arstechnica.com/information-technology/2023/02/godaddy-says-a-multi-year-breach-hijacked-customer-websites-and-accounts/</t>
  </si>
  <si>
    <t>web
healthcare
app
retail
gaming
transport
financial
tech
government
telecoms
legal
media
academic
energy
military</t>
  </si>
  <si>
    <t>financial</t>
  </si>
  <si>
    <t>50,000*</t>
  </si>
  <si>
    <t>NGO</t>
  </si>
  <si>
    <t>"millions"</t>
  </si>
  <si>
    <t>T-Mobile warned Monday that a data breach has exposed the names, date of birth, Social Security number and driver’s license/ID information of more than 40 million current, former or prospective customers. The acknowledgment came less than 48 hours after millions of the stolen T-Mobile customer records went up for sale in the cybercrime underground.</t>
  </si>
  <si>
    <t>https://techcrunch.com/2021/08/18/t-mobile-says-at-least-47m-current-and-former-customers-affected-by-data-breach/</t>
  </si>
  <si>
    <t>Bit Defender</t>
  </si>
  <si>
    <t>https://www.bitdefender.com/blog/hotforsecurity/ubiquiti-users-told-to-change-their-passwords-following-security-breach</t>
  </si>
  <si>
    <t>legal</t>
  </si>
  <si>
    <t>Exposed the names, date of birth, Social Security number and driver’s license/ID information of more than 40 million current, former or prospective customers who applied for credit with the company.</t>
  </si>
  <si>
    <t>app</t>
  </si>
  <si>
    <t>Entity</t>
  </si>
  <si>
    <t>Oct 2018. Stolen data included names, nationalities, birth dates, phone numbers, addresses, passport &amp; identity card numbers &amp; expired credit card numbers.</t>
  </si>
  <si>
    <t>Feb 2019. Part of the theft of 127 million online account details from 8 hacked websites. They were put up for sale on the dark web 1 week after a similar tranche of 617 million records from 16 other websites.</t>
  </si>
  <si>
    <t>Dec 2018. A vulnerability exposed users' personal details to developers, even if their profiles were set to private. As a result, Google shut down the consumer version of the social network 4 months early.</t>
  </si>
  <si>
    <t>Feb 2019. Part of the theft of 617 million online account details from 16 hacked websites, put up for sale on the dark web.</t>
  </si>
  <si>
    <t>Feb 2019. A July 2018 hack exposed the personal information of all 500px users, including names, usernames, email addresses, encrypted passwords, location, birth date, and gender.</t>
  </si>
  <si>
    <t>Sep 2018. A company used by US government agencies to accept online payments exposed personal records via a standard web browser, including addresses, phone numbers and credit card digits.</t>
  </si>
  <si>
    <t>Jan 2019. A hacker stole usernames, email addresses and encrypted passwords belonging to players of the game "Town of Salem" from an insecure server.</t>
  </si>
  <si>
    <t>Apr 2019. A security breach of Toyota subsidiaries' IT systems may have leaked personal customer information.</t>
  </si>
  <si>
    <t>Feb 2019. 170,000 hours of sensitive calls to Sweden's healthcare hotline were stored on an open web server with no encryption or authentication. The breach was blamed on a subcontractor, Medicall.</t>
  </si>
  <si>
    <t>Jan 2019. A server belonging to the password manager service contained a freely accessible file with users' email addresses, names and encrypted passwords.</t>
  </si>
  <si>
    <t>Apr 2019. An Android app for finding local WiFi passwords inadvertently provided access to the entire database, including domestic WiFi points.</t>
  </si>
  <si>
    <t>Mar 2019. A Dutch researcher found women's personal information in an open Chinese database. It included phone numbers, addressed and their "BreedReady" status, whatever that might be.</t>
  </si>
  <si>
    <t>Mar 2018. India's biometric database was breached via a leak at a state-owned utility company. All registered Indian citizens were affected; their names, identity numbers and bank details were exposed. Data later found for sale on WhatsApp for less than £6.</t>
  </si>
  <si>
    <t xml:space="preserve">Dec 2016. A 2013 attack was eventually disclosed in 2016. Stolen data included names, telephone numbers, birth dates, passwords and security questions. </t>
  </si>
  <si>
    <t>Aug 2017. A misconfigured spambot leaked email addresses and passwords. "Almost one address for every single man, woman and child in all of Europe." The set included some fake or repeated accounts.</t>
  </si>
  <si>
    <t>Sep 2016. At the time, the largest ever data breach from a single website. It was stolen, according to Yahoo, by a "state-sponsored actor". It included names, dates of birth and security information.</t>
  </si>
  <si>
    <t>Sep 2019. Several unprotected databases were found to contain the phone numbers of around 20% of all Facebook users, with (in some cases) names and locations.</t>
  </si>
  <si>
    <t>Nov 2016. Almost every password used on Adult Friend Finder, Cams.com and Penthouse.com was breached. Those passwords were encrypted, but easily crackable.</t>
  </si>
  <si>
    <t>Nov 2018. Hackers breached the reservation system of all Starwood hotels, including Sheraton, Westin and Le Meridien. Personal information, credit card details and passport info dating back to 2014 was stolen.</t>
  </si>
  <si>
    <t>Nov 2019. Information compiled by a data aggregation firm were found on an insecure server. It included complete scrapes of LinkedIn data, including recruiter information.</t>
  </si>
  <si>
    <t>Mar 2017. One of the world's largest spam operations accidentally leaked a backup of its database of over a billion email addresses, along with real names, IP and physical addresses.</t>
  </si>
  <si>
    <t>May 2018. A glitch caused some passwords to be stored in readable text that was visible on Twitter's internal computer system.</t>
  </si>
  <si>
    <t xml:space="preserve">May 2019. The discovery of a huge, unprotected MongoDB database containing personal information of Indian citizens, including their education, resume and current salary.
</t>
  </si>
  <si>
    <t xml:space="preserve">Jan 2020. Customer support records spanning 14 years were left online without password protection. </t>
  </si>
  <si>
    <t>Dec 2018. Information thought to have been scraped from Chinese jobseeking websites was found in an insecure database. It included resumes, phone numbers, height, weight, driving license &amp; literacy level.</t>
  </si>
  <si>
    <t>May 2018. Data scraping company left a database exposed online, revealing 200 million contacts, 10 million companies and 9 billion "data points".</t>
  </si>
  <si>
    <t>Oct 2013. A 24 year old Vietnamese national, Hieu Minh Ngo, ran an identity theft service from his bedroom. A deal he struck with Experian gave him access to the personal and financial data of American citizens.</t>
  </si>
  <si>
    <t>Dec 2015. A insecure database containing US voter information was discovered by a researcher. It contained names, addresses, contact details and party affiliations.</t>
  </si>
  <si>
    <t>May 2016. In one of the largest password breaches ever, 360 million MySpace logins were stolen and put on sale for $2,800.</t>
  </si>
  <si>
    <t>Jul 2013. For more than seven years a hacking ring targeted banks, payment processors and chain stores to steal more than 160 million credit and debit card numbers.</t>
  </si>
  <si>
    <t>Mar 2018. A breach of usernames, email addresses, and hashed passwords belonging to users of the fitness app.</t>
  </si>
  <si>
    <t>May 2014. Hackers attacked between late February and early March, using the login credentials of three corporate employees. They then accessed a database containing all user records.</t>
  </si>
  <si>
    <t>Sep 2017. A breach of the firm's database exposed the names, social security numbers, birth dates, addresses, driver's license numbers and credit card information of US, UK and Canadian citizens.</t>
  </si>
  <si>
    <t>May 2019. Names, email addresses and location data belonging to users of an Australian graphic design service were stolen by a hacker.</t>
  </si>
  <si>
    <t>Jan 2009. Keylogging malware caused a massive data breach. Heartland eventually paid more than $110 million to Visa, MasterCard, American Express and other card associations to settle claims.</t>
  </si>
  <si>
    <t>Jun 2018. A security failure in a "personality test" app on Facebook left millions of people’s data publicly exposed for almost two years – even after they had deleted the app.</t>
  </si>
  <si>
    <t>May 2016. A massive batch of login credentials was discovered on the black market after being stolen by hackers. The breach dated from 2012, when the firm's password security policies were weak.</t>
  </si>
  <si>
    <t>Apr 2020. Personal details stolen from Jazz and other mobile networks were put up for sale for $2.1m in bitcoin.</t>
  </si>
  <si>
    <t>Jun 2016. A database stolen in 2013 from the Russian social network, containing full names, email addresses and passwords, was offered for sale online.</t>
  </si>
  <si>
    <t>Jul 2019. The massive data breach included personal information from credit card applications over a 14-year period. A former Amazon employee, Paige Thompson, awaits trial for fraud.</t>
  </si>
  <si>
    <t>Dec 2018. Login details and private messages were compromised by "a malicious third party".</t>
  </si>
  <si>
    <t>Jun 2018. Misconfigured databases used by app developers were found to be exposing 113GB of personal data, accumulated by thousands of iOS and Android mobile apps.</t>
  </si>
  <si>
    <t xml:space="preserve">Mar 2007. A Minnesota store wifi network was hacked. Data from the credit and debit cards of shoppers  was stolen. </t>
  </si>
  <si>
    <t>Jun 2004. A former America Online software engineer stole 92 million screen names and e-mail addresses and sold them to spammers who sent out up to 7 billion unsolicited e-mails.</t>
  </si>
  <si>
    <t>Feb 2015. A "sophisticated cyberattack" on one of the USA's largest health insurers uncovered names, dates of birth, social security numbers, addresses and employment information.</t>
  </si>
  <si>
    <t>Oct 2014. A hack of the USA's largest bank began in June, but was not discovered until July, when the hackers had already obtained the highest level of administrative privilege for dozens of servers.</t>
  </si>
  <si>
    <t>Nov 2015. An anonymous hacker leaked records of over 70m prisoner phone calls, plus links to recordings, potentially violating constitutional protections.</t>
  </si>
  <si>
    <t>Aug 2016. User credentials were stolen in a 2012 hack, but the number affected only came to light four years later. Dropbox reset any passwords that had been unchanged since 2012.</t>
  </si>
  <si>
    <t>Nov 2017. Uber concealed an October 2016 leak of personal information for more than a year. They paid hackers $100,000 to delete the stolen data. The chief security officer resigned.</t>
  </si>
  <si>
    <t>Mar 2018. Cambridge Analytica, headed at the time by Steve Bannon, harvested profiles in early 2014 to build a system that could profile US voters and target them with political adverts.</t>
  </si>
  <si>
    <t>Oct 2013. Hackers obtained access to a swathe of Adobe customer IDs, encrypted passwords &amp; sensitive information including encrypted credit and debit card numbers.</t>
  </si>
  <si>
    <t xml:space="preserve">Dec 2019. Card-stealing malware was installed, and remained undiscovered for nine months. </t>
  </si>
  <si>
    <t>Oct 2019. A site selling stolen payment card data was hacked and 26 million records were leaked. Banks were able to invalidate those cards, taking around 1/3 of the world's stolen cards out of circulation.</t>
  </si>
  <si>
    <t>May 2020. Aggregated data from multiple websites was discovered in an open database. It included addresses, job titles, phone numbers and social media profiles. The breach was dubbed 'db8151dd'.</t>
  </si>
  <si>
    <t>Feb 2020. Data stolen during an 2019 hack of an MGM server was published on a hacking forum.</t>
  </si>
  <si>
    <t xml:space="preserve">May 2020. The airline became aware of a hack in January, but didn't notify customers until April. Email addresses, travel details and credit card details were stolen. </t>
  </si>
  <si>
    <t>Mar 2020. Two hard drives with data from 6.9m registered organ donors went missing. They contained contact details, ID numbers &amp; signatures.</t>
  </si>
  <si>
    <t>Feb 2020. Names, addresses, and ID card numbers of every Israeli voter were found on an insecure website belonging to Elector, a political communications app.</t>
  </si>
  <si>
    <t xml:space="preserve">Mar 2020. Guest records were accessed using the logins of two employees between mid-Jan and end of Feb. </t>
  </si>
  <si>
    <t xml:space="preserve">Jan 2020. Correspondence, invoices and contracts containing personal details were left exposed on an unsecured company server. </t>
  </si>
  <si>
    <t>Sep 2019. Users who joined the platform before April 2018 had their names, email addresses, order history, phone numbers and encrypted passwords stolen in a hack.</t>
  </si>
  <si>
    <t>May 2015. Patient information was exposed in a hack on the network. In 2019, the firm reached a $2 million class-action lawsuit settlement.</t>
  </si>
  <si>
    <t xml:space="preserve">Mar 2020. A poorly-configured database left names, email addresses and phone numbers exposed for 10 months. </t>
  </si>
  <si>
    <t>Mar 2020. Details of accrued loyalty points were accessed, but financial details weren't exposed.</t>
  </si>
  <si>
    <t xml:space="preserve">Apr 2020. Email addresses, passwords and personal meeting URLs were sold on the dark web. It led to a host of zoom-bombing pranks. </t>
  </si>
  <si>
    <t>Apr 2020. Unauthorised access to thousands of Nintendo Switch accounts. Hackers were able to use saved payment details to make purchases.</t>
  </si>
  <si>
    <t>May 2020. Prisoners had sensitive personal data stolen in December 2019. They were notified five months later.</t>
  </si>
  <si>
    <t xml:space="preserve">March 2016. An employee stole client information and loan files and took them with him when he went to work for a competitor. Mount Olympus later awarded $25m in damages. </t>
  </si>
  <si>
    <t>Mar 2020. Hackers accessed Advantage Card records, but no financial data was stolen. Payment using points was suspended.</t>
  </si>
  <si>
    <t>Jun 2018. The genealogy site received a message from a researcher who had discovered over 92m email addresses and encrypted passwords on an external server.</t>
  </si>
  <si>
    <t>Dec 2016. Users of the video sharing site had their email addresses and usernames stolen. One in five also had their passwords compromised.</t>
  </si>
  <si>
    <t>Apr 2011. Rounding off a thoroughly unhappy year for Sony, their third breach saw a breach of 76,000,000 Sony PSN and Qriocity user accounts. They were offline for 23 days.</t>
  </si>
  <si>
    <t>Oct 2009. The National Archives And Records Administration sent a defective, unencrypted hard drive for repair and recycling. It held detailed records on 76 million veterans dating back to 1972.</t>
  </si>
  <si>
    <t>Dec 2013. Investigators believe that personal data was obtained via software installed on card-swiping machines at Target stores.</t>
  </si>
  <si>
    <t>May 2016. A three year old data breach came to light. Millions of email addresses and hashed passwords had been stolen.</t>
  </si>
  <si>
    <t>Jul 2013. The video games publisher revealed that user names, email addresses and encrypted passwords had been "illegally accessed".</t>
  </si>
  <si>
    <t>Sep 2014. Malware installed on cash register systems at 2,200 stores syphoned credit card details of up to 56 million customers, which were then sold online.</t>
  </si>
  <si>
    <t xml:space="preserve">Apr 2016. After a message was posted on the COMELEC website by hackers from Anonymous, warning the government of its weak election security, the entire database of voters was stolen and posted online. </t>
  </si>
  <si>
    <t>Apr 2013. Hackers gained access to  names, e-mail addresses, dates of birth &amp; encrypted passwords for 50 million users of an online offers site part-owned by Amazon.</t>
  </si>
  <si>
    <t>Mar 2013. Evernote asked all its users to reset their passwords, following the discovery of unauthorised access of personal details.</t>
  </si>
  <si>
    <t>Apr 2016. An entire database of voter records, originally stolen back in 2008, was leaked online.</t>
  </si>
  <si>
    <t>May 2019. Contact details for millions of Instagram influencers, celebrities and brand accounts was left exposed in an online database for at least six days.</t>
  </si>
  <si>
    <t>May 2018. A cloud storage repository was left publically accessible. Data included names, addresses, DOBs, and other information scraped from social media websites including Facebook.</t>
  </si>
  <si>
    <t>Oct 2017. Phone numbers, customer details, addresses and SIM card information from over a dozen Malaysian mobile providers was discovered online after being stolen in 2014.</t>
  </si>
  <si>
    <t xml:space="preserve">Sep 2018. Hackers injected 15 lines of card skimming code on the online retailer's payments page. It remained online for more than a month. </t>
  </si>
  <si>
    <t>Sep 2016. Usernames, email addresses and other internal records, such as newsletter sign-ups and ad-related data, were stolen in a 2012 hack.</t>
  </si>
  <si>
    <t>Oct 2016. IP addresses, usernames and hashed passwords were stolen from the web design platform.</t>
  </si>
  <si>
    <t>May 2016. Data allegedly stolen in 2011 was put up for sale on the dark web. The stash included email addresses, plain text passwords and information on sexual desires &amp; preferences.</t>
  </si>
  <si>
    <t>Jul 2013. China's biggest online forum confirmed that private information for 40 million users had been breached back in 2011.</t>
  </si>
  <si>
    <t>Jun 2005. An unauthorized entity enabled access to cusomer credit card data. It's not clear how many of the 40 million accounts were stolen.</t>
  </si>
  <si>
    <t xml:space="preserve">Apr 2018. Customer records, including loyalty card numbers, were available via the bakery chain's website for at least 8 months. The firm claims 10k records were leaked. Security researchers put the figure at over 37 million. </t>
  </si>
  <si>
    <t>Jul 2015. The online hookup site for extra-marital affairs was severely breached. Personal details and company financial records were threatened with release.</t>
  </si>
  <si>
    <t>Nov 2011. Attackers used login details from a forum hack to gain access to a database containing user names, encrypted passwords and credit card info, game purchases and billing addresses.</t>
  </si>
  <si>
    <t>Nov 2018. Poorly configured servers exposed customer details – including payment methods – for long enough to make their theft "likely".</t>
  </si>
  <si>
    <t xml:space="preserve">Mar 2017. For two years, hackers used forged cookies to log into millions of Yahoo accounts without a password. </t>
  </si>
  <si>
    <t>Dec 2009. The site did not allow users to use special characters or punctuation in their passwords and e-mailed user passwords in plain text. Hackers took advantage of these security lapses.</t>
  </si>
  <si>
    <t>Dec 2017. The developer of the customisable keyboard app failed to secure its database server. 577GB of user records were exposed.</t>
  </si>
  <si>
    <t xml:space="preserve">Oct 2018. The biggest hack in Facebook's history to date. Names, birth dates, phone numbers, search history and location data was stolen by hackers masquerading as a digital marketing company. </t>
  </si>
  <si>
    <t>Aug 2019. A biometric security company stored unencrypted usernames and passwords, fingerprints and facial recognition information on a publicly accessible database.</t>
  </si>
  <si>
    <t xml:space="preserve">May 2018. Names, addresses, email addresses and phone numbers were stolen from the ticketing firm. Ransom demands were made. The FBI indicted a suspect in February 2020. </t>
  </si>
  <si>
    <t>Jul 2006. The Veterans Affairs Department agreed to pay $20 million to settle a class action lawsuit over the loss of a laptop.</t>
  </si>
  <si>
    <t>Aug 2016. Two hackers attacked three game-related forums hosted by the Russian company Mail.ru. They stole email addresses, scrambled passwords and birthdates.</t>
  </si>
  <si>
    <t>Nov 2007. A set of discs containing confidential details of 25 million child benefit recipients was lost.</t>
  </si>
  <si>
    <t>May 2011. Hackers may have taken personal information from accounts in Austria, Germany, The Netherlands and Spain, including over 12,000 credit card accounts and 10,000 bank accounts.</t>
  </si>
  <si>
    <t>Jan 2012. The Amazon-owned e-commerce firm was the target of a cyber attack on its internal network, exposing names, e-mail addresses, phone numbers,addresses, and encrypted passwords.</t>
  </si>
  <si>
    <t>May 2013. 22 million Yahoo user IDs may have been leaked after Yahoo detected an unauthorized attempt to access the administrative system of its Yahoo Japan portal.</t>
  </si>
  <si>
    <t>Jul 2015. Hackers with suspected links to China accessed sensitive data on US intelligence and military personnel, leading to concerns about potential blackmail attempts.</t>
  </si>
  <si>
    <t>June 2019. For an 8 month period, a hacker group stole personal and payment information from a firm providing billing services for the US healthcare sector.</t>
  </si>
  <si>
    <t>Jan 2014. An employee was accused of of stealing data from customers of three credit card firms while working as a temporary consultant.</t>
  </si>
  <si>
    <t>Aug 2006. AOL released search data for roughly 20 million web queries from 658,000 anonymized users of the service. No one is quite sure why.</t>
  </si>
  <si>
    <t>Feb 2008. South Korea’s largest online shopping site was attacked by a Chinese hacker who made off with user information and a large amount of financial data.</t>
  </si>
  <si>
    <t>Dec 2017. Hackers stole 17.5m email addresses in 2012. About a third of those records included passwords hashed using a weak algorithm.</t>
  </si>
  <si>
    <t>May 2017. Stolen email addresses and hashed passwords were being sold on the dark web for just over $1000.</t>
  </si>
  <si>
    <t>Oct 2008. Thieves stole a device containing names, addresses, cell phone numbers, and some birth dates and e-mail addresses for high-profile German citizens.</t>
  </si>
  <si>
    <t>Aug 2016. An Iranian hacking group called Rocket Kitten stole millions of phone numbers from Telegram, an instant messaging service which prides itself on strong security.</t>
  </si>
  <si>
    <t>Oct 2015. The world's biggest data monitoring firm disclosed a massive data breach. It had exposed the details of T-Mobile customers applying for credit checks.</t>
  </si>
  <si>
    <t>Aug 2018. A single file containing 14.8 million voter records was found on an unsecured server. It was thought to have been originally compiled by Data Trust, a Republican-focused data analytics firm.</t>
  </si>
  <si>
    <t>Apr 2018. The Dubai-based ride hailing service admitted that names, email addresses, phone numbers and trip data had been accessed in what it called a "cyber incident".</t>
  </si>
  <si>
    <t xml:space="preserve">Aug 2012. Scrambled passwords, e-mail addresses, and personal security answers were stolen from Blizzard's internal network. Blizzard would not elaborate on the size of the hack ("millions"). </t>
  </si>
  <si>
    <t>Nov 2011. Personal data of subscribers to the online game Maple Story was breached and subsequently leaked.</t>
  </si>
  <si>
    <t xml:space="preserve">Dec 2015. A security researcher stumbled on an insecure database belonging to the Mac software provider, containing usernames, email addresses and passwords. </t>
  </si>
  <si>
    <t>Mar 2012. Millions of Apple Unique Device Identifiers (UDIDs) were leaked online. A hacking group claimed it had hacked an FBI laptop, but a software firm called BlueToad was found to be the source.</t>
  </si>
  <si>
    <t>Apr 2016. A hacker took 2.6TB of data from the Panamanian law firm. It included emails, contracts, scanned documents, transcripts and sensitive information relating to many politicians and public figures.</t>
  </si>
  <si>
    <t>Sep 2008. Two multimedia discs containing personal data of Korean customers was found by an office worker in a trash pile in Seoul. Likely to have been stolen by an employee.</t>
  </si>
  <si>
    <t>Mar 2015. The health insurance firm revealed that its IT systems had been breached, exposing financial and medical records.</t>
  </si>
  <si>
    <t>Jun 2018. The firm admitted that hackers were able to access the details of 10m customers and 6m payment cards.</t>
  </si>
  <si>
    <t xml:space="preserve">July 2016. South Korean police blamed North Korea for stealing personal customer data from a shopping mall's server in an attempt to obtain foreign currency. </t>
  </si>
  <si>
    <t>Mar 2015. All users were forced to reset their passwords after unauthorised access to a number of accounts.</t>
  </si>
  <si>
    <t>Dec 2014. Potentially every piece of data held by the company was hacked, including unreleased films, employee social security numbers and sensitive internal documents. North Korea suspected.</t>
  </si>
  <si>
    <t>Dec 2011. Several major Chinese gaming sites were hacked, breaching millions of user records.</t>
  </si>
  <si>
    <t>Dec 2016. Hackers breached a database holding contact information and interest in online courses. Lynda's owners, LinkedIn, said that 55,000 user passwords were also breached.</t>
  </si>
  <si>
    <t>Nov 2012. A computer programmer was arrested in Greece for allegedly stealing the identity information of 83% of the country's population. The 35-year-old was suspected of trying to sell it on.</t>
  </si>
  <si>
    <t>Jul 2012. Two suspects earned an estimated $877,000 by selling the contact information and plan details of 8.7 million subscribers to Korea's second largest mobile phone network.</t>
  </si>
  <si>
    <t>Mar 2007. A former contractor of the firm stole 8.6 million records containing the personal data of customers.</t>
  </si>
  <si>
    <t xml:space="preserve">Jun 2011. A laptop holding the unencrypted records of eight million patients went missing from an NHS store room and wasn't reported until 3 weeks later. </t>
  </si>
  <si>
    <t>Jul 2007. An employee sold customer information to a data broker, including names, addresses, birth dates, bank account and credit card information.</t>
  </si>
  <si>
    <t>Jun 2012. Hacker 'dwdm' uploaded a file containing 6.5 million passwords to a Russian hacker forum. Soon after, another 1.5 million passwords were discovered in another file on the forum.</t>
  </si>
  <si>
    <t>Jul 2012. 4 months after the gaming site Gamigo warned users about a hacker intrusion, more than 8 million usernames, emails &amp; encrypted passwords from the site were published on the web.</t>
  </si>
  <si>
    <t>Apr 2016. Players using Minecraft's Lifeboat service had their email addresses and passwords leaked. The passwords were very weakly hashed.</t>
  </si>
  <si>
    <t>Sep 2016. A service which pays people to view adverts and take surveys was hacked. Stolen information included addresses, banking details and social security numbers.</t>
  </si>
  <si>
    <t>Apr 2012. The office of Texas Attorney General Greg Abbott mistakenly gave attorneys access to a database containing millions of Social Security numbers.</t>
  </si>
  <si>
    <t>Dec 2015. The toy maker was targeted by a hacker who stole the private data of millions of children, including names, email addresses and birth dates.</t>
  </si>
  <si>
    <t>Sep 2007. The firm settled a class action lawsuit to compensate as many as 6.3 million customers whose data was stolen by hackers.</t>
  </si>
  <si>
    <t>Sep 2017. A bug in Instagram's API exposed users' contact details. The data was placed online in a searchable database, with a charge of $10 per search.</t>
  </si>
  <si>
    <t xml:space="preserve">Jun 2013. By using the network's "Download Your Information" tool, some Facebook members were able to access phone numbers and email addresses of strangers. </t>
  </si>
  <si>
    <t>Mar 2012. A man surnamed Zeng was arrested on suspicion of leaking personal information belonging to users of the China Software Developer Network (CSDN).</t>
  </si>
  <si>
    <t xml:space="preserve">May 2008. A computer hacker in Chile published confidential records belonging to six million people to illustrate the weakness of government security. </t>
  </si>
  <si>
    <t>Dec 2014. A text file containing personal data and financial documents relating to almost all adult Serbian citizens was made publically available.</t>
  </si>
  <si>
    <t>Jul 2019. A hacker stole personal details of Bulgarian citizens from 110 government databases. 5m records, out of a total population of 7m.</t>
  </si>
  <si>
    <t>Apr 2018. A known ring of cybercriminals implanted software into store cash registers, siphoning off credit card details from readers.</t>
  </si>
  <si>
    <t>Nov 2018. A "technical issue" inadvertently caused customer names &amp; email addresses to be posted to the Amazon website just prior to Black Friday.</t>
  </si>
  <si>
    <t>Jul 2016. The computer network used by Hillary Clinton's campaign team was hacked as part of a broader cyber attack on Democratic political organizations.</t>
  </si>
  <si>
    <t>Sep 2014. Account details and passwords were posted on a Russian Bitcoin forum. Close inspection revealed the user details to be old (3+ years). Gmail itself was not hacked.</t>
  </si>
  <si>
    <t>Jan 2009. Criminals took control of the payment service's domains. They redirected traffic to a Ukrainian Web server that used malware to install a password-stealing program on the victim's computer.</t>
  </si>
  <si>
    <t>Sep 2011. Backup tapes containing information for some 4.6 million active and retired military personnel, as well as their families, was stolen from a data contractor's car in San Antonio.</t>
  </si>
  <si>
    <t>Jan 2014. Hackers abused an exploit to siphon off usernames and phone numbers, which were then posted online.</t>
  </si>
  <si>
    <t>Aug 2014. The US hospital operator suffered a system breach, leaking 5 years worth of data. Details included names, addresses, social security numbers. The goal: identity theft.</t>
  </si>
  <si>
    <t>May 2008. An archiving vendor lost a box full of data storage tapes containing sensitive information.</t>
  </si>
  <si>
    <t>Nov 2011. A stolen laptop contained a database with names, addresses, dates of birth, phone numbers, email addresses, medical record numbers and health insurance plans.</t>
  </si>
  <si>
    <t>June 2019. An employee of the Canadian financial firm leaked customer information outside the organisation: names, addresses, birthdates, social insurance numbers &amp; transaction habits.</t>
  </si>
  <si>
    <t>Mar 2008. An estimated 4.2 million credit and debit card numbers were stolen when payment data was intercepted by hackers.</t>
  </si>
  <si>
    <t>Jun 2015. Hackers gained access to federal employees’ Social Security numbers, job assignments, performance ratings and training information.</t>
  </si>
  <si>
    <t>Aug 2014. Malware was discovered in the credit &amp; debit card processing systems of 51 UPS branches in 24 states. It was leaking data for as long as eight months.</t>
  </si>
  <si>
    <t>Jul 2014. The ECB received an anonymous call requesting money in return for the stolen data. The bank didn't say how much the blackmailer asked for, but did say that it refused to pay anything.</t>
  </si>
  <si>
    <t>Aug 2013. Four unencrypted computers were stolen from an office belonging to the healthcare provider. 4,000,000 patient names, addresses, dates of birth and Social Security numbers were exposed.</t>
  </si>
  <si>
    <t>Jun 2013. Names, phone numbers, home and email addresses of Japanese members of Club Nintendo were stolen after a website breach.</t>
  </si>
  <si>
    <t>Sep 2013. Teenage hackers collected data for exposed.su, a site that charged people to search for  the social security numbers, birthdays, phone numbers and addresses of celebrities.</t>
  </si>
  <si>
    <t>Jun 2006. Tokyo police arrested two men for trying to extort nearly US$90,000. The pair allegedly threatened to disclose the existence of storage media containing personal data.</t>
  </si>
  <si>
    <t>Sep 2008. Tax authorities accidentally sent CD-ROMs filled with the 2006 tax returns of 4m Norwegian citizens to editorial staff at national newspapers, radios and television stations.</t>
  </si>
  <si>
    <t>May 2015. Data found on the dark web included sexual preferences, names, email addresses, usernames, dates of birth and postal codes. It included information of former as well as current users.</t>
  </si>
  <si>
    <t>Jun 2005. A box of computer tapes containing information on 3.9 million customers was lost in transit to a credit reporting agency.</t>
  </si>
  <si>
    <t>Mar 2017. Two laptop computers were stolen at the backup venue for the election of the leader of Hong Kong. The names of electors and personal information of the city's voters was compromised.</t>
  </si>
  <si>
    <t>Aug 2016. Hackers gained access to payment card data that was used to buy food and drink at Banner Health outlets. In 2019, Banner agreed to a $6m settlement over the breach.</t>
  </si>
  <si>
    <t>Oct 2012. A server containing social security numbers and credit card data was breached by an international hacker.</t>
  </si>
  <si>
    <t>Apr 2011. 3.5 million records were accidentally published online including people's names, mailing addresses and social security numbers. They were there for a year.</t>
  </si>
  <si>
    <t>Dec 2015. A researcher accessed a database containing login information, password hints and birthdates of fans of the Hello Kitty brand, including many children.</t>
  </si>
  <si>
    <t>Mar 2010. A contractor for the US Department of Education stole a device containing student loan records. The breach affected as many as 5% of all the country's federal student loan borrowers.</t>
  </si>
  <si>
    <t>Feb 2018. Patient records of more than half of Norway's population were stolen. The hack is thought to have happened via old computers running Windows XP.</t>
  </si>
  <si>
    <t>Mar 2018. A third-party tool that allows users to see who had blocked them was able to access non-public personal info, including locations of users who had opted out of location sharing.</t>
  </si>
  <si>
    <t xml:space="preserve">Jan 2017. Cellebrite's main product is a device that rips data from mobile phones. 900GB of data was stolen from Cellebrite. The hackers got hacked. The number of records taken is unknown. 
</t>
  </si>
  <si>
    <t>Jul 2017. All Swedish driving license data was made available to Czech IT workers. The question of whether national security was harmed was censored in the official report.</t>
  </si>
  <si>
    <t>Sep 2017. A misconfigured server exposed 1Gb of Viacom's credentials – enough, say researchers, to take down the firm's internal IT infrastructure.</t>
  </si>
  <si>
    <t>Apr 2012. After finding a security flaw in Iran's banking system, Khosrow Zarefarid sent a formal report to the CEOs of all affected banks. When they ignored him, he hacked 3m bank accounts to prove his point.</t>
  </si>
  <si>
    <t xml:space="preserve">Apr 2011. Names &amp; email addresses of customers of Barclaycard US, Capital One, JP Morgan, Citigroup &amp; other firms were stolen via a breach in an email system.  </t>
  </si>
  <si>
    <t>Dec 2007. A hard disk with details of UK driving theory test candidates was lost by a contractor while they were in Iowa, USA.</t>
  </si>
  <si>
    <t>Nov 2014. An attack on credit and debit card systems left numbers, account numbers, expiry dates and customer names compromised.</t>
  </si>
  <si>
    <t>May 2007. Personal information was mistakenly identified as trash and thrown out in garbage bags outside five branch offices in New York.</t>
  </si>
  <si>
    <t>Aug 2020. Medical records from an artificial intelligence company were left open online.</t>
  </si>
  <si>
    <t>Aug 2008. A senior financial analyst was sentenced to eight months in prison after pleading guilty to downloading millions of borrower files onto thumb drives &amp; selling the information.</t>
  </si>
  <si>
    <t xml:space="preserve">Sep 2020. Alcohol delivery service hacked with email addresses, DOB, hashed passwords and some home addresses leaked. </t>
  </si>
  <si>
    <t>Sep 2020. Personal details of millions of notable people around the world found in a leaked database compiled by a Chinese tech company with reported links to the country’s military and intelligence networks. Mostly compiled from social media profiles.</t>
  </si>
  <si>
    <t>Aug 2015. The breach exposed names, addresses, birth date and bank details. Around 480,000 were TalkTalk Mobile customers; 1.9m were customers of Carphone Warehouse directly.</t>
  </si>
  <si>
    <t>Apr 2014. User accounts were compromised in order to send out spam messages.</t>
  </si>
  <si>
    <t>May 2011. Betfair waited 18 months to report the breach of their online gambling site, alarming banking institutions and security experts. The breach involved user names, addresses and account details.</t>
  </si>
  <si>
    <t>Jun 2016. A database of suspected terrorists and criminals used by global banks and intelligence agencies was leaked online. Access is normally granted via a strict vetting process.</t>
  </si>
  <si>
    <t>Jun 2008. Petty thieves stole backup data tapes containing billing records from an employee's car. According to police reports the thieves tried - and failed - to view the tapes using a VHS player.</t>
  </si>
  <si>
    <t>Apr 2008. Six backup tapes from the medical school containing more than 2 million medical records were stolen from a van that was transporting the data to an off-site facility.</t>
  </si>
  <si>
    <t>Aug 2018. Personal data along with passwords encrypted by a notoriously weak algorithm (MD5) were stolen. The firm initially failed to disclose the password breach, "because they were encrypted".</t>
  </si>
  <si>
    <t>Aug 2017. The second-hand games seller fell victim to a security breach. An 'unauthorised third party' accessed systems holding personal information.</t>
  </si>
  <si>
    <t>Jul 2016. 2 million usernames, email addresses, and IP addresses were compromised via a vulnerability in the forum software.</t>
  </si>
  <si>
    <t>July 2013. The discussion forum for the operating system was hacked, exposing personal details and weakly-hashed passwords.</t>
  </si>
  <si>
    <t>Sep 2013. An IT contractor for the firm used his access to the telecom giant's system to steal customer details, including bank account numbers and sort codes.</t>
  </si>
  <si>
    <t xml:space="preserve">May 2017. Email addresses and information about customers and contractors was leaked after being stolen from an insecure database. The company was threatened with further leaks. </t>
  </si>
  <si>
    <t>Mar 2011. As many as nine server drives containing personal information of former and current employees went missing from an IBM data center in California.</t>
  </si>
  <si>
    <t>Jan 2012. An employee from a software consulting firm was able to grant unauthorized access to the energy supplier's database.</t>
  </si>
  <si>
    <t>Apr 2017. Indian hackers leaked records after taking umbrage at comments made by Snapchat's CEO about their country.</t>
  </si>
  <si>
    <t xml:space="preserve">Feb 2011. Computer backup tapes from the New York provider were stolen from a truck that was transporting them to a secure storage location. </t>
  </si>
  <si>
    <t xml:space="preserve">Oct 2008. A hard drive containing sensitive details of Armed Forces personnel - passport &amp; national insurance numbers, bank details etc - went missing. The loss was revealed during National Identity Fraud Prevention Week. </t>
  </si>
  <si>
    <t>Dec 2017. A Paypal subsidiary providing bill payment services suffered a "security incident". Personal information and financial details were likely to have been breached.</t>
  </si>
  <si>
    <t>Oct 2011. A Florida health care provider responsible for running children’s hospitals lost three data backup tapes, containing 10 years worth of information.</t>
  </si>
  <si>
    <t>Aug 2007. A trojan virus harvested user names, e-mail addresses, home addresses and phone numbers. Soon after, phishing e-mails encouraged users to download a Monster Job Seeker Tool, which was in fact malware.</t>
  </si>
  <si>
    <t>July 2018. Hackers stole personal details of 1.5 million patients, as well as the prescription details of 160,000 people, including prime minister Lee Hesien Loong.</t>
  </si>
  <si>
    <t>Mar 2016. A hacker targeted several Russian websites in revenge for the shooting down of flight MH17 over Ukraine. They included videogame firm Nival and email provider KM.ru.</t>
  </si>
  <si>
    <t xml:space="preserve">Jun 2013. Edward Snowden, an intelligence contractor in Hawaii, downloaded up to 1.5 million files. He then flew to Hong Kong to meet journalists Glenn Greenwald and Laura Poitras before fleeing to Moscow. </t>
  </si>
  <si>
    <t>Apr 2012. Hackers gained unauthorised access to systems of the payment processing firm, exposing over a million credit card numbers.</t>
  </si>
  <si>
    <t>Dec 2010. The notorious website was hacked. The source code was stolen, along with 1.5 million usernames, emails and passwords.</t>
  </si>
  <si>
    <t xml:space="preserve">Nov 2009. A portable hard drive with seven years worth of personal and medical information was lost for six months before being reported. </t>
  </si>
  <si>
    <t>Dec 2008. A hack compromised RBS Worldpay prepay and gift cards. Actual fraud has been committed on approximately 100 cards. The personal information of over 1m people was exposed.</t>
  </si>
  <si>
    <t>Sep 2020. DNA data on up to 1.4m users of this geneaology site may have been hacked.</t>
  </si>
  <si>
    <t xml:space="preserve">Mar 2018. An insecure customer database belonging to the jewellery firm exposed postal addresses, email addresses, IP addresses and plain-text passwords. </t>
  </si>
  <si>
    <t>Jun 2011. Information registered as part of the Sega Pass system was stolen, including names, birth dates, e-mail addresses and passwords.</t>
  </si>
  <si>
    <t>Jul 2011. Unknown hackers broke into The Washington Post's jobs website, stealing user IDs and email addresses.</t>
  </si>
  <si>
    <t>Feb 2010. Two company laptops containing names, addresses, dates of birth, Social Security numbers and health-related information were stolen from an AvMed facility in Gainesville.</t>
  </si>
  <si>
    <t>Dec 2014. Point of sale systems were infected with malware. Thieves may have used it to steal customer names, payment card numbers, expiration dates and card verification codes.</t>
  </si>
  <si>
    <t>May 2015. Hackers gained access to a database belonging to the healthcare insurer, stealing names, birth dates, email addresses and insurance ID numbers.</t>
  </si>
  <si>
    <t>Jan 2014. Malware in the firm's IT system leaked customer payment data for several months.</t>
  </si>
  <si>
    <t>May 2010. A thief stole 57 unencrypted hard drives from the closet of a BlueCross call center in Chattanooga.</t>
  </si>
  <si>
    <t>Jan 2017. An app which allows Israelis to pay water bills contained a vulnerability in the sign-in process. It could reveal payment history, personal ID information and credit card details.</t>
  </si>
  <si>
    <t>May 2013. Malicious files were placed on the servers of the content management platform. They exposed usernames, e-mail addresses and cryptographically hashed passwords.</t>
  </si>
  <si>
    <t>Sep 2013. Hackers stole millions of social security numbers from a number of large US data brokers, intending to steal identities.</t>
  </si>
  <si>
    <t>Jun 2011. The LulzSec hacking collective accessed unencrypted user information. They claimed that they didn't have the resources to steal everything they were able to access.</t>
  </si>
  <si>
    <t>May 2011. Detectives arrested Tim Nuss for accessing an old Oregon Department of Motor Vehicles database, including names, addresses, birth dates, gender and ages of people who registered.</t>
  </si>
  <si>
    <t>Mar 2008. A former employee stole a hard drive containing 1m account details between May &amp; July 2007, then used it to defraud cutomers of nearly $32,000.</t>
  </si>
  <si>
    <t xml:space="preserve">Dec 2011. Hacking collective Anonymous published what they claimed was Stratfor's confidential client list, along with credit card details and passwords. In fact, it was a list of subscribers to Stratfor's online publication. </t>
  </si>
  <si>
    <t>May 2018. Data originating with a South African traffic fine payment firm was leaked online. It included names, national ID numbers, cell numbers, email addresses and plain text passwords.</t>
  </si>
  <si>
    <t>Mar 2018. An legacy version of the travel website was hacked, exposing personal details and payment card info of people who'd made purchases in 2016 and 2017. Orbitz is now owned by Expedia.</t>
  </si>
  <si>
    <t>Nov 2013. A moderator account on the forum was logged into by the hacker, who then was able to escalate privileges. All users were advised to change their passwords.</t>
  </si>
  <si>
    <t>Apr 2012. California child support records were lost in transit during a "disaster preparedness" exercise.</t>
  </si>
  <si>
    <t>Sep 2011. South Shore Hospital hired a contractor to destroy files no longer in use. The firm lost the shipment. It contained social security numbers, medical records and banking details.</t>
  </si>
  <si>
    <t>Sep 2007. A laptop containing data on people who applied for positions at Gap stores between July 2006 and June 2007 was stolen.</t>
  </si>
  <si>
    <t>Sep 2016. A vulnerability in the pornsite's forum software compromised millions of accounts, many of which had identical login details for the site itself.</t>
  </si>
  <si>
    <t>Apr 2012. Hackers operating out of Eastern Europe circumvented server security at the Utah Health Department, stealing the Social Security numbers of Medicaid claimants.</t>
  </si>
  <si>
    <t xml:space="preserve">Dec 2010. The breach affected current and former students. It cost the university $4m in expenses related to investigative consulting, breach notification and credit security. </t>
  </si>
  <si>
    <t>Sep 2014. Japan Airlines confirmed the possible theft of information from up to 750,000 frequent-flier programme members, including names, birth dates, addresses and places of work.</t>
  </si>
  <si>
    <t>Dec 2018. Customer names, gender, birth dates, email and postal address data were left on a publicly searchable server belonging to the Belgian rail authority. Caused by a data worker “clicking on the wrong button”.</t>
  </si>
  <si>
    <t>May 2017. The font site's database was targeted by a hacker who had seen it being traded elsewhere. The flaw was "easy to find". Usernames, email addresses and passwords were stolen.</t>
  </si>
  <si>
    <t>Jun 2014. Hackers demanded a ransom of €30,000 (£24,000) from Domino's Pizza after stealing personal data on more than 600,000 of its French and Belgian customers.</t>
  </si>
  <si>
    <t>Jul 2009. A large-scale infection of e-commerce sites with malicious code led to the compromise of thousands of debit and credit cards.</t>
  </si>
  <si>
    <t>Oct 2016. Australian donor information was accessed via an unsecured database posted online by a contractor. Information included that of "at-risk sexual behaviour".</t>
  </si>
  <si>
    <t>Sep 2017. Personal data and vehicle details were exposed. Customer passwords were stored using an easily-crackable algorithm.</t>
  </si>
  <si>
    <t>May 2009. A prescriptions website with a database containing 8m patient records and 35m prescription records was hacked. The hacker demanded a $10 million ransom for the breach.</t>
  </si>
  <si>
    <t>Apr 2011. A computer stolen from the hospital contained patients' names, ages, dates of birth, medical record numbers and the last four digits of their social security numbers.</t>
  </si>
  <si>
    <t xml:space="preserve">Sep 2020. Login data for users of the popular video games may have compromised. Activision refutes the claim. </t>
  </si>
  <si>
    <t>Jul 2015. An Italian hacking firm which sells digital surveillance software to national security organisations – including those of repressive regimes – was itself hacked, and the data put on BitTorrent.</t>
  </si>
  <si>
    <t>Mar 2015. Sometime in February 2015, hackers were able to peruse Slack’s central database for up to four days. That database included usernames, email addresses and encrypted passwords.</t>
  </si>
  <si>
    <t>Apr 2013. A website billing itself as the "world's largest online library" was hacked. 1% of its users had passwords compromised.</t>
  </si>
  <si>
    <t>Jul 2013. Cybercriminals targeted the Nasdaq online forum, stealing email addresses and passwords.</t>
  </si>
  <si>
    <t>Jul 2012. Usernames and passwords thought to be related to Yahoo's Voice service were dumped online, after being accessed in a database hack.</t>
  </si>
  <si>
    <t>Jul 2012. 420,000 hashed passwords were posted to a security forum. Formspring immediately forced users to reset their passwords.</t>
  </si>
  <si>
    <t>Nov 2018. Hackers obtained email addresses, names, order histories, hashed passwords, physical and IP addresses for users of an "erotic role-playing game".</t>
  </si>
  <si>
    <t>May 2015. A service that claims to help people spy on mobile devices was hacked, exposing emails, text messages, payment and location data.</t>
  </si>
  <si>
    <t>May 2011. A computer stolen from an employee's car contained a password-protected file with Social Security numbers as well as names, addresses, dates of birth and medical billing codes.</t>
  </si>
  <si>
    <t>Nov 2010. A competitor accessed restricted areas of the healthcare firm's website without authorisation, compromising client information.</t>
  </si>
  <si>
    <t>Oct 2010. Wikileaks posted classified Iraq War documents on its website.</t>
  </si>
  <si>
    <t>Sep 2018. The personal and financial details of customers who booked flights in a two-week period over the summer were compromised.</t>
  </si>
  <si>
    <t>Aug 2013. A rented photocopier used to copy health records did not have its hard-drive wiped before its return, exposing personal data.</t>
  </si>
  <si>
    <t xml:space="preserve">Apr 2012. The company 'misplaced' 10 backup discs containing sensitive patient information, including social security numbers. </t>
  </si>
  <si>
    <t>Nov 2018. An online database with no password protection contained thousands of customer records, including names, email addresses, phone numbers and sexual misconduct complaints.</t>
  </si>
  <si>
    <t>Dec 2018. Vulnerabilities in government payment software allowed hackers to access financial records and personal data across 46 US cities.</t>
  </si>
  <si>
    <t>Dec 2017. Data on a "leaky server" belonging to Ancestry.com's community-driven site RootsWeb was exposed. Passwords, email addresses and usernames were leaked.</t>
  </si>
  <si>
    <t>Dec 2016. The fitness website was hacked. Email addresses and passwords were published online.</t>
  </si>
  <si>
    <t>Jun 2011. Electronic files containing names and social security numbers of approximately 300,000 individuals who have applied for workers’ compensation benefits were left unsecured.</t>
  </si>
  <si>
    <t>May 2011. Names, addresses and vehicle identification numbers were taken from two of the firms' eCommerce websites, myHonda and myAcura</t>
  </si>
  <si>
    <t>Jul 2013. Apple's developer portal was hacked. "Some" information about 275,000 3rd-party developers was potentially stolen.</t>
  </si>
  <si>
    <t>Apr 2016. Hacking outfit calling itself 'Cyber Justice Team' leaked 10GB of data from multiple Syrian government and private websites. Much of it was duplicated from previously known hacks.</t>
  </si>
  <si>
    <t>Apr 2017. The firm reported unauthorised access to names, addresses, phone numbers and bank account details relating to British and Polish customers.</t>
  </si>
  <si>
    <t>Nov 2010. The Wikileaks Embassy Cables, containing over 1/4 of a million dispatches from more than 250 worldwide embassies and consulates.</t>
  </si>
  <si>
    <t>Feb 2013. A Java vulnerability gave hackers access to some user information including usernames, email addresses, session tokens and encrypted/salted versions of passwords.</t>
  </si>
  <si>
    <t>Jan 2011. Computer gamers hacked a server in search of more bandwidth to play Call of Duty. In the process they  gained access to personal records of more than 230,000 patients.</t>
  </si>
  <si>
    <t>Apr 2012. A man was arrested for sending confidential information on Medicaid beneficiaries to his personal email address.</t>
  </si>
  <si>
    <t>Jun 2011. A breach of the bank's online web portal compromised the information of around 1% of Citbank card holders.</t>
  </si>
  <si>
    <t xml:space="preserve">May 2011. Over 1,500 departmental computers were infected with malware which “downloads additional files, steals information and opens a back door on the compromised computer”. </t>
  </si>
  <si>
    <t>June 2019. A hacker accessed personal information including addresses, bank account details, payroll information and academic records. Staff, students and visitors were affected.</t>
  </si>
  <si>
    <t>Jul 2013. A hacker gained access to an email account, from where they were able to compromise the firm's internal systems. The European customer database was exposed.</t>
  </si>
  <si>
    <t>Jun 2011. Hacking collective Lulzsec claimed to have stolen the account information of 200,000 users.</t>
  </si>
  <si>
    <t>Mar 2006. A laptop containing employee data was either lost or stolen. It included names, addresses, Social Security numbers, dates of birth and other employment-related information.</t>
  </si>
  <si>
    <t>Apr 2005. A computer backup tape containing the personal information of customers between 2000 and 2003 was lost.</t>
  </si>
  <si>
    <t>May 2010. A stolen portable hard drive contained records from 2003 to 2006, including patient names, addressees, phone numbers, birth dates and Social Security numbers.</t>
  </si>
  <si>
    <t>Jun 2011. A server storing customer data was found to be a) unsecured, and b) infected with viruses.</t>
  </si>
  <si>
    <t>Jun 2011. Mismailed letters allowed some lines of sensitive information (medication name, date of birth, and member ID) to be visible through the envelope window.</t>
  </si>
  <si>
    <t>May 2013. Journalists discovered the personal data of over 170,000 customers on a publicly accessible server. Hilariously, the firms branded the journalists "hackers".</t>
  </si>
  <si>
    <t>Mar 2012. Hacking group LulzSec released a database of 163,792 names, usernames, e-mail addresses, IP addresses, and passwords of "single" military personnel.</t>
  </si>
  <si>
    <t>May 2013. Social Security numbers and a million driver's license numbers may have been accessed by hackers exploiting weaknesses in old server software.</t>
  </si>
  <si>
    <t>May 2009. The attackers accessed a computer belonging to the university's health centre. The personal information of current students and alumni was stolen.</t>
  </si>
  <si>
    <t>Dec 2007. Disks containing children's personal details were lost by couriers. It prompted the agency to introduce disk encryption.</t>
  </si>
  <si>
    <t>Nov 2015. Shares in the telecoms firm plunged by a third after the hack, which exposed the banking details of more than 15,000 people.</t>
  </si>
  <si>
    <t>Jan 2011. Names, social security numbers, date of birth, home addressees, account numbers, healthcare services and diagnostics were hacked.</t>
  </si>
  <si>
    <t>Jul 2013. The bank failed to redact court records before they were placed on a publicly accessible system. The personal information of customers entering bankruptcy between 2007-2011 was exposed.</t>
  </si>
  <si>
    <t>Feb 2014. Students who attended the university between 2011 and 2014 may have had their data accessed by three automated computer data mining applications.</t>
  </si>
  <si>
    <t>Dec 2009. A personal laptop owned by an Army Guard contractor was stolen. It contained a database including names, Social Security Numbers, incentive payment amounts and payment dates.</t>
  </si>
  <si>
    <t>Jun 2010. Protected health information was exposed after seven CDs were lost in transit with FedEx.</t>
  </si>
  <si>
    <t>Nov 2016. Fraudsters compromised the mobile network's handset upgrade system and ordered new handsets to sell online. Customer details were accessed as part of the breach.</t>
  </si>
  <si>
    <t>Apr 2013. Hackers accessed data relating to applications made between February 2006 and March 2013, including names, birth dates, race, contact information and Social Security numbers.</t>
  </si>
  <si>
    <t>Jul 2006. Automatic Data Processing, one of the world's largest payroll service companies, confirmed that it was swindled by a data thief looking for information on investors.</t>
  </si>
  <si>
    <t>Aug 2011. "AntiSec" hackers published a huge trove of personal information from 70 different US law enforcement agencies.</t>
  </si>
  <si>
    <t>Jun 2010. Details of iPad 3G users, thought to include those of White House chief of staff Rahm Emanuel, was stolen from the AT&amp;T website.</t>
  </si>
  <si>
    <t>Jun 2008. A laptop containing unencrypted Social Security numbers and bonus/salary info of AT&amp;T employees was stolen from a car.</t>
  </si>
  <si>
    <t>Jun 2016. Personal details of French police officers were uploaded to Google Drive by an employee. The leak came two weeks after a gendarme was murdered in an ISIS-inspired attack.</t>
  </si>
  <si>
    <t>Feb 2013. Customer banking information and other personal information may have been accessed when systems belonging to the energy supplier were hacked.</t>
  </si>
  <si>
    <t>Jul 2010. State officials discovered the unauthorized removal of a computer hard drive housed at Colorado's Office of Information Technology which contained health insurance information.</t>
  </si>
  <si>
    <t>Apr 2012. For more than a year, an employee of an affiliated physician’s office accessed patient information through a web portal: names, dates of birth and Social Security numbers.</t>
  </si>
  <si>
    <t>June 2019. Photos of faces and license plates taken at an US border crossing were stolen in a cyberattack on a surveillance contractor.</t>
  </si>
  <si>
    <t>Nov 2018. Dell detected and disrupted unauthorized attempts to extract customer names, email addresses &amp; hashed passwords. The number of affected customers was not disclosed.</t>
  </si>
  <si>
    <t>May 2015. An organized crime syndicate used the IRS website to steal taxpayers' personal financial information. 15,000 of them were used to claim refunds in other people's names.</t>
  </si>
  <si>
    <t>Feb 2013. A stolen laptop exposed private data including names, social security numbers, health insurance information, birth dates, diagnoses and other medical information.</t>
  </si>
  <si>
    <t>Jan 2013. The theft of a mobile device containing youth and employment records exposed 100,000 young people to potential identity theft.</t>
  </si>
  <si>
    <t>Nov 2008. A laptop containing private information on 97,000 employees was stolen. Employees won a case against the firm before losing in the federal court as they were unable to prove any cognizable harm.</t>
  </si>
  <si>
    <t>Nov 2018.  "Sensitive" information on applicants for US healthcare plans was hacked. It included names, birth dates, addresses, expected income &amp; health insurance status.</t>
  </si>
  <si>
    <t>Nov 2008. Data on more than 89,000 lottery winners (including names, Social Security numbers, addresses and prize amounts) were taken from the agency without permission by a former employee.</t>
  </si>
  <si>
    <t>Aug 2008. PA Consulting lost an unencrypted memory stick containing details of high risk, prolific and other offenders. It had its contract terminated after an enquiry.</t>
  </si>
  <si>
    <t>Oct 2017. Databases belonging to the Malaysian Medical Council, the Malaysian Medical Association and the Malaysian Dental Association were discovered online after being stolen in 2014.</t>
  </si>
  <si>
    <t>Aug 2014. After the failure of a "data sanitation" process, Mozilla’s developer community was alerted to an accidental leak of email addresses and encrypted passwords.</t>
  </si>
  <si>
    <t>Aug 2013. Confidential personal information on past and current employees of the University of Delaware was stolen when a software vulnerability was exploited.</t>
  </si>
  <si>
    <t xml:space="preserve">Aug 2011. A malware attack on a database server exposed the names and social security numbers of students and staff, past and present. </t>
  </si>
  <si>
    <t>Jun 2008. A laptop containing information on tens of thousands of past and current Stanford University employees was stolen.</t>
  </si>
  <si>
    <t xml:space="preserve">Jun 2011. Hacker group LulzSec released a stash of e-mails and passwords, 12,000 of which were confirmed to originate from Writerspace.com. </t>
  </si>
  <si>
    <t>Jun 2014. A freedom of information request resulted in the release of data on all 173 million journeys undertaken by New York taxis in one year. Unfortunately, the data was not properly anonymised.</t>
  </si>
  <si>
    <t>Sep 2008. Hard drives containing personal information of employees were stolen from a high-security facility.</t>
  </si>
  <si>
    <t>Feb 2015. The breach, which occurred in Sep 2014, revealed the names &amp; license plates of 50,000 drivers across the USA.</t>
  </si>
  <si>
    <t>tech, app</t>
  </si>
  <si>
    <t>Aug 2011. The names and Social Security numbers of 43,000 people affiliated with the university were publicly viewable on Google for 10 months.</t>
  </si>
  <si>
    <t>Jun 2018. The data was stolen via an attack on a third-party customer support firm. It was likely to have affected UK customers who bought tickets between Feb and Jun 2018.</t>
  </si>
  <si>
    <t>Dec 2015. A hacker breached the systems of a UAE bank. They demanded a ransom of $3m in bitcoin to stop tweeting data, relating mainly to corporate accounts.</t>
  </si>
  <si>
    <t>Jun 2016. Access to user data was gained via a third party. Uncertain as to what exactly had been stolen, the firm advised its users to change their passwords.</t>
  </si>
  <si>
    <t>Dec 2016. Healthcare data accessed by an unauthorised third party contained names, dates of birth and lab results.</t>
  </si>
  <si>
    <t>Jul 2011. Morgan Stanley mailed two CDRs containing sensitive data about investors to the New York State Department of Taxation and Finance. When it arrived at the relevant desk, the CDs were missing.</t>
  </si>
  <si>
    <t xml:space="preserve">Nov 2018. A 5-day data breach saw attackers steal personal information, passwords and CVV security codes. </t>
  </si>
  <si>
    <t>Mar 2015. Hackers accessed tens of thousands of British Airways frequent-flyer accounts. The airline froze the affected accounts while it resolved the issue.</t>
  </si>
  <si>
    <t>Jul 2016. Malware installed in 1025 point of sale systems was used to steal credit card data from customers. It's not known how many individuals were impacted.</t>
  </si>
  <si>
    <t>Mar 2015. An agency employee inadvertently sent the passport numbers and visa details of all world leaders attending the G20 Brisbane summit to the organisers of the Asian Cup football tournament.</t>
  </si>
  <si>
    <t>YEAR</t>
  </si>
  <si>
    <t>SECTOR</t>
  </si>
  <si>
    <t>METHOD</t>
  </si>
  <si>
    <t>DATA SENSITIVITY</t>
  </si>
  <si>
    <t>DISPLAYED RECORDS</t>
  </si>
  <si>
    <t>AIS</t>
  </si>
  <si>
    <t>Thailand's largest cell network</t>
  </si>
  <si>
    <t>May 2020. Data relating to internet use was available online. No personal information directly exposed, but habits could be deduced from IP addresses.</t>
  </si>
  <si>
    <t>https://techcrunch.com/2020/05/24/thai-billions-internet-records-leak/</t>
  </si>
  <si>
    <t>healthcare</t>
  </si>
  <si>
    <t>First American Financial Corporation</t>
  </si>
  <si>
    <t>May 2019. Anyone with a web browser could access these First American insurance documents dating back to 2003. Bank details, mortgage &amp; tax records, social security numbers, drivers license images.</t>
  </si>
  <si>
    <t>https://krebsonsecurity.com/2019/05/first-american-financial-corp-leaked-hundreds-of-millions-of-title-insurance-records/</t>
  </si>
  <si>
    <t>People Data Labs</t>
  </si>
  <si>
    <t>Nov 2019. Stashes of personal information originally compiled by a data aggregation firm were found on an insecure server. It included names, email addresses, phone numbers, LinkedIn and Facebook information.</t>
  </si>
  <si>
    <t>government, healthcare</t>
  </si>
  <si>
    <t>military, healthcare</t>
  </si>
  <si>
    <t>mystery breach'</t>
  </si>
  <si>
    <t xml:space="preserve">Microsoft's threat research team discovered 44 million users of Azure and Microsoft Services Accounts were using leaked credentials to log in. </t>
  </si>
  <si>
    <t>https://www.businessinsider.in/tech/news/passwords-of-44-million-microsoft-users-compromised/articleshow/72433154.cms</t>
  </si>
  <si>
    <t>WordPress</t>
  </si>
  <si>
    <t>Aug 2018. According to security researchers, WordPress was notified of a security vulnerability over a year ago, but did not address it. No reports have been received which suggest the exploit is being actively used in the wild.</t>
  </si>
  <si>
    <t>https://www.zdnet.com/article/wordpress-plugs-bug-that-led-to-google-indexing-some-user-passwords/</t>
  </si>
  <si>
    <t>https://www.zdnet.com/article/wordpress-vulnerability-affects-a-third-of-most-popular-websites-online/</t>
  </si>
  <si>
    <t>Nov 2018. Customer names and email addresses accidentally disclosed on its website, just two days ahead of Black Friday. No of users affected not released.</t>
  </si>
  <si>
    <t>https://amp.theguardian.com/technology/2018/nov/21/amazon-hit-with-major-data-breach-days-before-black-friday</t>
  </si>
  <si>
    <t>Oct 2018. "Sensitive" information on applicants for health insurance was hacked.</t>
  </si>
  <si>
    <t>GizModo</t>
  </si>
  <si>
    <t>https://gizmodo.com/healthcare-gov-portal-suffers-data-breach-trump-offici-1829877392?IR=T</t>
  </si>
  <si>
    <t>Kissinger Cables</t>
  </si>
  <si>
    <t>Apr 2013. More than 1.7 million US diplomatic records for the period 1973 to 1976, including intelligence reports and congressional correspondence.</t>
  </si>
  <si>
    <t>Wikileaks</t>
  </si>
  <si>
    <t>https://www.wikileaks.org/plusd/about/</t>
  </si>
  <si>
    <t>Embassy Cables</t>
  </si>
  <si>
    <t>Confidential communications between 274 embassies in countries throughout the world and the State Department in Washington DC, between 1966-2010.</t>
  </si>
  <si>
    <t>Nov 2010. "Hillary Clinton and several thousand diplomats around the world are going to have a heart attack when they wake up one morning and find an entire repository of classified foreign policy is available, in searchable format, to the public ... Everywhere there's a US post, there's a diplomatic scandal that will be revealed ... It's beautiful, and horrifying" - So wrote Bradley Manning, the 22-year-old former intelligence analyst, suspected of being behind the leak of more than 250,000 dispatches from US embassies around the world.</t>
  </si>
  <si>
    <t>Guardian, Wikileaks</t>
  </si>
  <si>
    <t>http://wikileaks.org/cablegate.html</t>
  </si>
  <si>
    <t>https://www.theguardian.com/news/blog/2010/nov/29/wikileaks-us-embassy-cables-live-updates</t>
  </si>
  <si>
    <t>Puerto Rico Department of Health</t>
  </si>
  <si>
    <t>Sep 2010. Data was stolen from an electronic device.</t>
  </si>
  <si>
    <t>Gartner</t>
  </si>
  <si>
    <t>https://blogs.gartner.com/jack-santos/2010/12/27/year-end-2010-healthcare-breach-synopsis/</t>
  </si>
  <si>
    <t>Virginia Dept. Of Health</t>
  </si>
  <si>
    <t>May 2009. An extortion demand posted on WikiLeaks sought $10 million to return over 8 million patient records and 35 million prescriptions allegedly stolen from Virginia Department of Health Professions.  All 36 servers were shut down  to protect records.</t>
  </si>
  <si>
    <t>http://voices.washingtonpost.com/securityfix/2009/05/hackers_break_into_virginia_he.html</t>
  </si>
  <si>
    <t>Mortgage financer</t>
  </si>
  <si>
    <t>Aug 2008. Rene Rebollo, a former senior financial analyst at Countrywide, stole &amp; sold customer data over a 2 year period.</t>
  </si>
  <si>
    <t>https://www.networkworld.com/article/2274502/lan-wan/security-oversight-may-have-enabled-countrywide-breach.html</t>
  </si>
  <si>
    <t>Jefferson County</t>
  </si>
  <si>
    <t>West Virginia, US</t>
  </si>
  <si>
    <t>Nov 2008. "Jefferson County Clerk Jennifer Maghan said she unveiled a new online search tool that enabled residents and business professionals to access nearly 1.6 million documents that are stored in her office via their home computers"</t>
  </si>
  <si>
    <t>NBC29</t>
  </si>
  <si>
    <t>http://www.nbc29.com/Global/story.asp?S=9313271&amp;nav=menu496_2_5</t>
  </si>
  <si>
    <t>name</t>
  </si>
  <si>
    <t>alternativename</t>
  </si>
  <si>
    <t>notes</t>
  </si>
  <si>
    <t>primaryvalue</t>
  </si>
  <si>
    <t>subcategory</t>
  </si>
  <si>
    <t>category</t>
  </si>
  <si>
    <t>type</t>
  </si>
  <si>
    <t>highlight</t>
  </si>
  <si>
    <t>metric_001</t>
  </si>
  <si>
    <t>metric_002</t>
  </si>
  <si>
    <t>metric_003</t>
  </si>
  <si>
    <t>metric_004</t>
  </si>
  <si>
    <t>exclude</t>
  </si>
  <si>
    <t>firstsource</t>
  </si>
  <si>
    <t>secondsource</t>
  </si>
  <si>
    <t>thirdsource</t>
  </si>
  <si>
    <t>ORGANISATION</t>
  </si>
  <si>
    <t>METHOD OF LEAK</t>
  </si>
  <si>
    <t>NO OF RECORDS STOLEN</t>
  </si>
  <si>
    <t>UNUSED</t>
  </si>
  <si>
    <t>Exclude</t>
  </si>
  <si>
    <t>3rd source</t>
  </si>
  <si>
    <t>Link to individual study</t>
  </si>
  <si>
    <t>Elaboration if there's an interesting story or detail behind it</t>
  </si>
  <si>
    <t>years are encoded (0=2004, 8 = 2012, 12=latest)</t>
  </si>
  <si>
    <t>context &amp; leak size</t>
  </si>
  <si>
    <t>1. Just email address/Online information 20 SSN/Personal details 300 Credit card information 4000 Email password/Health records 50000 Full bank account details</t>
  </si>
  <si>
    <t>Show this item in the viz?</t>
  </si>
  <si>
    <t>example</t>
  </si>
  <si>
    <t>German gaming website</t>
  </si>
  <si>
    <t>3000000</t>
  </si>
  <si>
    <t>The world's biggest data monitoring firm disclosed a massive breach of customers who applied for service with T-Mobile. Names, addresses, birth dates, Social Security numbers, drivers license numbers and passport numbers.</t>
  </si>
  <si>
    <t>15000000</t>
  </si>
  <si>
    <t>2700000</t>
  </si>
  <si>
    <t>20th July 2015: DEVELOPING: Online hookup site for extra-marital affairs has been severely breached and the personal details of 37m users, as well as company financial records, threatened with release. Notorious hacking outfit The Impact Team has claimed responsibility. The hackers are demanding the shutdown of AM.com and other associated sites.</t>
  </si>
  <si>
    <t>37000000</t>
  </si>
  <si>
    <t>attackers have targeted the forms submitted by intelligence and military personnel for security clearances. The document includes personal information - everything from eye colour, to financial history, to past substance abuse, as well as contact details for the individual's friends and relatives</t>
  </si>
  <si>
    <t>14000000</t>
  </si>
  <si>
    <t>"An unnamed cybermafia used an IRS app to download forms full of personal information. They posed as legitimate taxpayers, and tried to download forms on 200,000 people between February and May. They got away with half of them, the IRS said. The crooks used about 15,000 of them to claim tax refunds in other people's names."</t>
  </si>
  <si>
    <t>100000</t>
  </si>
  <si>
    <t>Sexual preferences, names, email addresses, usernames, dates of birth, postal codes</t>
  </si>
  <si>
    <t>3900000</t>
  </si>
  <si>
    <t>Data dump to the dark web "includes Apple IDs and passwords, tracking data, and payment details on some 145,000 successful transactions", photos and very private conversations.</t>
  </si>
  <si>
    <t>400000</t>
  </si>
  <si>
    <t>An employee of the agency inadvertently sent the passport numbers, visa details and other personal identifiers of all world leaders attending the G20 Brisbane summit to the organisers of the Asian Cup football tournament. Barack Obama, Vladimir Putin, Angela Merkel, Xi Jinping, Narendra Modi, David Cameron and many others.</t>
  </si>
  <si>
    <t>"unknown"</t>
  </si>
  <si>
    <t>accidentally published</t>
  </si>
  <si>
    <t>500000</t>
  </si>
  <si>
    <t>"tens of thousands"</t>
  </si>
  <si>
    <t>8600000</t>
  </si>
  <si>
    <t>Wide-ranging hack of potentially every piece of data held by the company, including: unreleased films &amp; scripts, employee social security numbers, salaries and health check results, as well as sensitive internal business documents relating to lay-offs, restructures and executive salaries. Lead suspects are "North Korean hackers" perhaps related to the Seth Rogen film, "The Interview" which mocks the North Korean dictator, Kim Jong Un.</t>
  </si>
  <si>
    <t>100 terrabytes</t>
  </si>
  <si>
    <t>10000000</t>
  </si>
  <si>
    <t>Suspected 200 million personal records of Americans including social security no's, credit card and bank account info.</t>
  </si>
  <si>
    <t>PF Changs</t>
  </si>
  <si>
    <t>https://krebsonsecurity.com/2014/06/banks-credit-card-breach-at-p-f-changs/</t>
  </si>
  <si>
    <t>420,000 websites</t>
  </si>
  <si>
    <t xml:space="preserve">Well, this breaks our scaling algorithm. A crime ring of fewer than a dozen men from South-Central Russia responsible for breach of 420,000 websites. 4.5 billion records total, including 1.2 billion user names &amp; passwords &amp; 542 million email addresses. </t>
  </si>
  <si>
    <t>1.2 billion</t>
  </si>
  <si>
    <t>160000000</t>
  </si>
  <si>
    <t xml:space="preserve">http://www.nytimes.com/2014/08/06/technology/russian-gang-said-to-amass-more-than-a-billion-stolen-internet-credentials.html?_r=0 </t>
  </si>
  <si>
    <t>Password manager</t>
  </si>
  <si>
    <t>Email addresses and password compromised.</t>
  </si>
  <si>
    <t>7 million</t>
  </si>
  <si>
    <t>7000000</t>
  </si>
  <si>
    <t>http://www.forbes.com/sites/katevinton/2015/06/15/password-manager-lastpass-hacked-exposing-encrypted-master-passwords/#71522f3f5a66</t>
  </si>
  <si>
    <t>Italian cybersecurity firm sells digital surveillance software to law enforcement and national security organisations. 400 GB of documents - including software source code, private messages &amp; client databases - has been stolen and put online  via BitTorrent. The documents show the company has sold products to repressive regimes.</t>
  </si>
  <si>
    <t xml:space="preserve">157k customers had personal details stolen, including 15,600 account numbers. </t>
  </si>
  <si>
    <t>157000</t>
  </si>
  <si>
    <t>http://www.bbc.co.uk/news/uk-34784980</t>
  </si>
  <si>
    <t>http://www.theguardian.com/business/2015/oct/22/talktalk-customer-data-hackers-website-credit-card-details-attack</t>
  </si>
  <si>
    <t>Anonymous hacker leaked records of over 70m phone calls, plus links to recordings. Recording/storing attorney-client calls potentially violates constitutional protections.</t>
  </si>
  <si>
    <t>70 million</t>
  </si>
  <si>
    <t>70000000</t>
  </si>
  <si>
    <t xml:space="preserve">Hacker breached a United Arab Emirates bank, demanding a ransom of $3m in bitcoin to stop tweeting data, mostly about corporate accounts. The hacker dumped files on the website of a basketball team, which he hacked for storage. The bank, Invest Bank, won't pay the ransom.  </t>
  </si>
  <si>
    <t>banking</t>
  </si>
  <si>
    <t>40000</t>
  </si>
  <si>
    <t>http://www.dailydot.com/politics/invest-bank-hacker-buba/</t>
  </si>
  <si>
    <t xml:space="preserve">A security researcher stumbled on a leak, which exposed usernames, email addresses and passwords of users. He notified Kromtech, who patched it quickly. </t>
  </si>
  <si>
    <t>13 million</t>
  </si>
  <si>
    <t>leak</t>
  </si>
  <si>
    <t>13000000</t>
  </si>
  <si>
    <t>https://thestack.com/security/2015/12/15/mackeeper-discloses-13-million-mac-users-details-with-poor-hash-protection/</t>
  </si>
  <si>
    <t>Software used to download games to children's computer tablets was hacked, with personal info and photos stolen. Of the 11.6m stolen records, 6.4m were those of children.</t>
  </si>
  <si>
    <t>11.6 million</t>
  </si>
  <si>
    <t>6400000</t>
  </si>
  <si>
    <t>Security researcher was able to access a database of 3.3m of Sanrio's Sanriotown.com accounts, with links to other Sanrio Hello Kitty portals.</t>
  </si>
  <si>
    <t>3.3 million</t>
  </si>
  <si>
    <t>configuration error</t>
  </si>
  <si>
    <t>3300000</t>
  </si>
  <si>
    <t>http://www.csoonline.com/article/3017171/security/database-leak-exposes-3-3-million-hello-kitty-fans.html</t>
  </si>
  <si>
    <t>US Voter Database</t>
  </si>
  <si>
    <t xml:space="preserve">A database of 191 million US voters has been exposed as a result of incorrect configuration. The owner of the database is yet to be identified. The feds are on it. </t>
  </si>
  <si>
    <t>191 million</t>
  </si>
  <si>
    <t>191000000</t>
  </si>
  <si>
    <t>Time Warner Cable</t>
  </si>
  <si>
    <t xml:space="preserve">The FBI notfied Time Warner Cable about the breach. As yet they don't know how it happened, but suspect malware or third party breaches. </t>
  </si>
  <si>
    <t>320000</t>
  </si>
  <si>
    <t>http://www.csoonline.com/article/3020112/security/time-warner-cable-to-contact-320-000-to-warn-of-possible-compromise.html</t>
  </si>
  <si>
    <t>Anthem</t>
  </si>
  <si>
    <t>Health insurance</t>
  </si>
  <si>
    <t xml:space="preserve">Anthem failed to encrypt the stock of personal info it held. It took them 6 weeks to realise they'd been hacked. </t>
  </si>
  <si>
    <t>80000000</t>
  </si>
  <si>
    <t>http://www.latimes.com/business/hiltzik/la-fi-mh-anthem-is-warning-consumers-20150306-column.html</t>
  </si>
  <si>
    <t>Premera Blue Cross</t>
  </si>
  <si>
    <t xml:space="preserve">Medical and financial data exposed. </t>
  </si>
  <si>
    <t>11000000</t>
  </si>
  <si>
    <t>http://www.forbes.com/sites/katevinton/2015/03/17/11-million-customers-medical-and-financial-data-may-have-been-exposed-in-premera-blue-cross-breach/#417df31e2143</t>
  </si>
  <si>
    <t>Current and former employees had their identities compromised by a cyber attack.</t>
  </si>
  <si>
    <t>unannounced</t>
  </si>
  <si>
    <t>http://techcrunch.com/2016/02/29/snapchat-employee-data-leaks-out-following-phishing-attack/</t>
  </si>
  <si>
    <t>Code.org</t>
  </si>
  <si>
    <t>Non-profit organisation</t>
  </si>
  <si>
    <t xml:space="preserve">Volunteer email addresses were left accessible via web browser. </t>
  </si>
  <si>
    <t>10 (not million, just 10)</t>
  </si>
  <si>
    <t>10</t>
  </si>
  <si>
    <t>http://blog.code.org/post/140938173013/some-volunteer-email-addresses-compromised</t>
  </si>
  <si>
    <t>Verizon</t>
  </si>
  <si>
    <t>Security services</t>
  </si>
  <si>
    <t xml:space="preserve">Customer database and information about company's security flaws stolen and put up for sale. </t>
  </si>
  <si>
    <t>10000</t>
  </si>
  <si>
    <t>http://arstechnica.com/security/2016/03/after-verizon-breach-1-5-million-customer-records-put-up-for-sale/</t>
  </si>
  <si>
    <t>2.6TB of data on politicians, criminals, professional athletes etc leaked from law firm Mossack Fonseca, including emails, contracts, scanned documents, transcripts...</t>
  </si>
  <si>
    <t>law firm</t>
  </si>
  <si>
    <t>11500000</t>
  </si>
  <si>
    <t>Turkish citizenship database has allegedly been hacked and leaked online.</t>
  </si>
  <si>
    <t>49611709</t>
  </si>
  <si>
    <t>National Childbirth Trust</t>
  </si>
  <si>
    <t>Charity</t>
  </si>
  <si>
    <t xml:space="preserve">London-based charity hacked for user information. </t>
  </si>
  <si>
    <t>15000</t>
  </si>
  <si>
    <t>https://thestack.com/security/2016/04/08/childbirth-charity-hack-leaks-15000-expectant-parents-data/</t>
  </si>
  <si>
    <t>Hacking outfit calling itself 'Cyber Justice Team' leaked 10GB of data from the government and private websites. Seems to be just data from old leaks, though.</t>
  </si>
  <si>
    <t>274477</t>
  </si>
  <si>
    <t xml:space="preserve">After a message was posted on the COMELEC website by hackers from Anonymous, warning the government not to mess with the elections, the entire database was stolen and posted online. </t>
  </si>
  <si>
    <t>55000000</t>
  </si>
  <si>
    <t xml:space="preserve">A text file with personal data and financial documents were made publically available on their website. </t>
  </si>
  <si>
    <t>private firm</t>
  </si>
  <si>
    <t>519396</t>
  </si>
  <si>
    <t>http://www.shareconference.net/en/defense/personal-data-more-5-million-citizens-serbia-unlawfully-published</t>
  </si>
  <si>
    <t xml:space="preserve">Tumblr apparently only just found out about a 2013 data breach, affecting 65m users. </t>
  </si>
  <si>
    <t>65000000</t>
  </si>
  <si>
    <t>https://motherboard.vice.com/read/hackers-stole-68-million-passwords-from-tumblr-new-analysis-reveals</t>
  </si>
  <si>
    <t xml:space="preserve">The same hacker who was selling LinkedIn user data now claims to have MySpace user data too, and lots of it. </t>
  </si>
  <si>
    <t>164000000</t>
  </si>
  <si>
    <t>http://motherboard.vice.com/read/427-million-myspace-passwords-emails-data-breach</t>
  </si>
  <si>
    <t xml:space="preserve">Information about a 2012 data breach has just come to light. </t>
  </si>
  <si>
    <t>117000000</t>
  </si>
  <si>
    <t>A server was breached by an international hacker.</t>
  </si>
  <si>
    <t>3600000</t>
  </si>
  <si>
    <t>Over 100m user accounts were hacked and the data put up for sale online. A VK spokesperson has denied that the site was breached, claiming the data for sale is old details no longer in use.</t>
  </si>
  <si>
    <t>100544934</t>
  </si>
  <si>
    <t>LeakedSource says it received Twitter login credentials, but Twitter has confirmed it hasn't been breached. It seems that the credentials might have been collected from Malware infecting browsers rather than stolen directly from Twitter.</t>
  </si>
  <si>
    <t>3288300</t>
  </si>
  <si>
    <t>http://techcrunch.com/2016/06/08/twitter-hack/</t>
  </si>
  <si>
    <t xml:space="preserve">It's unclear what data has been breached, exactly, but uTorrent has advised passwords are probably compromised. </t>
  </si>
  <si>
    <t>35000</t>
  </si>
  <si>
    <t>Files uploaded to Google Drive by a 'malicious' employee. Data included home addresses. The leak came two weeks after a French police officer was murdered by ISIS-inspired attack.</t>
  </si>
  <si>
    <t>112000</t>
  </si>
  <si>
    <t xml:space="preserve">2014 version of World-Check, a database of suspected terrorists and criminals, leaked online. </t>
  </si>
  <si>
    <t>2200000</t>
  </si>
  <si>
    <t>Malware has been used in 1025 of Wendy's restaurants to steal credit card data from customers. It's currently unknown how many individuals have been impacted.</t>
  </si>
  <si>
    <t>restaurant</t>
  </si>
  <si>
    <t>http://abcnews.go.com/Technology/wireStory/wendys-1000-restaurants-affected-hack-40407208</t>
  </si>
  <si>
    <t>years are encoded (0=2004, 8 = 2012)</t>
  </si>
  <si>
    <t>1. Just email address/Online information 2. SSN/Personal details 3. Credit card information 4.Email password/Health records 5. Full bank account details</t>
  </si>
  <si>
    <t>EXAMPLE ROW</t>
  </si>
  <si>
    <t xml:space="preserve">Websites stolen from other websites used to sign into a small number of Dropbox accounts. The hack was mainly used to send spam to users. </t>
  </si>
  <si>
    <t>"small number"</t>
  </si>
  <si>
    <t>http://www.informationweek.co.uk/security/client/dropbox-admits-hack-adds-more-security-f/240004697</t>
  </si>
  <si>
    <t>The office of Texas Attorney General Greg Abbott mistakenly gave attorneys access to millions of Social Security numbers in a case against the state’s voter ID law</t>
  </si>
  <si>
    <t>Attackers used login details from a Steam forum hack to access a database that held ID and credit card data.</t>
  </si>
  <si>
    <t>The Valve Corporation</t>
  </si>
  <si>
    <t>http://latimesblogs.latimes.com/money_co/2011/09/man-convicted-in-huge-countrywide-data-theft-gets-8-months-in-prison.html</t>
  </si>
  <si>
    <t>Employee sold customer information to a data broker, including names, addresses, birth dates, bank account and credit card information.</t>
  </si>
  <si>
    <t>More than 1.7 million US diplomatic records for the period 1973 to 1976, including intelligence reports and congressional correspondence.</t>
  </si>
  <si>
    <t>UK Parliamentary Expenses</t>
  </si>
  <si>
    <t xml:space="preserve">1.5 million receipts (from 1500 individual MPs) leaked by workers processing MP's expenses claims. </t>
  </si>
  <si>
    <t>via The Daily Telegraph</t>
  </si>
  <si>
    <t>http://www.telegraph.co.uk/news/newstopics/mps-expenses/6229051/MPs-expenses-leaked-over-failure-to-equip-troops-on-front-line-in-Afghanistan-and-Iraq.html</t>
  </si>
  <si>
    <t>Driving Standards Agency,</t>
  </si>
  <si>
    <t xml:space="preserve">Details of candidates for the driving theory test were on a hard drive that went missing in the US. </t>
  </si>
  <si>
    <t>lot / stolen media</t>
  </si>
  <si>
    <t>178.com</t>
  </si>
  <si>
    <t>gaming website</t>
  </si>
  <si>
    <t>blogging site</t>
  </si>
  <si>
    <t>Personal data of subscribers to online game Maple Story was leaked.</t>
  </si>
  <si>
    <t>http://www.reuters.com/article/2011/11/26/us-korea-hacking-nexon-idUSTRE7AP09H20111126</t>
  </si>
  <si>
    <t xml:space="preserve">Starbucks lost track of four laptop computers which held employee names, addresses, and Social Security numbers. </t>
  </si>
  <si>
    <t>lost / stolen media</t>
  </si>
  <si>
    <t>http://www.privacyrights.org/data-breach%20%20/tools/www.youtube.com?page=0%2C0%2C0%2C0%2C0%2C0%2C0%2C0%2C0%2C0%2C5&amp;order=field_breach_total_value&amp;sort=desc&amp;title=</t>
  </si>
  <si>
    <t xml:space="preserve">Computer backup tape containing personal information was lost. </t>
  </si>
  <si>
    <t>Orthopedics &amp; Adult Reconstructive Surgery, Texas</t>
  </si>
  <si>
    <t>x</t>
  </si>
  <si>
    <t>lost</t>
  </si>
  <si>
    <t>The company's business associate AssuranceMD reportedly lost a mobile device that contained 22,000 patients’ information.</t>
  </si>
  <si>
    <t>http://www.hhs.gov/ocr/privacy/hipaa/administrative/breachnotificationrule/breachtool.html</t>
  </si>
  <si>
    <t>http://healthitsecurity.com/2013/05/20/tucson-patients-data-exposed-hhs-breach-tool-updated/</t>
  </si>
  <si>
    <t>US Dept. of Health &amp; Human Services; Health IT Security</t>
  </si>
  <si>
    <t>Raleigh Orthopaedic Clinic</t>
  </si>
  <si>
    <t xml:space="preserve">More than 17,000 patients at the Raleigh Orthopaedic Clinic are potential victims of a health data breach as a result of a third-party vendor, whose job it was to transfer X-ray media from film into electronic format. </t>
  </si>
  <si>
    <t>http://healthitsecurity.com/2013/05/07/x-ray-film-scam-exposes-17k-patients-to-possible-data-breach/</t>
  </si>
  <si>
    <t>United HomeCare Services, Inc.</t>
  </si>
  <si>
    <t>stolen computer</t>
  </si>
  <si>
    <t xml:space="preserve">A laptop containing protected health information was stolen from an employee's car on Jan. 9. While the laptop was password protected, it had not been encrypted at the time it was stolen. </t>
  </si>
  <si>
    <t>http://www.beckershospitalreview.com/healthcare-information-technology/united-homecare-services-data-breach-could-affect-more-than-13000-patients.html</t>
  </si>
  <si>
    <t>US Dept. of Health &amp; Human Services; Beckers Hospital Review</t>
  </si>
  <si>
    <t>Indiana University Health Arnett</t>
  </si>
  <si>
    <t>After an internal investigation, IU Health Arnett said it determined that emails stored on the laptop hard drive may have contained patient names, dates of birth, physician names, medical record numbers, diagnoses and dates of service. The computer did not contain Social Security numbers, financial information or patient medical records, according to the statement.</t>
  </si>
  <si>
    <t>http://seclists.org/dataloss/2013/q2/94</t>
  </si>
  <si>
    <t>US Dept. of Health &amp; Human Services; Seclists</t>
  </si>
  <si>
    <t>Privacy Rights</t>
  </si>
  <si>
    <t>Froedtert Health</t>
  </si>
  <si>
    <t>A computer virus was discovered on an employee's work computer account on December 14, 2012.  One of the files on the employee's computer contained patient names, addresses, telephone numbers, dates of birth, medical record numbers, names of health insurers, diagnoses, and other clinical information.  A limited number of Social Security numbers were also exposed.</t>
  </si>
  <si>
    <t>Hack resulted in a few hundred thousand stolen passwords.</t>
  </si>
  <si>
    <t>Naked Security; NBC News</t>
  </si>
  <si>
    <t>Online criminals gained access to user names, e-mail addresses and dates of birth for some users and encrypted passwords for 50 million people. The company’s databases that store user and merchant credit card and banking information were not compromised in the attack, it said.</t>
  </si>
  <si>
    <t>Naked Security; New York Times</t>
  </si>
  <si>
    <t xml:space="preserve">Yahoo </t>
  </si>
  <si>
    <t>22 million Yahoo user IDs may have been leaked after Yahoo detected an unauthorized attempt to access the administrative system of its web portal Yahoo Japan. The leaked information did not include passwords and data necessary for identity verification to reset passwords.</t>
  </si>
  <si>
    <t>http://www.reuters.com/article/2013/05/17/us-yahoojapan-idUSBRE94G0P620130517</t>
  </si>
  <si>
    <t>Up to 160,000 Social Security numbers and a million driver's license numbers may have been accessed. 94 Social Security numbers were definitely obtained by the person or group that committed the security breach.</t>
  </si>
  <si>
    <t>http://www.reuters.com/article/2013/05/09/us-usa-hack-washingtonstate-idUSBRE9480YY20130509</t>
  </si>
  <si>
    <t>Reuters; Privacy Rights</t>
  </si>
  <si>
    <t>published on web</t>
  </si>
  <si>
    <t>The telecom firms TerraCom and YourTel have branded reporters for Scripps News as "hackers" after journalists discovered that the personal data of over 170,000 customers - including social security numbers and other identifying data that could be used for identity theft - were sitting on a publicly accessible server.</t>
  </si>
  <si>
    <t>Boing Boing; Wired</t>
  </si>
  <si>
    <t xml:space="preserve">online note-taking </t>
  </si>
  <si>
    <t>Evernote asked its 50 million users to reset their passwords following an attempt to hack the note-taking network. The company said it’d found no evidence that any payment information for Evernote Premium or Evernote Business customers had been accessed, nor was their any indication that content stored by users had been accessed, changed or lost.</t>
  </si>
  <si>
    <t>Wired; Digital Trends</t>
  </si>
  <si>
    <t>South Africa Police Service's anonymous whistleblowing website</t>
  </si>
  <si>
    <t>Anonymous has hacked into an anonymous whistleblowing website run by the South Africa Police Service (SAPS), revealing the identities of thousands of its users and possibly jeopardising their safety. According to a tweet from @DomainerAnon, the hack was in response to the massacre of 34 protesting miners at Marikana in August 2012, the most deadly use of violence by the state on its own people since the Sharpevill Massacre. Nearly 16,000 records, detailing submissions to the site since 2005, have been reposted on one of the text-hosting sites that Anonymous members often use to repost seized info.</t>
  </si>
  <si>
    <t>http://www.wired.co.uk/news/archive/2013-05/22/south-africa-whistleblower-leak</t>
  </si>
  <si>
    <t>"We discovered one live attack and were able to shut it down in process moments later," wrote Bob Lord, Twitter's director of information security. "However, our investigation has thus far indicated that the attackers may have had access to limited user information -- usernames, email addresses, session tokens and encrypted/salted versions of passwords -- for approximately 250,000 users."</t>
  </si>
  <si>
    <t>http://www.wired.co.uk/news/archive/2013-02/02/twitter-hacked</t>
  </si>
  <si>
    <t>Names, Social Security numbers, health insurance identification numbers, health insurance information, dates of birth, diagnoses, other medical information, disability codes, addresses, and phone numbers may have been exposed.</t>
  </si>
  <si>
    <t>utilities</t>
  </si>
  <si>
    <t>Customer banking information and other personal information may have been accessed during the attack.</t>
  </si>
  <si>
    <t>Three computers were stolen that contained both youth and employee records was reported stolen on January 2, 2013.  Over 100,000 records were on the device and may have been exposed.</t>
  </si>
  <si>
    <t>Hack discovered after Drupal found malicious files placed on association.drupal.org servers via a third-party application. The hack exposed usernames, e-mail addresses, country information, and cryptographically hashed passwords, although investigators may discover additional types of information were compromised.</t>
  </si>
  <si>
    <t>"An employee from a software consulting firm contracted by New York State
 Electric &amp; Gas and Rochester Gas and Electric (RG&amp;E) was allowed unauthorized access to the company’s databases"</t>
  </si>
  <si>
    <t>www.idtheftcenter.org/</t>
  </si>
  <si>
    <t>ITRC</t>
  </si>
  <si>
    <t xml:space="preserve">1.5 million credit card numbers from its systems may have been exposed after detecting “unauthorized access” into its processing system. </t>
  </si>
  <si>
    <t>http://money.cnn.com/2012/03/30/technology/credit-card-data-breach/index.htm</t>
  </si>
  <si>
    <t>"After finding a security vulnerability in Iran's banking system, Khosrow Zarefarid
 wrote a formal report and sent it to the CEOs of all the affected banks
 across the country. When the banks ignored his findings, he hacked 3 
million bank accounts, belonging to at least 22 different banks, to 
prove his point."</t>
  </si>
  <si>
    <t>14,000,000</t>
  </si>
  <si>
    <t>Scrambled passwords, e-mail addresses, and personal security answers were knowingly stolen from Blizzard's internal network. While Blizzard would not elaborate on the size of the hack, mentioning millions hacked, it is estimated the breach accessed more than 14 million accounts. While Blizzard states there is no evidence financial information was accessed, at the time of the attack one of our iib researchers found fraudulent Blizzard charges on their account.</t>
  </si>
  <si>
    <t>http://www.forbes.com/sites/erikkain/2012/08/09/its-official-blizzard-hacked-account-information-stolen/</t>
  </si>
  <si>
    <t>https://us.battle.net/support/en/article/important-security-update-faq#5</t>
  </si>
  <si>
    <t>http://thehightechsociety.com/blizzard-battle-net-hack/</t>
  </si>
  <si>
    <t xml:space="preserve">lost media </t>
  </si>
  <si>
    <t>California child support records were lost in transit during a disaster preparedness exercise.</t>
  </si>
  <si>
    <t>http://articles.businessinsider.com/2012-04-03/news/31279254_1_major-data-breach-identity-theft-office-of-privacy-protection</t>
  </si>
  <si>
    <t>The Utah Department of Technology Services had recently moved the claims records to a new server, and hackers believed to be operating out of Eastern Europe were able to circumvent the server’s multi-layered security system containing Social Security numbers for the Medicaid claims.</t>
  </si>
  <si>
    <t>http://www.sltrib.com/sltrib/news/53868568-78/health-information-medicaid-security.html.csp</t>
  </si>
  <si>
    <t>A man was charged with five counts of violating medical confidentiality laws and one count of disclosure of confidential information after he gained access to personal information for more than 228,000 Medicaid beneficiaries.</t>
  </si>
  <si>
    <t>http://www.thestate.com/2012/04/20/2241321/personal-information-of-more-than.html#.UFpUVqRYtmg</t>
  </si>
  <si>
    <t>Breached info was from backup disks .</t>
  </si>
  <si>
    <t xml:space="preserve">12,367,232 </t>
  </si>
  <si>
    <t>Hacking group AntiSec, associated with Anonymous, stated they hacked an FBI laptop in March of 2012 accessing a file of more than 12 million Apple Unique Device Identifiers (UDIDs). Subsequently, it was found out that BlueToad, an app develepor was the source of the breach. The list contained personal information such as full names, phone numbers, and street addresses. AntiSec published a million of these UDIDs online.</t>
  </si>
  <si>
    <t>Yahoo Voices service was hacked, exposing more than 450,000 usernames and passwords.</t>
  </si>
  <si>
    <t>http://it.slashdot.org/story/12/07/12/1243217/nearly-half-a-million-yahoo-passwords-leaked-updated?utm_source=feedburnerGoogle+Reader&amp;utm_medium=feed&amp;utm_campaign=Feed%3A+Slashdot%2Fslashdot+%28Slashdot%29&amp;utm_content=Google+Reader</t>
  </si>
  <si>
    <t>http://www.pbs.org/newshour/rundown/2012/07/check-whether-your-yahoo-password-was-hacked.html</t>
  </si>
  <si>
    <t>Two suspects reportedly took in around $877,000 by selling the contact information and plan details of 8.7 million KT subscribers, almost half of the carrier's total customers.</t>
  </si>
  <si>
    <t xml:space="preserve">Formspring was tipped off to breach by someone who spotted about 420,000 hashed passwords posted to a security forum. At which point they disabled and required their users to create new passwords. </t>
  </si>
  <si>
    <t>Hacker 'dwdm' uploaded a file containing 6.5 million passwords on a Russian hacker forum. Soon after another 1.5 million passwords were discovered. The passwords published were obscured with a technique called "hashing."</t>
  </si>
  <si>
    <t>http://arstechnica.com/security/2012/06/8-million-leaked-passwords-connected-to-linkedin/</t>
  </si>
  <si>
    <t>Collective group LulzSec released a database of 163,792 names, usernames, e-mail addresses, IP addresses, and passwords has been dumped on the Internet.</t>
  </si>
  <si>
    <t>hack</t>
  </si>
  <si>
    <t>A computer programmer was arrested in Greece for allegedly stealing the identity information of what could amount to 83% of the country's population. The 35-year-old was found in possession of 9 million data files containing identification card data, addresses, tax ID numbers and licence plate numbers, which he was also suspected of trying to sell.</t>
  </si>
  <si>
    <t>A computer security breach at the University of Wisconsin-Milwaukee may have exposed the names and Social Security numbers of about 75,000 people associated with the school.</t>
  </si>
  <si>
    <t xml:space="preserve">Less than 1% of Citbank card holders' names, account numbers, and contact information such as e-mail addresses were stolen. Card security codes were not stolen. </t>
  </si>
  <si>
    <t>lost media</t>
  </si>
  <si>
    <t>Morgan Stanley mailed a CD containing sensitive data about investors in tax-exempt funds and bonds to the New York State Department of Taxation and Finance. The package arrived at the building but when it got to the relevant desk the data CD was missing.</t>
  </si>
  <si>
    <t>Hacking collective Lulzsec steal account information of 200,000 users from video game maker Bethesda.</t>
  </si>
  <si>
    <t>http://www.pcworld.com/article/231215/lulzsec_a_short_history_of_hacking.html</t>
  </si>
  <si>
    <t xml:space="preserve">Information taken includes names, birth dates, e-mail addresses and passwords from Sega Pass, a system for users interested in newsletters and for registering certain products. Upon learning of the breach, Sega reset all the passwords on their system, which were not stored in plain text. In a bizarre twist, hacker collective LulzSec, responsible for the Sony breach; tweeted Sega to aid them, "@Sega - contact us. We want to help you destroy the hackers that attacked you. We love the Dreamcast, these people are going down." We love the Dreamcast too. </t>
  </si>
  <si>
    <t xml:space="preserve"> http://www.zdnet.com/blog/gamification/sega-1-3-million-customer-records-hacked-lulzsec-promises-retribution/481</t>
  </si>
  <si>
    <t>The Sony Online Entertainment network, used for PC games, was hacked by LulzSec in addition to the 77 million Sony Playstation Network breach, compromising an additional 25 million accounts. Sony stated that outside of the USA more than 23,000 lost their financial data.</t>
  </si>
  <si>
    <t>http://www.computerworld.com/s/article/9216343/Sony_cuts_off_Sony_Online_Entertainment_service_after_hack</t>
  </si>
  <si>
    <t>Rounding off a thoroughly unhappy year for Sony, their third breach saw the loss of 76,000,000 Sony PSN and Qriocity user accounts to hacking collective Lulzsec.</t>
  </si>
  <si>
    <t>http://mashable.com/2011/05/31/sony-playstation-services-return/</t>
  </si>
  <si>
    <t>An unsecured server that was storing customer data also had some viruses on it. It's unclear how the server got infected with the viruses, "it looked like someone had found an open port on the server and dumped a bunch of viruses on it."</t>
  </si>
  <si>
    <t xml:space="preserve">Sheriff's detectives arrested Tim Nuss  for accessing an old Oregon Department of Motor Vehicles database. The DMV database was once sold to marketing companies, but the department stopped selling the information in the late 1990s. The sold data include the names, addresses, birth dates, gender and ages of people who registered with the DMV, but no financial information.  </t>
  </si>
  <si>
    <t>The 3.5 million breached records include people's names, mailing addresses, social security numbers, and in some cases also dates of birth and driver's license numbers.</t>
  </si>
  <si>
    <t>http://www.informationweek.com/security/attacks/texas-data-breach-exposed-35-million-rec/229401489?queryText=Texas%20data%20leak</t>
  </si>
  <si>
    <t>"AntiSec" hackers published 2,719 social security numbers, 8,214 passwords, 15,798 birth dates, 48,182 street addresses, 1,531,628 email addresses, 106,691 phone numbers, 57 bank account numbers, 53 driver's license numbers, and eight credit card numbers of more than 70 US different U.S. law enforcement agencies.</t>
  </si>
  <si>
    <t>virus</t>
  </si>
  <si>
    <t>"The Department of Unemployment Assistance (DUA) and the Department of Career Services (DCS) were both infected with the W32.QAKBOT virus, a malicious program which “downloads additional files, steals information, and opens a back door on the compromised computer”.  All said and done, over 1,500 computers from these networks (and another, smaller network) were infected with the virus."</t>
  </si>
  <si>
    <t>Electronic files containing names and social security numbers of approximately 300,000 individuals who have applied for California workers’ compensation benefits had been exposed to unauthorized access.</t>
  </si>
  <si>
    <t>1,900,000</t>
  </si>
  <si>
    <t>2, 3</t>
  </si>
  <si>
    <t>Health Net's vendor responsible for managing IT infrastructure, stated that it could not locate several server drives. After a forensics analysis, Health Net determined that personal information of some former and current members, employees and health care providers is on the drives. That information may include names, addresses, health information, Social Security numbers and/or financial information.</t>
  </si>
  <si>
    <t>A health care organization that runs children’s hospitals reported the loss of 1.05 million records when data backup tapes were lost.</t>
  </si>
  <si>
    <t>http://zerosecurity.org/technews/past-three-years-over-21m-medical-record-breaches/</t>
  </si>
  <si>
    <t>http://www.techweekeurope.co.uk/news/nhs-researchers-lose-laptop-with-8m-patients-records-31810</t>
  </si>
  <si>
    <t>Tech Week</t>
  </si>
  <si>
    <t xml:space="preserve">Rx America, Accendo Insurance Co. </t>
  </si>
  <si>
    <t>Accendo</t>
  </si>
  <si>
    <t>Mismailed letters allowing some lines of text containing medication name, date of birth, and member ID to be visible through the envelope window. The mailings were addressed correctly and, to the knowledge of the company, were received by the intended recipients.</t>
  </si>
  <si>
    <t>The records of more than 514,000 patients were on the computer, which listed patients names, ages, dates of birth, medical record numbers and the last four digits of their social security numbers.</t>
  </si>
  <si>
    <t>The stolen computer contained a password-protected file with Social Security numbers as well as names, addresses, dates of birth and medical billing codes.</t>
  </si>
  <si>
    <t>http://www.spartanburgregional.com/Pages/PatientNotice.aspx</t>
  </si>
  <si>
    <t>A password protected, unencrypted company computer was stolen, the compromised database contained names, addresses, dates of birth, phone numbers, email addresses, medical record numbers and the name of each patient's health insurance plan. No medical records were stored on the computer.</t>
  </si>
  <si>
    <t>http://www.simplysecurity.com/2011/11/30/sutter-health-sued-for-1-billion-following-data-breach/</t>
  </si>
  <si>
    <t>stolen media</t>
  </si>
  <si>
    <t>An employee of an affiliated physician’s office may have improperly accessed patient information through a web portal used by physicians who provide care and treatment at MHS. Specifically, patients’ names, dates of birth, and Social Security numbers.</t>
  </si>
  <si>
    <t>http://www.mhs.net/pdf/release071112.pdf</t>
  </si>
  <si>
    <t>Unknown hackers broke into The Washington Post's Jobs website stealing about 1.27 million user IDs and email addresses.</t>
  </si>
  <si>
    <t>Shadowy global intelligence company</t>
  </si>
  <si>
    <t>3, 4</t>
  </si>
  <si>
    <t xml:space="preserve">Anonymous defaced the Web site of Stratfor and posted a file online that they claimed was the organization’s confidential client list, along with credit card details, passwords and home addresses for those clients. They released 47,680 unique e-mail addresses and 50,277 unique credit card numbers — of which 9,651 were not yet expired. Of the 44,188 encrypted passwords half were easily crackable. </t>
  </si>
  <si>
    <t>http://bits.blogs.nytimes.com/2011/12/27/questions-about-motives-behind-stratfor-hack/</t>
  </si>
  <si>
    <t>US Army</t>
  </si>
  <si>
    <t xml:space="preserve">The information for some 4.6 million active and retired military personnel, as well as their families, was on back up-tapes from an electronic health care record used to capture and preserve patient data from 1992 through September 7 2011. </t>
  </si>
  <si>
    <t>Credit or debit card information was obtained by thieves from the credit card processing system used in one or more Jetro/Restaurant Depot stores.</t>
  </si>
  <si>
    <t>LulzSec hacking collective stated all of the information it took was unencrypted, “Sony stored over 1,000,000 passwords of its customers in plaintext." More than 1 million user accounts were compromised. An additional 75,000 music codes and 3.5 million coupons were also uncovered.</t>
  </si>
  <si>
    <t xml:space="preserve">Hacker group LulzSec released the e-mails and passwords, 12,000 of which were confirmed to originate from Writerspace.com. </t>
  </si>
  <si>
    <t xml:space="preserve">Up to 760,000 students, professors and others that their names and Social Security numbers might have made it to cyberspace in one of the largest and most costly breaches to hit a college campus. Cyber-forensics showed the hackers likely tried to gain access to the OSU servers in order to perform larger attacks on other websites. </t>
  </si>
  <si>
    <t>"Yale University notified about 43,000 faculty, staff, students and alumni that their names and Social Security numbers were publicly available via Google search for about 10 months."</t>
  </si>
  <si>
    <t>" A Malaysian man has been charged with hacking into major U.S. corporations, including the U.S. Federal Reserve Bank of Cleveland and FedComp, a company that processes financial transactions for credit unions. U.S. Secret Service investigators found more than "400,000 stolen credit and debit card account numbers allegedly obtained by hacking into various computer systems of other financial institutions," "</t>
  </si>
  <si>
    <t>"In 2007, financial services giant J.P. Morgan Chase issued a press release announcing that the personal information of approximately 2.6 million current and former holders of a Chase-Circuit City credit card had been mistakenly identified as trash and thrown out in garbage bags outside five branch offices in New York"</t>
  </si>
  <si>
    <t>A contractor for the US Department of Education, the records of 3.3 million people were stolen on a portable media device containing names, addresses, Social Security numbers and dates of birth of borrowers, but no financial or bank account information.</t>
  </si>
  <si>
    <t>http://www.foxnews.com/us/2010/03/26/student-loan-company-data-m-people-stolen/</t>
  </si>
  <si>
    <t>The information hacked included information such as patient names, social security numbers, date of birth, home addressees, account numbers, and healthcare services and related diagnostic codes.</t>
  </si>
  <si>
    <t>http://www.phiprivacy.net/?p=5743</t>
  </si>
  <si>
    <t xml:space="preserve">Two separate breaches. On September 3rd, 2010 they lost data for 115,000 from unauthorized access of an electronic device, on the 21st they reported an additional 400,000 records were hacked. </t>
  </si>
  <si>
    <t>Computer gamers hacked a server at Seacoast Radiology in Rochester in search of more bandwidth in November to play Call of Duty: Black Ops. In the process they also gained access to personal records of the more than 230,000 patients of the health center.</t>
  </si>
  <si>
    <t>Lincoln Medical and Mental Health Center</t>
  </si>
  <si>
    <t>130,495 patients lost their protected health information after seven CDs a business associate FedEx’d disappeared.</t>
  </si>
  <si>
    <t>http://www.phiprivacy.net/?tag=lincoln-medical-and-mental-health-center</t>
  </si>
  <si>
    <t xml:space="preserve">Stolen electronical medical records. </t>
  </si>
  <si>
    <t>2, 3, 4, 5</t>
  </si>
  <si>
    <t xml:space="preserve">South Shore Hospital hired a contractor to destroy files no longer in use and lost the shipment. The back-up computer files might contain names, addresses, phone numbers, dates of birth, Social Security numbers, driver’s license numbers, medical record numbers, patient numbers, health plan information, dates of service, protected health information including diagnoses and treatments and bank account information and credit card numbers for a very small subset of individuals. Patients, employees, physicians, volunteers, donors, vendors and other business partners were effected. </t>
  </si>
  <si>
    <t>State officials discovered that there was an unauthorized removal of a computer hard drive housed at the Office of Information Technology. The information did NOT include addresses, dates of birth, social security numbers or any other financial information that could be used for identity theft. It included name, state ID number and the name of the client’s program.</t>
  </si>
  <si>
    <t>The stolen portable hard drive is believed to have contained records from 2003 to 2006 that included patient names, addressees, phone numbers, birth dates, Social Security numbers, and, in some cases, drivers' license numbers.</t>
  </si>
  <si>
    <t xml:space="preserve">Theft occurred from the network server. </t>
  </si>
  <si>
    <t>Bradley Manning/Cablegate.</t>
  </si>
  <si>
    <t>Details of iPad 3G users hacked from AT&amp;T website, thought to include those of White House chief of staff Rahm Emanuel.</t>
  </si>
  <si>
    <t>The breach of online gambling site Betfair is alarming to banking institutions and security experts because the company waited 18 months to report the incident. Betfair's systems breach, which occurred in March and April 2010, was not uncovered until this past May, when a server crashed.</t>
  </si>
  <si>
    <t>US news and gossip blog</t>
  </si>
  <si>
    <t>Gawker.com Gizmodo.com Lifehacker.com hacked. 1.5 Million usernames, emails, passwords taken.</t>
  </si>
  <si>
    <t>Hackers infiltrated restricted university computer databases, putting at risk health and other personal information on 160,000 students, alumni and others. The university said data include Social Security numbers, birth dates, health insurance information and some medical records, but not personal medical records, dating back to 1999.</t>
  </si>
  <si>
    <t>http://www.msnbc.msn.com/id/30645920/ns/technology_and_science-security/t/hackers-breach-uc-berkeley-computers/#.UFjFaKRYtmg</t>
  </si>
  <si>
    <t>Customers who went to CheckFree's Web sites between 12:35 a.m. and 10:10 a.m. on the day of the attack were redirected to a Ukrainian Web server that used malicious software to try and install a password-stealing program on the victim's computer.</t>
  </si>
  <si>
    <t>http://www.computerworld.com/s/article/9125078/CheckFree_warns_5_million_customers_after_hack</t>
  </si>
  <si>
    <t>Perpetrating the biggest credit card scam in history stealing more than 130m people's details, the hacking ring behind the Heartland Payments intrusion were also responsible for a $750,000 cash machine fraud effecting New York Citibank ATMs. Heartland eventually paid more than $110 million to Visa, MasterCard, American Express and other card associations to settle claims related to the breach.</t>
  </si>
  <si>
    <t>http://www.guardian.co.uk/technology/blog/2009/aug/24/hacking-law?INTCMP=SRCH</t>
  </si>
  <si>
    <t>"An extortion demand posted on WikiLeaks seeks $10 million to return over 8 million patient records and 35 million prescriptions allegedly stolen from Virginia Department of Health Professions.  All 36 servers were shut down  to protect records.</t>
  </si>
  <si>
    <t>A hacker, who was never found, demanded a $10 million ransom for a breach effecting 530,000 Virginians. Social security numbers may have been taken. The data was found in a database containing 35 million prescription records.</t>
  </si>
  <si>
    <t>lost computer</t>
  </si>
  <si>
    <t xml:space="preserve">A thief stole 57 hard drives from the closet of a BlueCross call center in Chattanooga, Tenn. Data on the stolen hard drives was encoded but not encrypted. Bluecross stated there was no evidence the information was accessed due to the specialized nature of the hardware stolen. </t>
  </si>
  <si>
    <t>http://www.scmagazine.com/thief-steals-57-hard-drives-from-bluecross-blueshield-of-tennessee/article/162178/</t>
  </si>
  <si>
    <t>A copier that they had been leased was discovered to have contained personal information of its clientele. The lost data may include Social Security numbers, dates of birth, and medical records on its hard drive. “Like many organizations across the country, we were not aware copy machines contained hard drives that need to be wiped.”</t>
  </si>
  <si>
    <t>http://security-hack1.blogspot.com/2010/04/affinity-health-plan-alerts-public.html</t>
  </si>
  <si>
    <t>"A hard drive with seven years of personal and medical information on about 1.5 million Health Net customers was lost for six months before being reported. A portable, external hard drive with SSNs and medical records “disappeared” and is still missing from the insurer’s headquarters"</t>
  </si>
  <si>
    <t>2, 4</t>
  </si>
  <si>
    <t xml:space="preserve">Two company laptop computers were stolen from an AvMed facility in Gainesville, Florida containing names, addresses, dates of birth, Social Security numbers and health-related information. There is no evidence the data was misused. </t>
  </si>
  <si>
    <t>http://www.governmentsecurity.org/latest-security-news/laptop-theft-exposes-private-info-of-avmed-health-plansaapos-customers.html</t>
  </si>
  <si>
    <t>US Dept of Defense</t>
  </si>
  <si>
    <t xml:space="preserve">"According to a report to Congress, 72,000 Post Deployment Health Reassessment forms are unaccounted for from service members who returned from deployment to Iraq or Afghanistan between Jan 1, 2007 to May 31, 2008. The forms ask for the service member's SSN,. Name, date of birth. While disclosure of any item is
voluntary, they are "encouraged to answer each question." </t>
  </si>
  <si>
    <t>Without first destroying the data the agency sent back a defective unencrypted hard drive for repair and recycling which held detailed records on 76 million veterans, including millions of Social Security numbers dating to 1972.</t>
  </si>
  <si>
    <t>About 131,000 former and current Army Guard members could be affected  when a personal laptop owned by an Army Guard contractor was stolen on July 27. The stolen laptop contained personal information on soldiers enrolled in the Army National Guard Bonus and Incentives Program. The type of data includes names, Social Security Numbers, incentive payment amounts and payment dates.</t>
  </si>
  <si>
    <t>Network Solutions LLC dealt with a large-scale infection of WordPress-driven blogs after malicious code was added to many of their hosted websites compromising 573,000 debit and credit cards.</t>
  </si>
  <si>
    <t>http://www.computerworld.com/s/article/9175783/Network_Solutions_sites_hacked_again</t>
  </si>
  <si>
    <t xml:space="preserve">A folly of poor security judgment was presented by RockYou!: they  did not allow users to use special characters or punctuation in their passwords; they e-mailed user passwords in plain text; lastly, you had to remain on RockYou when entering passwords on third party websites. Hackers took advantage of a simple technique in order to gain access to 32 million user accounts and published a small amount of the data showing the unencrypted plain text passwords that were stored. The dataset stolen also contains a table where RockYou! stored user credentials for social networks and other partner sites, even though RockYou's website stated they did not store login info. </t>
  </si>
  <si>
    <t>Stanford University has notified tens of thousands of past and current Stanford University employees that their personal information - including their dates of birth, Social Security numbers and home addresses - was on the hard drive of a stolen university laptop.</t>
  </si>
  <si>
    <t>Thieves took a case out of a vehicle used by a private off-site storage company. Anyone who had been a patient of a University of Miami physician or visited a UM facility since 1999, is likely included on the tapes. The data included names, addresses, Social Security numbers or health information. 47,000 of these records may have included credit card or other financial information regarding bill payment</t>
  </si>
  <si>
    <t>"The (date) tapes were recovered a month later and authorities believe the data they held was not accessed by the petty thieves who broke into a courier's car and made off with them. Almost comically, the thieves, not knowing what they contained, tried to view the tapes using a VHS player, according to police reports."</t>
  </si>
  <si>
    <t>Two multimedia discs containing the names, social security numbers, addresses, cell phone numbers, email addresses and workplaces of Korean customers sorted by age. Was believed to believed to have been thrown away -- were found an office worker in a backstreet’s trash pile in Seoul. Experts say a GS Caltex employee likely stole the information for personal purposes given there were no signs of hacking.</t>
  </si>
  <si>
    <t>datalossdb.org</t>
  </si>
  <si>
    <t>Data Loss Database</t>
  </si>
  <si>
    <t>The hack primarily effected U.S. prepaid and the gift card issuing business of RBS Worldpay. Actual fraud has been committed on approximately 100 cards.  Certain personal information of approximately 1.5 million cardholders and other individuals may have been affected and, of this group, Social Security numbers of 1.1 million people may have been accessed.</t>
  </si>
  <si>
    <t>Lost a back-up tape.</t>
  </si>
  <si>
    <t>http://www.wctv.tv/news/headlines/28132494.html?storySection=comments</t>
  </si>
  <si>
    <t>Data Processors International</t>
  </si>
  <si>
    <t>Provides merchant account establishment and Internet based credit card payment processing services</t>
  </si>
  <si>
    <t>http://www.forbes.com/forbes/2008/0630/030.html</t>
  </si>
  <si>
    <t xml:space="preserve">A computer hacker in Chile has published confidential records belonging to six million people on the internet to illustrate the weakness of their security. </t>
  </si>
  <si>
    <t>County in West Virginia, US</t>
  </si>
  <si>
    <t>"Jefferson County Clerk Jennifer Maghan said she unveiled a new online search tool that enabled residents and business professionals to access nearly 1.6 million documents that are stored in her office via their home computers"</t>
  </si>
  <si>
    <t>http://www.journal-news.net/page/content.detail/id/511806.html?nav=5006</t>
  </si>
  <si>
    <t>"Tax authorities said they had sent CD-ROMs filled with the 2006 tax 
returns of nearly four million people living in Norway, a country of 
just 4.6 million inhabitants, to the editorial staff at national 
newspapers, radios and television stations."</t>
  </si>
  <si>
    <t>A laptop containing private information on 97,000 employees was stolen held names, addresses and Social Security numbers. Employees tried to sue Starbucks in California winning their case in the appeals court before losing in the higher federal court as they were unable to prove any cognizable harm or injury.</t>
  </si>
  <si>
    <t>http://privacyblog.littler.com/2011/01/articles/identity-theft/after-starbucks-laptop-is-stolen-alleged-victims-of-identity-theft-win-pyrrhic-victory/</t>
  </si>
  <si>
    <t>A laptop was stolen from a car containing unencrypted Social
Security numbers and bonus/salary info of AT&amp;T employees.</t>
  </si>
  <si>
    <t>http://www.idtheftcenter.org/artman2/publish/lib_survey/ITRC_2008_Breach_List.shtml</t>
  </si>
  <si>
    <t>18,000,000</t>
  </si>
  <si>
    <t xml:space="preserve">The (Chinese) hacker did not directly attack the server, instead sending out bulk emailings to the auction staff containing “hacker procedures" that may have contained malware through which the hacker was able to gain their IDs. He then logged into the Auction server using the staffer’s ID allowing the breach to take place. </t>
  </si>
  <si>
    <t>http://www.darkreading.com/security/perimeter-security/211201111/hacker-steals-data-on-18m-auction-customers-in-south-korea.html</t>
  </si>
  <si>
    <t>TD Ameritrade settled a class action lawsuit to compensate as many as 6.3 million TD Ameritrade customers whose data was stolen by hackers costing the Nebraska online brokerage firm less than $2 per victim.</t>
  </si>
  <si>
    <t>A former employee stole a hardrive containing 1m account details from the bank, used to defraud cutomers of nearly $32,000.</t>
  </si>
  <si>
    <t>http://www.computerworld.com/s/article/9072198/Programmer_who_stole_drive_containing_1_million_bank_records_gets_42_months</t>
  </si>
  <si>
    <t>More than 89,000 lottery winners are being notified that sensitive information about them including their names, Social Security numbers, addresses and prize amounts were taken from the agency without permission by a former computer analyst who copied the password-free data. The employee added he wanted the information "for possible future reference as a programmer at other state agencies."</t>
  </si>
  <si>
    <t>The lost computer disks contained confidential details of 25 million child benefit recipients.</t>
  </si>
  <si>
    <t>"Data thieves broke into computers at supermarket chains Hannaford Brothers and Sweetbay, stealing an estimated 4.2 million credit and debit card numbers."</t>
  </si>
  <si>
    <t>TJX (TK/TJ Maxx)</t>
  </si>
  <si>
    <t>T.J.Maxx, TK Maxx, Marshalls and Bob's Stores</t>
  </si>
  <si>
    <t>Hackers stole data from credit and debit cards of shoppers at off-price retailers TJX, owners of nearly 2,500 stores, including T.J. Maxx and Marshalls. This case is believed to be the largest such breach of consumer information.</t>
  </si>
  <si>
    <t>http://www.msnbc.msn.com/id/17871485/ns/technology_and_science-security/t/tj-maxx-theft-believed-largest-hack-ever/#.UFi-HaRYtmg</t>
  </si>
  <si>
    <t>The laptop had information, including social security numbers, on people who applied for positions at Gap stores, including Banana Republic and Old Navy, between July 2006 and June 2007.</t>
  </si>
  <si>
    <t xml:space="preserve">A trojan virus stole log-ins that were used to harvest user names, e-mail addresses, home addresses and phone numbers, which were uploaded to a remote web server. Soon after phishing e-mails encouraged users to download a Monster Job Seeker Tool, which was in fact a program that encrypted files in their computer and left a ransom note demanding money for their decryption.
</t>
  </si>
  <si>
    <t>The Veterans Affairs Department agreed to pay $20 million to settle a class action lawsuit over the loss of a laptop. The department originally took three weeks to report the theft. The laptop was recovered with the data apparently intact a month after it was reported stolen. But it is impossible say with absolute certainty that the data was not accessed and copied.  They agreed to the settlement even though the department has said there is no evidence that the information on the stolen laptop was used or than any person involved was harmed by it.</t>
  </si>
  <si>
    <t>" Tokyo police have arrested two men for trying to extort nearly US$90,000 from KDDI Corp. The pair allegedly threatened to disclose the existence of storage media containing personal data belonging to four million KDDI customers prior to a shareholder meeting; however, KDDI alerted the police as soon as they were contacted by the blackmailers; the police monitored communications between KDDI and the pair for several weeks. "</t>
  </si>
  <si>
    <t>Thieves got their hands on a storage device with the data, which included the names, addresses, cell phone numbers, and some birth dates and e-mail addresses for high-profile German citizens. The company said the records did not contain bank details, credit card numbers, or call data.</t>
  </si>
  <si>
    <t>http://www.informationweek.com/security/attacks/t-mobile-lost-17-million-subscribers-per/210700232</t>
  </si>
  <si>
    <t>Durp. AOL VOLUNTARILY release search data for roughly 20 million web queries from 658,000 anonymized users of the service, no one is quite sure why.</t>
  </si>
  <si>
    <t>40,000,000</t>
  </si>
  <si>
    <t xml:space="preserve">CardSystems was fingered by MasterCard after it spotted fraud on credit card accounts and found a common thread, tracing it back to CardSystems. A computer virus was not to blame for the data theft but an unauthorized entity put a specific code into CardSystems' network, enabling the person or group to gain access to the data. It's not clear how many of the 40 million accounts were actually stolen. </t>
  </si>
  <si>
    <t>http://www.msnbc.msn.com/id/8260050/ns/technology_and_science-security/t/million-credit-cards-exposed/#.UFiz7aRYtmg</t>
  </si>
  <si>
    <t>Blame the messenger! A box of computer tapes containing information on 3.9 million customers was lost by United Parcel Service (UPS) last month, while in transit to a credit reporting agency.</t>
  </si>
  <si>
    <t>Business process outsourcing, payrolls, benefits</t>
  </si>
  <si>
    <t>ADP provided a scammer with personal information of investors who had purchased stock through brokerages that use ADP's investor communications services including Fidelity Investments and Morgan Stanley.</t>
  </si>
  <si>
    <t xml:space="preserve"> A former America Online software engineer stole 92 million screen names and e-mail addresses and sold them to spammers who sent out up to 7 billion unsolicited e-mails.</t>
  </si>
  <si>
    <t>http://www.msnbc.msn.com/id/8985989/#.UFcN8RgUwaA</t>
  </si>
  <si>
    <t>n</t>
  </si>
  <si>
    <t>names, addresses and vehicle identification numbers were taken from the company’s eCommerce websites myHonda and myAcura</t>
  </si>
  <si>
    <t>"The personal information of 150,000 consumers who went into bankruptcy between 2007 and 2011 – including their social security numbers – were exposed after Citi failed to properly redact court records before they were put on the Public Access to Court Electronic Records (PACER) system."</t>
  </si>
  <si>
    <t>undisclosed</t>
  </si>
  <si>
    <t xml:space="preserve">The European customer database was hacked - it includes personal customer information such as: surname, first name, nic, address, city, country, telephone, fax and encrypted password. No credit card information was stolen. </t>
  </si>
  <si>
    <t>HP</t>
  </si>
  <si>
    <t xml:space="preserve">Laptop lost/stolen containing employee data. The data includes names, addresses, Social Security numbers, dates of birth and other employment-related information, but not the personal identification numbers required to log on to Fidelity services. No evidence that theives wanted anything more than the laptop itself, though. </t>
  </si>
  <si>
    <t>http://news.cnet.com/Laptop-with-HP-employee-data-stolen/2100-7348_3-6052964.html</t>
  </si>
  <si>
    <t>MOD</t>
  </si>
  <si>
    <t>Hard drive containing details of Armed Forces personnel went missing. Loss was revealed during National Identity Fraud Prevention Week. Data re: people who rnquired about joining the Forces, and so in some cases included next of kin details, passport and National Insurance numbers, drivers' licence and bank details and National Health Service number</t>
  </si>
  <si>
    <t xml:space="preserve">Stolen USBs containing personal information about private lives of staff. </t>
  </si>
  <si>
    <t>Insolvency Service</t>
  </si>
  <si>
    <t>Names, addresses and bank details of up to 400 directors of 122 firms were lost when four laptops were stolen from a Manchester premises.</t>
  </si>
  <si>
    <t>http://www.computerweekly.com/news/2240086906/Insolvency-Service-suffers-another-government-data-loss</t>
  </si>
  <si>
    <t>Tees, Esk and Wear Valleys NHS Trust</t>
  </si>
  <si>
    <t>Memory stick with details of patients found in a public park.</t>
  </si>
  <si>
    <t>http://news.bbc.co.uk/1/hi/england/7619177.stm</t>
  </si>
  <si>
    <t>Home Office</t>
  </si>
  <si>
    <t>PA Consulting lost an unencrypted memory stick containing details of high risk, prolific and other offenders.</t>
  </si>
  <si>
    <t>http://en.wikipedia.org/wiki/List_of_UK_government_data_losses</t>
  </si>
  <si>
    <t>Colchester Hospital University NHS Foundation Trust</t>
  </si>
  <si>
    <t>A manager's unencrypted laptop holding patient addresses and treatment details is stolen from his car whilst on holiday in Edinburgh</t>
  </si>
  <si>
    <t>http://www.computerweekly.com/news/2240086627/Hospital-sacks-senior-manager-over-stolen-laptop</t>
  </si>
  <si>
    <t>Department for Work and Pensions</t>
  </si>
  <si>
    <t>DWP</t>
  </si>
  <si>
    <t>West Yorkshire benefit claimants' data lost. names, dates of birth and national insurance numbers.</t>
  </si>
  <si>
    <t>http://www.telegraph.co.uk/news/politics/1574687/Governments-record-year-of-data-loss.html</t>
  </si>
  <si>
    <t>"thousands"</t>
  </si>
  <si>
    <t>CDs with personal data found at the home of a former contractor.</t>
  </si>
  <si>
    <t xml:space="preserve">"Heavily encrypted" disks containing details of children are lost by couriers. The loss </t>
  </si>
  <si>
    <t>http://www.computerweekly.com/news/2240104003/Hackney-NHS-trust-encrypts-IT-equipment-following-loss-of-child-data</t>
  </si>
  <si>
    <t>Foreign and Commonwealth Office</t>
  </si>
  <si>
    <t>FCO</t>
  </si>
  <si>
    <t>Details of visa applicants were made available on an FCO website.</t>
  </si>
  <si>
    <t>http://www.computerweekly.com/news/2240083882/FCO-breached-data-privacy-of-50000-visa-applicants</t>
  </si>
  <si>
    <t>HM Revenue and Customs</t>
  </si>
  <si>
    <t>Two CDs containing details of the families of child benefits claimants went missing in the post.</t>
  </si>
  <si>
    <t>http://www.telegraph.co.uk/news/politics/2608805/Thousands-of-personal-records-lost-each-month.html</t>
  </si>
  <si>
    <t>Ministry of Justice</t>
  </si>
  <si>
    <t>MOJ</t>
  </si>
  <si>
    <t>Hard disk with details of HM Prison Service staff is lost. Data lost included prison staff names, dates of birth, National Insurance numbers and employee numbers.</t>
  </si>
  <si>
    <t>http://www.pcadvisor.co.uk/news/security/104096/5000-prison-staff-exposed-by-lost-hard-drive/</t>
  </si>
  <si>
    <t>DSA</t>
  </si>
  <si>
    <t xml:space="preserve">Hard disk with details of candidates for the driving theory test was lost in a premises in Iowa by subcontractors. Only names, addresses and phone numbers. </t>
  </si>
  <si>
    <t>Details of individuals made public after "unauthorised disclosure by a contractor"</t>
  </si>
  <si>
    <t>http://www.computerweekly.com/news/2240086572/Foreign-office-reports-five-significant-data-losses</t>
  </si>
  <si>
    <t>4,000,000 patient names, addresses, dates of birth, and Social Security numbers were contained in four computers stolen from an administrative building. Second biggest security breach ever reported to the Department of Health and Human Services (HHS).</t>
  </si>
  <si>
    <t>http://datalossdb.org/latest_incidents_remote_sync</t>
  </si>
  <si>
    <t>Nasdaq forum website hacked by hacking ring, email addresses and passwords compromised</t>
  </si>
  <si>
    <t>http://www.reuters.com/article/2013/07/18/net-us-nasdaq-cybercrime-website-idUSBRE96H1F520130718</t>
  </si>
  <si>
    <t>1 to 8</t>
  </si>
  <si>
    <t xml:space="preserve">hacking ring targeted banks, payment processors and chain stores, to steal more than 160 million credit and debit card numbers, target more than 800,000 bank accounts </t>
  </si>
  <si>
    <t>http://www.nydailynews.com/news/national/russians-ukrainian-charged-largest-hacking-spree-u-s-history-article-1.1408948</t>
  </si>
  <si>
    <t>KB Kookmin Card, Lotte Card and NH Nonghyup Card</t>
  </si>
  <si>
    <t>stolen</t>
  </si>
  <si>
    <t>an employee from personal credit ratings firm Korea Credit Bureau (KCB) stole customer data from these 3 credit card firms while working for them as a temporary consultant, in order to sell the data to phone marketing companies. Stolen data included names, SSNs, phone numbers, credit card numbers and expiration dates.</t>
  </si>
  <si>
    <t>Citibank Korea</t>
  </si>
  <si>
    <t xml:space="preserve">an employee stole details about client's lending contracts and sold it to private loan companies. </t>
  </si>
  <si>
    <t>http://www.net-security.org/secworld.php?id=16230</t>
  </si>
  <si>
    <t>Two men obtained data about phone subscribers (including information about their monthly plans) in order to conduct an illegal marketing scheme. Authorities estimate the suspects earned at least 1 billion won (US$877,000).</t>
  </si>
  <si>
    <t>http://www.securityweek.com/police-arrest-two-south-korea-telecom-hack-exposed-87-million</t>
  </si>
  <si>
    <t>Nexon</t>
  </si>
  <si>
    <t>web (gaming)</t>
  </si>
  <si>
    <t>stolen info included account IDs, names, and encrypted resident registration numbers and passwords</t>
  </si>
  <si>
    <t>http://www.alertboot.com/blog/blogs/endpoint_security/archive/2011/11/26/data-security-korea-s-maplestory-nexon-gets-hacked-second-largest-sk-breach.aspx</t>
  </si>
  <si>
    <t>Cyworld</t>
  </si>
  <si>
    <t>web (social network)</t>
  </si>
  <si>
    <t xml:space="preserve">stolen info included user IDs, passwords, social security numbers, names, mobile phone numbers and email addresses. SSNs and passwords were encrypted so not availablew for illegal use. </t>
  </si>
  <si>
    <t>http://www.alertboot.com/blog/blogs/endpoint_security/archive/2011/07/29/strong-data-encryption-is-protecting-my-hacked-data.aspx</t>
  </si>
  <si>
    <t>Black market prices of stolen data</t>
  </si>
  <si>
    <t>all prices US unless specified</t>
  </si>
  <si>
    <t>form of data</t>
  </si>
  <si>
    <t>black market price, $</t>
  </si>
  <si>
    <t>comment</t>
  </si>
  <si>
    <t>note</t>
  </si>
  <si>
    <t>source</t>
  </si>
  <si>
    <t>link</t>
  </si>
  <si>
    <t>CVV</t>
  </si>
  <si>
    <t xml:space="preserve">credit verification value: the three- or four-digit number on the back of a card </t>
  </si>
  <si>
    <t>in US</t>
  </si>
  <si>
    <t>Holt and Smirnova 2014</t>
  </si>
  <si>
    <t>https://www.ncjrs.gov/pdffiles1/nij/grants/245375.pdf</t>
  </si>
  <si>
    <t>credit card, stale data</t>
  </si>
  <si>
    <t>2-7</t>
  </si>
  <si>
    <t>old data – owners have cancelled most of cards in batch</t>
  </si>
  <si>
    <t>Rand Corporation</t>
  </si>
  <si>
    <t>http://www.rand.org/content/dam/rand/pubs/research_reports/RR600/RR610/RAND_RR610.pdf</t>
  </si>
  <si>
    <t>fullz</t>
  </si>
  <si>
    <t xml:space="preserve">full packages of individuals' identifying information. usually contain an individual's name, Social Security number, birth date, account numbers and other data. </t>
  </si>
  <si>
    <t>creditcards.com, Holt and Smirnova 2014</t>
  </si>
  <si>
    <t>http://www.creditcards.com/glossary/term-fullz.php</t>
  </si>
  <si>
    <t>bank account details</t>
  </si>
  <si>
    <t>health credentials</t>
  </si>
  <si>
    <t>includes names, birth dates, policy numbers, diagnosis codes and billing information. fraudsters create fake IDs to buy medical equipment or drugs for resale, or use it to file fake insurance claims. often not immediately identified by a patient or their provider, giving criminals years to milk the data dry.</t>
  </si>
  <si>
    <t>http://www.reuters.com/article/2014/09/24/us-cybersecurity-hospitals-idUSKCN0HJ21I20140924</t>
  </si>
  <si>
    <t>credit card, market flooded</t>
  </si>
  <si>
    <t>10-12</t>
  </si>
  <si>
    <t>price drops once the market becomes flooded with records from the same breach.</t>
  </si>
  <si>
    <t>PayPal / eBay account</t>
  </si>
  <si>
    <t>Globe and Mail</t>
  </si>
  <si>
    <t>http://www.theglobeandmail.com/technology/digital-culture/as-hackers-feast-on-stolen-data-profiting-from-fraud-gets-harder/article18982563/</t>
  </si>
  <si>
    <t>credit card, freshly acquired</t>
  </si>
  <si>
    <t>20-45</t>
  </si>
  <si>
    <t>rapidly decrease in value following theft because customers cancel them. more valuable if sold along with other data about the owner e.g. address – small test purchases can be made that are more in keeping with the owner's normal buying patterns, so less likely to be detected. chip + PIN cards worth more.</t>
  </si>
  <si>
    <t>price varies a lot</t>
  </si>
  <si>
    <t>Rand Corporation, Reuters, Forbes</t>
  </si>
  <si>
    <t>http://www.forbes.com/sites/frontline/2014/06/18/the-underground-economy-of-data-breaches/</t>
  </si>
  <si>
    <t>spam email list</t>
  </si>
  <si>
    <t>whole list</t>
  </si>
  <si>
    <t>total price for list</t>
  </si>
  <si>
    <t>'executive' credit card</t>
  </si>
  <si>
    <t>cards with higher credit limits</t>
  </si>
  <si>
    <t xml:space="preserve">zero-day </t>
  </si>
  <si>
    <t>up to 250,000</t>
  </si>
  <si>
    <t>zero-days are exploitable vulnerabilities that a software vendor is not aware of and for which no patch has been created. often used for corporate espionage. hard to find so can command high prices.</t>
  </si>
  <si>
    <t>service, price, year
Adobe Reader $5,000–$30,000 2012
Android $30,000–$60,000 2012
Chrome or Internet Explorer $80,000–$200,000 2012
Firefox or Safari $60,000–$150,000 2012
Flash or Java Browser Plug-ins $40,000–$100,000 2012
iOS $100,000–$250,000 2012
Mac OSX $20,000–$50,000 2012
Microsoft Word $50,000–$100,000 2012
Windows $60,000–$120,000 2012</t>
  </si>
  <si>
    <t>==</t>
  </si>
  <si>
    <t>black market cost of hacking into an account</t>
  </si>
  <si>
    <t>16-325</t>
  </si>
  <si>
    <t>depending on account type</t>
  </si>
  <si>
    <t>average cost to companies per compromised record</t>
  </si>
  <si>
    <t>in the form of lost customers, damaged reputation and diminished goodwill</t>
  </si>
  <si>
    <t>based on analysis of  49 U.S. companies in 14 different industry sectors, 2011. large data breaches (&gt;100,000 records) excluded</t>
  </si>
  <si>
    <t>Symantec</t>
  </si>
  <si>
    <t>http://www.symantec.com/content/en/us/about/media/pdfs/b-ponemon-2011-cost-of-data-breach-us.en-us.pdf</t>
  </si>
  <si>
    <t>trends</t>
  </si>
  <si>
    <t>medical data fraud</t>
  </si>
  <si>
    <t>healthcare organizations that have reported a criminal cyber attack: 40% in 2013, up from 20% in 2009</t>
  </si>
  <si>
    <t>according to an annual survey by the Ponemon Institute think tank on data protection policy.</t>
  </si>
  <si>
    <t>price drop</t>
  </si>
  <si>
    <t>black market prices for stolen data are dropping because of a) oversupply - the market is flooded with credit card records b) increase in number of opportunistic criminals entering the market, getting fleeced by the more data-savvy hackers selling the information</t>
  </si>
  <si>
    <t>ransomware</t>
  </si>
  <si>
    <t xml:space="preserve">stealing data and using it as leverage to extort money from the owner. hackers recently locked a number of Australian iPhone and iPad users out of their devices then demanded $100 ransoms to unlock them. </t>
  </si>
  <si>
    <t>CNN, Globe and Mail, Ars Technica</t>
  </si>
  <si>
    <t>http://edition.cnn.com/2014/05/27/tech/mobile/hackers-iphones/</t>
  </si>
  <si>
    <t>http://arstechnica.com/security/2014/05/your-iphone-has-been-taken-hostage-pay-100-ransom-to-get-it-back/</t>
  </si>
  <si>
    <t>bug bounties</t>
  </si>
  <si>
    <t>money paid by companies to incentivise people to report bugs and zero days. Google’s bounty program usually pays $3,000 to $5,000, with some non-Chrome exploits fetching up to $20,000 and up to $150,000 for Chrome exploits.</t>
  </si>
  <si>
    <t>other graphics</t>
  </si>
  <si>
    <t>http://www.bloomberg.com/infographics/2014-08-21/top-data-breaches.html</t>
  </si>
  <si>
    <t>dropoff</t>
  </si>
  <si>
    <t>These costs stem from a variety of sources such as replacing customer credit cards, credit monitoring for victims, lost business, declining stock prices, lawsuits and fines. On average these costs amount to around $200 per compromised record.</t>
  </si>
  <si>
    <t>In this year’s study, the average per capita cost of data breach has declined from $214 to $194. (2011 - NB large attacks involving more than 100,000 records were excluded from analysis, based only on XXX companies)</t>
  </si>
  <si>
    <t>trends here?</t>
  </si>
  <si>
    <t>report - need to reigster</t>
  </si>
  <si>
    <t>http://www-935.ibm.com/services/us/en/it-services/security-services/cost-of-data-breach/</t>
  </si>
  <si>
    <t>ransomware / oversupply in black market driving down prices</t>
  </si>
  <si>
    <t xml:space="preserve">Mr. Holt and Ms. Smirnova found the average price of a stolen bank or credit card could be as low as four cents, for example, but as high as $8,000 for a higher limit executive-type card, with the average selling price just over $100.
</t>
  </si>
  <si>
    <t>PayPal and eBay accounts have grown in popularity, now costing on average just $27. E-mail lists for spams and scams average just under $100.</t>
  </si>
  <si>
    <t>Earlier this year, for example, the Twitter user @N was actually stolen due to its status as one of the service’s earliest names. Though the owner eventually regained control, he claims to have been offered as much as $50,000 for the handle in the past.</t>
  </si>
  <si>
    <t xml:space="preserve">stolen Twitter handle @N </t>
  </si>
  <si>
    <t>https://medium.com/@N/how-i-lost-my-50-000-twitter-username-24eb09e026dd</t>
  </si>
  <si>
    <t>Although prices range widely—for example, hacking into accounts can cost anywhere from $16 to more than $325, depending on the account type (Goncharov, 2012)</t>
  </si>
  <si>
    <t xml:space="preserve">Prices for credit card data may start at $20–$45/record if supply is limited or the cards are freshly acquired, or $10–$12 if there is an influx. Credit cards acquired in the Target 
breach initially fetched anywhere from $20–$135, depending on the type of card, expiration, 
and limit (Krebs, 2013h). </t>
  </si>
  <si>
    <t>Credit Card Prices Based on Market Circumstance
Credit Card Price Market Circumstance
$20–$45 Freshly acquired
$10–$12 Flooded 
$2–$7 Clearance (“stale” data)
SOURCE: Data drawn from interviews; Krebs, 2013g</t>
  </si>
  <si>
    <t>Experts note that high or no-limit cards (e.g., the American Express 
Black card), or cards with chip and personal identification number (PIN) are more valuable, 
and can command a higher price, and when the data begin to get stale, it may be “on clearance” for something like $2–$7/record (see Table 2.4).</t>
  </si>
  <si>
    <t xml:space="preserve"> eCommerce accounts (e.g., PayPal or 
Amazon) can be sold for a fixed price, or based on the percentage of the remaining balance. </t>
  </si>
  <si>
    <t>Zero-day vulnerabilities (“zero-day exploits”, or just “zero-days”) are exploitable vulnerabilities 
that a software vendor is not aware of and for which no patch has been created. Zero-days 
are thus desirable for hackers, because everyone is vulnerable to exploitation. This, combined 
with zero-days being difficult to find and difficult to develop an exploit for, makes them pricy. 
Zero-days are most often thought to be used for corporate espionage, or highly targeted attacks 
where the only entry is through a zero-day</t>
  </si>
  <si>
    <t>As a result [of zero-days], some 
of those who offer bug bounties, such as Google, have started to increase their rewards.6  Google’s bounty program usually pays $3,000 to $5,000, with some non-Chrome exploits fetching up to $20,000 and 
up to $150,000 for Chrome exploits (Fisher, 2013b).</t>
  </si>
  <si>
    <t>Zero-day prices</t>
  </si>
  <si>
    <t>service, price, year</t>
  </si>
  <si>
    <t>Adobe Reader $5,000–$30,000 2012</t>
  </si>
  <si>
    <t>Android $30,000–$60,000 2012</t>
  </si>
  <si>
    <t>Chrome or Internet Explorer $80,000–$200,000 2012</t>
  </si>
  <si>
    <t>Firefox or Safari $60,000–$150,000 2012</t>
  </si>
  <si>
    <t>Flash or Java Browser Plug-ins $40,000–$100,000 2012</t>
  </si>
  <si>
    <t>iOS $100,000–$250,000 2012</t>
  </si>
  <si>
    <t>Mac OSX $20,000–$50,000 2012</t>
  </si>
  <si>
    <t>Microsoft Word $50,000–$100,000 2012</t>
  </si>
  <si>
    <t>Windows $60,000–$120,000 2012</t>
  </si>
  <si>
    <t>2013: The nominal street price is $8 per card, with mid-tier around $25 per card. For 
guaranteed balances, the price could be much higher (into thousands of dollars).</t>
  </si>
  <si>
    <t>hackers by country: 19% US, ? Ukraine, ? China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</si>
</sst>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 &quot;mmm&quot; &quot;yyyy"/>
    <numFmt numFmtId="165" formatCode="&quot; &quot;mmm&quot; &quot;yy"/>
    <numFmt numFmtId="166" formatCode="mmm d"/>
    <numFmt numFmtId="167" formatCode="mmmm d"/>
    <numFmt numFmtId="168" formatCode="mmm yyyy"/>
  </numFmts>
  <fonts count="173">
    <font>
      <sz val="10.0"/>
      <color rgb="FF000000"/>
      <name val="Arial"/>
    </font>
    <font>
      <b/>
      <sz val="10.0"/>
      <color rgb="FF000000"/>
      <name val="Arial"/>
    </font>
    <font>
      <b/>
      <u/>
      <sz val="14.0"/>
      <color rgb="FFCCCCCC"/>
      <name val="Arial"/>
    </font>
    <font>
      <sz val="9.0"/>
      <color rgb="FFCCCCCC"/>
      <name val="Arial"/>
    </font>
    <font>
      <sz val="9.0"/>
      <color rgb="FF000000"/>
      <name val="Arial"/>
    </font>
    <font>
      <sz val="9.0"/>
      <color rgb="FF1155CC"/>
      <name val="Arial"/>
    </font>
    <font>
      <b/>
      <sz val="9.0"/>
      <color rgb="FF000000"/>
      <name val="Arial"/>
    </font>
    <font>
      <sz val="9.0"/>
      <color rgb="FF000000"/>
    </font>
    <font>
      <u/>
      <sz val="9.0"/>
      <color rgb="FF000000"/>
      <name val="Arial"/>
    </font>
    <font>
      <u/>
      <sz val="9.0"/>
      <color rgb="FF000000"/>
      <name val="Arial"/>
    </font>
    <font>
      <sz val="9.0"/>
      <color rgb="FF000000"/>
      <name val="Söhne"/>
    </font>
    <font>
      <b/>
      <sz val="9.0"/>
      <color rgb="FF000000"/>
    </font>
    <font>
      <b/>
      <sz val="9.0"/>
      <color rgb="FF000000"/>
      <name val="Helvetica"/>
    </font>
    <font>
      <sz val="9.0"/>
      <color rgb="FF000000"/>
      <name val="&quot;Arial&quot;"/>
    </font>
    <font>
      <b/>
      <u/>
      <sz val="9.0"/>
      <color rgb="FF000000"/>
      <name val="Arial"/>
    </font>
    <font>
      <color rgb="FF000000"/>
    </font>
    <font>
      <u/>
      <sz val="9.0"/>
      <color rgb="FF000000"/>
    </font>
    <font>
      <u/>
      <sz val="9.0"/>
      <color rgb="FF000000"/>
      <name val="Arial"/>
    </font>
    <font>
      <u/>
      <sz val="9.0"/>
      <color rgb="FF000000"/>
      <name val="Arial"/>
    </font>
    <font>
      <u/>
      <sz val="9.0"/>
      <color rgb="FF000000"/>
      <name val="Arial"/>
    </font>
    <font>
      <b/>
      <u/>
      <sz val="9.0"/>
      <color rgb="FF000000"/>
      <name val="Arial"/>
    </font>
    <font>
      <sz val="9.0"/>
      <color rgb="FF000000"/>
      <name val="Arimo"/>
    </font>
    <font>
      <u/>
      <sz val="9.0"/>
      <color rgb="FF000000"/>
    </font>
    <font>
      <sz val="9.0"/>
      <color rgb="FF000000"/>
      <name val="Georgia"/>
    </font>
    <font>
      <b/>
      <u/>
      <sz val="9.0"/>
      <color rgb="FF000000"/>
      <name val="Arial"/>
    </font>
    <font>
      <u/>
      <sz val="9.0"/>
      <color rgb="FF000000"/>
      <name val="Arial"/>
    </font>
    <font>
      <sz val="9.0"/>
      <color rgb="FF000000"/>
      <name val="Roboto"/>
    </font>
    <font>
      <u/>
      <sz val="9.0"/>
      <color rgb="FF000000"/>
      <name val="Arial"/>
    </font>
    <font>
      <sz val="9.0"/>
      <color rgb="FF000000"/>
      <name val="Proxima_nova"/>
    </font>
    <font>
      <u/>
      <color rgb="FF000000"/>
    </font>
    <font>
      <u/>
      <sz val="9.0"/>
      <color rgb="FF0000FF"/>
    </font>
    <font>
      <sz val="9.0"/>
      <color rgb="FF121212"/>
      <name val="&quot;GH Guardian Headline&quot;"/>
    </font>
    <font>
      <sz val="9.0"/>
      <color rgb="FF222222"/>
      <name val="Roboto"/>
    </font>
    <font>
      <sz val="9.0"/>
      <color rgb="FF555555"/>
      <name val="Roboto"/>
    </font>
    <font>
      <sz val="9.0"/>
      <color rgb="FF1A1A1A"/>
      <name val="BreveText"/>
    </font>
    <font>
      <sz val="9.0"/>
      <color rgb="FF333333"/>
      <name val="Proxima_nova"/>
    </font>
    <font>
      <sz val="9.0"/>
      <color rgb="FF333333"/>
      <name val="Arial"/>
    </font>
    <font>
      <u/>
      <color rgb="FF0000FF"/>
    </font>
    <font>
      <u/>
      <sz val="9.0"/>
      <color rgb="FF0000FF"/>
      <name val="Arial"/>
    </font>
    <font>
      <sz val="9.0"/>
      <name val="Arial"/>
    </font>
    <font>
      <u/>
      <sz val="9.0"/>
      <color rgb="FF1155CC"/>
      <name val="Arial"/>
    </font>
    <font>
      <sz val="9.0"/>
      <color rgb="FFB7B7B7"/>
      <name val="Arial"/>
    </font>
    <font>
      <u/>
      <sz val="9.0"/>
      <color rgb="FF1155CC"/>
      <name val="Arial"/>
    </font>
    <font>
      <u/>
      <sz val="9.0"/>
      <color rgb="FF1155CC"/>
      <name val="Arial"/>
    </font>
    <font>
      <u/>
      <sz val="9.0"/>
      <color rgb="FF1155CC"/>
      <name val="Arial"/>
    </font>
    <font>
      <sz val="9.0"/>
      <color rgb="FFFFFFFF"/>
      <name val="Arial"/>
    </font>
    <font>
      <u/>
      <sz val="9.0"/>
      <color rgb="FF1155CC"/>
      <name val="Arial"/>
    </font>
    <font>
      <sz val="9.0"/>
      <color rgb="FF263034"/>
      <name val="Arial"/>
    </font>
    <font>
      <b/>
      <sz val="9.0"/>
      <name val="Arial"/>
    </font>
    <font>
      <u/>
      <sz val="9.0"/>
      <color rgb="FF1155CC"/>
      <name val="Arial"/>
    </font>
    <font>
      <u/>
      <sz val="9.0"/>
      <color rgb="FF1155CC"/>
      <name val="Arial"/>
    </font>
    <font>
      <u/>
      <sz val="9.0"/>
      <color rgb="FF1155CC"/>
      <name val="Arial"/>
    </font>
    <font>
      <u/>
      <sz val="9.0"/>
      <color rgb="FF1155CC"/>
      <name val="Arial"/>
    </font>
    <font>
      <b/>
      <u/>
      <sz val="9.0"/>
      <color rgb="FF000000"/>
      <name val="Arial"/>
    </font>
    <font>
      <u/>
      <sz val="9.0"/>
      <color rgb="FF1155CC"/>
      <name val="Arial"/>
    </font>
    <font>
      <u/>
      <sz val="9.0"/>
      <color rgb="FF1155CC"/>
      <name val="Arial"/>
    </font>
    <font>
      <b/>
      <u/>
      <sz val="9.0"/>
      <color rgb="FF000000"/>
      <name val="Arial"/>
    </font>
    <font>
      <u/>
      <sz val="9.0"/>
      <color rgb="FF1155CC"/>
      <name val="Arial"/>
    </font>
    <font>
      <u/>
      <sz val="9.0"/>
      <color rgb="FF1155CC"/>
      <name val="Arial"/>
    </font>
    <font>
      <u/>
      <sz val="9.0"/>
      <color rgb="FF1155CC"/>
      <name val="Arial"/>
    </font>
    <font>
      <u/>
      <sz val="9.0"/>
      <color rgb="FF1155CC"/>
      <name val="Arial"/>
    </font>
    <font>
      <u/>
      <sz val="9.0"/>
      <color rgb="FF0000FF"/>
      <name val="Arial"/>
    </font>
    <font>
      <b/>
      <u/>
      <sz val="9.0"/>
      <color rgb="FF000000"/>
      <name val="Arial"/>
    </font>
    <font>
      <sz val="9.0"/>
      <color rgb="FF080E14"/>
      <name val="Arial"/>
    </font>
    <font>
      <b/>
      <u/>
      <sz val="9.0"/>
      <color rgb="FF000000"/>
      <name val="Arial"/>
    </font>
    <font>
      <b/>
      <color rgb="FF434343"/>
      <name val="Helvetica Neue"/>
    </font>
    <font>
      <color rgb="FF434343"/>
    </font>
    <font>
      <color rgb="FF434343"/>
      <name val="Helvetica Neue"/>
    </font>
    <font>
      <u/>
      <color rgb="FF434343"/>
      <name val="Helvetica Neue"/>
    </font>
    <font>
      <b/>
      <color rgb="FF434343"/>
    </font>
    <font>
      <b/>
      <sz val="9.0"/>
      <color rgb="FF434343"/>
      <name val="Arial"/>
    </font>
    <font>
      <sz val="9.0"/>
      <color rgb="FF434343"/>
    </font>
    <font>
      <sz val="9.0"/>
      <color rgb="FF434343"/>
      <name val="Arial"/>
    </font>
    <font>
      <sz val="9.0"/>
      <color rgb="FF434343"/>
      <name val="Söhne"/>
    </font>
    <font>
      <u/>
      <sz val="9.0"/>
      <color rgb="FF434343"/>
      <name val="Arial"/>
    </font>
    <font>
      <b/>
      <sz val="9.0"/>
      <color rgb="FFFF00FF"/>
    </font>
    <font>
      <sz val="9.0"/>
      <color rgb="FFFF00FF"/>
    </font>
    <font>
      <sz val="9.0"/>
      <color rgb="FFFF00FF"/>
      <name val="Arial"/>
    </font>
    <font>
      <u/>
      <sz val="9.0"/>
      <color rgb="FFFF00FF"/>
      <name val="Arial"/>
    </font>
    <font>
      <b/>
      <sz val="9.0"/>
      <color rgb="FFFF00FF"/>
      <name val="Arial"/>
    </font>
    <font>
      <sz val="9.0"/>
      <color rgb="FFFF00FF"/>
      <name val="Söhne"/>
    </font>
    <font>
      <b/>
      <u/>
      <sz val="9.0"/>
      <color rgb="FFFF00FF"/>
      <name val="Arial"/>
    </font>
    <font>
      <u/>
      <sz val="9.0"/>
      <color rgb="FFFF00FF"/>
      <name val="Arial"/>
    </font>
    <font>
      <u/>
      <sz val="9.0"/>
      <color rgb="FF1155CC"/>
      <name val="Arial"/>
    </font>
    <font>
      <u/>
      <sz val="9.0"/>
      <color rgb="FF0000FF"/>
      <name val="Arial"/>
    </font>
    <font>
      <sz val="9.0"/>
      <color rgb="FFFF00FF"/>
      <name val="&quot;Arial&quot;"/>
    </font>
    <font>
      <b/>
      <sz val="9.0"/>
      <color rgb="FFFF00FF"/>
      <name val="Helvetica"/>
    </font>
    <font>
      <u/>
      <sz val="9.0"/>
      <color rgb="FFFF00FF"/>
    </font>
    <font>
      <u/>
      <sz val="9.0"/>
      <color rgb="FFB7B7B7"/>
      <name val="Arial"/>
    </font>
    <font/>
    <font>
      <u/>
      <sz val="9.0"/>
      <color rgb="FFB7B7B7"/>
      <name val="Arial"/>
    </font>
    <font>
      <color rgb="FFB7B7B7"/>
      <name val="Arial"/>
    </font>
    <font>
      <u/>
      <color rgb="FFB7B7B7"/>
      <name val="Arial"/>
    </font>
    <font>
      <u/>
      <color rgb="FFB7B7B7"/>
      <name val="Arial"/>
    </font>
    <font>
      <color rgb="FFB7B7B7"/>
    </font>
    <font>
      <u/>
      <sz val="11.0"/>
      <color rgb="FFB7B7B7"/>
      <name val="Slack-Lato"/>
    </font>
    <font>
      <u/>
      <color rgb="FFB7B7B7"/>
      <name val="&quot;Google Sans&quot;"/>
    </font>
    <font>
      <color rgb="FFB7B7B7"/>
      <name val="&quot;Google Sans&quot;"/>
    </font>
    <font>
      <u/>
      <color rgb="FFB7B7B7"/>
      <name val="Arial"/>
    </font>
    <font>
      <name val="Arial"/>
    </font>
    <font>
      <u/>
      <color rgb="FFB7B7B7"/>
    </font>
    <font>
      <b/>
      <sz val="9.0"/>
      <color rgb="FFCCCCCC"/>
      <name val="Arial"/>
    </font>
    <font>
      <u/>
      <sz val="9.0"/>
      <color rgb="FFFF00FF"/>
    </font>
    <font>
      <b/>
      <u/>
      <sz val="9.0"/>
      <color rgb="FFFF00FF"/>
      <name val="Arial"/>
    </font>
    <font>
      <u/>
      <sz val="9.0"/>
      <color rgb="FFFF00FF"/>
      <name val="Arial"/>
    </font>
    <font>
      <sz val="9.0"/>
      <color rgb="FFFF00FF"/>
      <name val="Roboto"/>
    </font>
    <font>
      <u/>
      <sz val="9.0"/>
      <color rgb="FFFF00FF"/>
      <name val="Arial"/>
    </font>
    <font>
      <sz val="9.0"/>
      <color rgb="FFFF00FF"/>
      <name val="Proxima_nova"/>
    </font>
    <font>
      <sz val="9.0"/>
      <color rgb="FFFF00FF"/>
      <name val="Arimo"/>
    </font>
    <font>
      <sz val="9.0"/>
    </font>
    <font>
      <u/>
      <sz val="9.0"/>
      <color rgb="FF1155CC"/>
      <name val="Arial"/>
    </font>
    <font>
      <u/>
      <sz val="9.0"/>
      <color rgb="FF1155CC"/>
      <name val="Arial"/>
    </font>
    <font>
      <u/>
      <sz val="9.0"/>
      <color rgb="FF1155CC"/>
      <name val="Arial"/>
    </font>
    <font>
      <u/>
      <sz val="9.0"/>
      <color rgb="FF1155CC"/>
      <name val="Arial"/>
    </font>
    <font>
      <u/>
      <sz val="9.0"/>
      <color rgb="FF1155CC"/>
      <name val="Arial"/>
    </font>
    <font>
      <b/>
      <u/>
      <sz val="9.0"/>
      <color rgb="FF000000"/>
      <name val="Arial"/>
    </font>
    <font>
      <u/>
      <sz val="9.0"/>
      <color rgb="FF1155CC"/>
      <name val="Arial"/>
    </font>
    <font>
      <u/>
      <sz val="9.0"/>
      <color rgb="FF0000FF"/>
    </font>
    <font>
      <u/>
      <sz val="9.0"/>
      <color rgb="FF1155CC"/>
      <name val="Arial"/>
    </font>
    <font>
      <u/>
      <sz val="9.0"/>
      <color rgb="FF1155CC"/>
      <name val="Arial"/>
    </font>
    <font>
      <u/>
      <sz val="9.0"/>
      <color rgb="FF1155CC"/>
      <name val="Arial"/>
    </font>
    <font>
      <u/>
      <sz val="9.0"/>
      <color rgb="FF0000FF"/>
      <name val="Arial"/>
    </font>
    <font>
      <u/>
      <sz val="9.0"/>
      <color rgb="FF0000FF"/>
      <name val="Arial"/>
    </font>
    <font>
      <u/>
      <color rgb="FF0000FF"/>
    </font>
    <font>
      <u/>
      <sz val="9.0"/>
      <color rgb="FF1155CC"/>
      <name val="Arial"/>
    </font>
    <font>
      <u/>
      <color rgb="FF0000FF"/>
    </font>
    <font>
      <u/>
      <sz val="9.0"/>
      <color rgb="FF1155CC"/>
      <name val="Arial"/>
    </font>
    <font>
      <b/>
      <sz val="9.0"/>
      <color rgb="FFB7B7B7"/>
      <name val="Arial"/>
    </font>
    <font>
      <sz val="9.0"/>
      <color rgb="FF999999"/>
      <name val="Arial"/>
    </font>
    <font>
      <u/>
      <color rgb="FF0000FF"/>
    </font>
    <font>
      <u/>
      <sz val="9.0"/>
      <color rgb="FF0000FF"/>
    </font>
    <font>
      <u/>
      <sz val="9.0"/>
      <color rgb="FF0000FF"/>
      <name val="Arial"/>
    </font>
    <font>
      <u/>
      <sz val="9.0"/>
      <color rgb="FF0000FF"/>
      <name val="Arial"/>
    </font>
    <font>
      <u/>
      <sz val="9.0"/>
      <color rgb="FF1155CC"/>
      <name val="Arial"/>
    </font>
    <font>
      <u/>
      <sz val="9.0"/>
      <color rgb="FF1155CC"/>
      <name val="Arial"/>
    </font>
    <font>
      <u/>
      <sz val="9.0"/>
      <color rgb="FF1155CC"/>
      <name val="Arial"/>
    </font>
    <font>
      <b/>
      <sz val="9.0"/>
    </font>
    <font>
      <b/>
      <sz val="9.0"/>
      <name val="Helvetica neue"/>
    </font>
    <font>
      <u/>
      <sz val="9.0"/>
      <color rgb="FF0000FF"/>
    </font>
    <font>
      <u/>
      <sz val="9.0"/>
      <color rgb="FF0000FF"/>
    </font>
    <font>
      <b/>
      <u/>
      <sz val="9.0"/>
      <color rgb="FF0000FF"/>
    </font>
    <font>
      <u/>
      <sz val="9.0"/>
      <color rgb="FF0000FF"/>
    </font>
    <font>
      <sz val="9.0"/>
      <color rgb="FFB7B7B7"/>
    </font>
    <font>
      <u/>
      <sz val="9.0"/>
      <color rgb="FF0000FF"/>
    </font>
    <font>
      <sz val="9.0"/>
      <color rgb="FF666666"/>
    </font>
    <font>
      <u/>
      <color rgb="FF0000FF"/>
    </font>
    <font>
      <u/>
      <sz val="9.0"/>
      <color rgb="FF0000FF"/>
    </font>
    <font>
      <u/>
      <sz val="9.0"/>
      <color rgb="FF0000FF"/>
    </font>
    <font>
      <u/>
      <sz val="9.0"/>
      <color rgb="FF000000"/>
    </font>
    <font>
      <b/>
      <u/>
      <sz val="9.0"/>
      <color rgb="FF0000FF"/>
    </font>
    <font>
      <sz val="9.0"/>
      <color rgb="FF222222"/>
      <name val="Arial"/>
    </font>
    <font>
      <u/>
      <sz val="9.0"/>
      <color rgb="FF000000"/>
      <name val="Arial"/>
    </font>
    <font>
      <sz val="8.0"/>
    </font>
    <font>
      <sz val="9.0"/>
      <color rgb="FF0000FF"/>
    </font>
    <font>
      <sz val="10.0"/>
      <color rgb="FF0000FF"/>
    </font>
    <font>
      <sz val="9.0"/>
      <color rgb="FF999999"/>
    </font>
    <font>
      <b/>
      <sz val="9.0"/>
      <color rgb="FFB7B7B7"/>
    </font>
    <font>
      <b/>
      <sz val="9.0"/>
      <color rgb="FF010000"/>
      <name val="Helvetica neue"/>
    </font>
    <font>
      <b/>
      <sz val="9.0"/>
      <color rgb="FF000000"/>
      <name val="Helvetica neue"/>
    </font>
    <font>
      <b/>
      <sz val="9.0"/>
      <color rgb="FFCCCCCC"/>
    </font>
    <font>
      <sz val="9.0"/>
      <color rgb="FFCCCCCC"/>
    </font>
    <font>
      <sz val="9.0"/>
      <color rgb="FF969696"/>
    </font>
    <font>
      <u/>
      <sz val="9.0"/>
      <color rgb="FF0000FF"/>
    </font>
    <font>
      <u/>
      <sz val="9.0"/>
      <color rgb="FF0000FF"/>
    </font>
    <font>
      <b/>
      <sz val="10.0"/>
    </font>
    <font>
      <sz val="10.0"/>
      <color rgb="FFB7B7B7"/>
    </font>
    <font>
      <b/>
      <sz val="10.0"/>
      <color rgb="FFB7B7B7"/>
    </font>
    <font>
      <u/>
      <sz val="10.0"/>
      <color rgb="FF0000FF"/>
    </font>
    <font>
      <u/>
      <sz val="10.0"/>
      <color rgb="FF0000FF"/>
    </font>
    <font>
      <u/>
      <color rgb="FF0000FF"/>
    </font>
    <font>
      <sz val="10.0"/>
      <color rgb="FF000000"/>
    </font>
    <font>
      <sz val="10.0"/>
      <color rgb="FF6AA84F"/>
    </font>
    <font>
      <sz val="10.0"/>
      <color rgb="FF999999"/>
    </font>
  </fonts>
  <fills count="14">
    <fill>
      <patternFill patternType="none"/>
    </fill>
    <fill>
      <patternFill patternType="lightGray"/>
    </fill>
    <fill>
      <patternFill patternType="solid">
        <fgColor rgb="FFFFFFFF"/>
        <bgColor rgb="FFFFFFFF"/>
      </patternFill>
    </fill>
    <fill>
      <patternFill patternType="solid">
        <fgColor rgb="FFF7F7F8"/>
        <bgColor rgb="FFF7F7F8"/>
      </patternFill>
    </fill>
    <fill>
      <patternFill patternType="solid">
        <fgColor rgb="FFFBFBFB"/>
        <bgColor rgb="FFFBFBFB"/>
      </patternFill>
    </fill>
    <fill>
      <patternFill patternType="solid">
        <fgColor rgb="FFF0F1F2"/>
        <bgColor rgb="FFF0F1F2"/>
      </patternFill>
    </fill>
    <fill>
      <patternFill patternType="solid">
        <fgColor rgb="FFF8F8F8"/>
        <bgColor rgb="FFF8F8F8"/>
      </patternFill>
    </fill>
    <fill>
      <patternFill patternType="solid">
        <fgColor rgb="FFEFF1F2"/>
        <bgColor rgb="FFEFF1F2"/>
      </patternFill>
    </fill>
    <fill>
      <patternFill patternType="solid">
        <fgColor rgb="FFFFF2CC"/>
        <bgColor rgb="FFFFF2CC"/>
      </patternFill>
    </fill>
    <fill>
      <patternFill patternType="solid">
        <fgColor rgb="FFE6B8AF"/>
        <bgColor rgb="FFE6B8AF"/>
      </patternFill>
    </fill>
    <fill>
      <patternFill patternType="solid">
        <fgColor rgb="FFD9D9D9"/>
        <bgColor rgb="FFD9D9D9"/>
      </patternFill>
    </fill>
    <fill>
      <patternFill patternType="solid">
        <fgColor rgb="FF666666"/>
        <bgColor rgb="FF666666"/>
      </patternFill>
    </fill>
    <fill>
      <patternFill patternType="solid">
        <fgColor rgb="FFB7B7B7"/>
        <bgColor rgb="FFB7B7B7"/>
      </patternFill>
    </fill>
    <fill>
      <patternFill patternType="solid">
        <fgColor rgb="FFD9EAD3"/>
        <bgColor rgb="FFD9EAD3"/>
      </patternFill>
    </fill>
  </fills>
  <borders count="5">
    <border/>
    <border>
      <left style="thin">
        <color rgb="FF000000"/>
      </left>
    </border>
    <border>
      <bottom style="thin">
        <color rgb="FF000000"/>
      </bottom>
    </border>
    <border>
      <right style="thin">
        <color rgb="FF000000"/>
      </right>
    </border>
    <border>
      <left style="thin">
        <color rgb="FF000000"/>
      </left>
      <right style="thin">
        <color rgb="FF000000"/>
      </right>
    </border>
  </borders>
  <cellStyleXfs count="1">
    <xf borderId="0" fillId="0" fontId="0" numFmtId="0" applyAlignment="1" applyFont="1"/>
  </cellStyleXfs>
  <cellXfs count="695">
    <xf borderId="0" fillId="0" fontId="0" numFmtId="0" xfId="0" applyAlignment="1" applyFont="1">
      <alignment readingOrder="0" shrinkToFit="0" vertical="bottom" wrapText="1"/>
    </xf>
    <xf borderId="0" fillId="2" fontId="1" numFmtId="0" xfId="0" applyAlignment="1" applyFill="1" applyFont="1">
      <alignment horizontal="left" readingOrder="0" shrinkToFit="0" vertical="top" wrapText="1"/>
    </xf>
    <xf borderId="0" fillId="2" fontId="1" numFmtId="0" xfId="0" applyAlignment="1" applyFont="1">
      <alignment readingOrder="0" shrinkToFit="0" vertical="top" wrapText="1"/>
    </xf>
    <xf borderId="0" fillId="2" fontId="1" numFmtId="3" xfId="0" applyAlignment="1" applyFont="1" applyNumberFormat="1">
      <alignment horizontal="left" readingOrder="0" shrinkToFit="0" vertical="top" wrapText="1"/>
    </xf>
    <xf borderId="0" fillId="2" fontId="1" numFmtId="0" xfId="0" applyAlignment="1" applyFont="1">
      <alignment horizontal="right" readingOrder="0" shrinkToFit="0" vertical="top" wrapText="1"/>
    </xf>
    <xf borderId="0" fillId="2" fontId="1" numFmtId="164" xfId="0" applyAlignment="1" applyFont="1" applyNumberFormat="1">
      <alignment horizontal="left" readingOrder="0" shrinkToFit="0" vertical="top" wrapText="1"/>
    </xf>
    <xf borderId="0" fillId="2" fontId="1" numFmtId="0" xfId="0" applyAlignment="1" applyFont="1">
      <alignment horizontal="center" readingOrder="0" shrinkToFit="0" vertical="top" wrapText="1"/>
    </xf>
    <xf borderId="0" fillId="2" fontId="1" numFmtId="0" xfId="0" applyAlignment="1" applyFont="1">
      <alignment readingOrder="0" shrinkToFit="0" vertical="top" wrapText="1"/>
    </xf>
    <xf borderId="0" fillId="2" fontId="1" numFmtId="0" xfId="0" applyAlignment="1" applyFont="1">
      <alignment shrinkToFit="0" vertical="top" wrapText="1"/>
    </xf>
    <xf borderId="0" fillId="2" fontId="1" numFmtId="0" xfId="0" applyAlignment="1" applyFont="1">
      <alignment readingOrder="0" shrinkToFit="0" vertical="top" wrapText="0"/>
    </xf>
    <xf borderId="0" fillId="2" fontId="1" numFmtId="0" xfId="0" applyAlignment="1" applyFont="1">
      <alignment readingOrder="0" shrinkToFit="0" vertical="top" wrapText="0"/>
    </xf>
    <xf borderId="0" fillId="2" fontId="2" numFmtId="0" xfId="0" applyAlignment="1" applyFont="1">
      <alignment horizontal="left" readingOrder="0" shrinkToFit="0" vertical="top" wrapText="1"/>
    </xf>
    <xf borderId="0" fillId="2" fontId="3" numFmtId="0" xfId="0" applyAlignment="1" applyFont="1">
      <alignment shrinkToFit="0" vertical="top" wrapText="1"/>
    </xf>
    <xf borderId="0" fillId="2" fontId="3" numFmtId="3" xfId="0" applyAlignment="1" applyFont="1" applyNumberFormat="1">
      <alignment horizontal="left" readingOrder="0" shrinkToFit="0" vertical="top" wrapText="1"/>
    </xf>
    <xf borderId="0" fillId="2" fontId="3" numFmtId="0" xfId="0" applyAlignment="1" applyFont="1">
      <alignment horizontal="right" readingOrder="0" shrinkToFit="0" vertical="top" wrapText="1"/>
    </xf>
    <xf borderId="0" fillId="2" fontId="3" numFmtId="164" xfId="0" applyAlignment="1" applyFont="1" applyNumberFormat="1">
      <alignment horizontal="left" readingOrder="0" shrinkToFit="0" vertical="top" wrapText="1"/>
    </xf>
    <xf borderId="0" fillId="2" fontId="3" numFmtId="0" xfId="0" applyAlignment="1" applyFont="1">
      <alignment readingOrder="0" shrinkToFit="0" vertical="top" wrapText="1"/>
    </xf>
    <xf borderId="0" fillId="2" fontId="3" numFmtId="3" xfId="0" applyAlignment="1" applyFont="1" applyNumberFormat="1">
      <alignment horizontal="right" readingOrder="0" shrinkToFit="0" vertical="top" wrapText="1"/>
    </xf>
    <xf borderId="0" fillId="2" fontId="4" numFmtId="3" xfId="0" applyAlignment="1" applyFont="1" applyNumberFormat="1">
      <alignment horizontal="right" readingOrder="0" shrinkToFit="0" vertical="top" wrapText="1"/>
    </xf>
    <xf borderId="0" fillId="2" fontId="5" numFmtId="0" xfId="0" applyAlignment="1" applyFont="1">
      <alignment shrinkToFit="0" vertical="top" wrapText="0"/>
    </xf>
    <xf borderId="0" fillId="2" fontId="6" numFmtId="0" xfId="0" applyAlignment="1" applyFont="1">
      <alignment horizontal="left" readingOrder="0" shrinkToFit="0" vertical="top" wrapText="1"/>
    </xf>
    <xf borderId="0" fillId="2" fontId="7" numFmtId="0" xfId="0" applyAlignment="1" applyFont="1">
      <alignment shrinkToFit="0" vertical="top" wrapText="1"/>
    </xf>
    <xf borderId="0" fillId="2" fontId="4" numFmtId="3" xfId="0" applyAlignment="1" applyFont="1" applyNumberFormat="1">
      <alignment horizontal="left" readingOrder="0" shrinkToFit="0" vertical="top" wrapText="1"/>
    </xf>
    <xf borderId="0" fillId="2" fontId="4" numFmtId="0" xfId="0" applyAlignment="1" applyFont="1">
      <alignment horizontal="right" readingOrder="0" shrinkToFit="0" vertical="top" wrapText="1"/>
    </xf>
    <xf borderId="0" fillId="2" fontId="4" numFmtId="165" xfId="0" applyAlignment="1" applyFont="1" applyNumberFormat="1">
      <alignment horizontal="left" readingOrder="0" shrinkToFit="0" vertical="top" wrapText="1"/>
    </xf>
    <xf borderId="0" fillId="0" fontId="7" numFmtId="0" xfId="0" applyAlignment="1" applyFont="1">
      <alignment readingOrder="0" shrinkToFit="0" wrapText="1"/>
    </xf>
    <xf borderId="0" fillId="2" fontId="4" numFmtId="0" xfId="0" applyAlignment="1" applyFont="1">
      <alignment horizontal="left" readingOrder="0" shrinkToFit="0" vertical="top" wrapText="1"/>
    </xf>
    <xf borderId="0" fillId="2" fontId="4" numFmtId="3" xfId="0" applyAlignment="1" applyFont="1" applyNumberFormat="1">
      <alignment horizontal="right" readingOrder="0" shrinkToFit="0" vertical="top" wrapText="1"/>
    </xf>
    <xf borderId="0" fillId="2" fontId="4" numFmtId="0" xfId="0" applyAlignment="1" applyFont="1">
      <alignment horizontal="left" shrinkToFit="0" vertical="top" wrapText="1"/>
    </xf>
    <xf borderId="0" fillId="2" fontId="4" numFmtId="0" xfId="0" applyAlignment="1" applyFont="1">
      <alignment readingOrder="0" shrinkToFit="0" vertical="top" wrapText="1"/>
    </xf>
    <xf borderId="0" fillId="2" fontId="8" numFmtId="0" xfId="0" applyAlignment="1" applyFont="1">
      <alignment horizontal="left" readingOrder="0" shrinkToFit="0" vertical="top" wrapText="0"/>
    </xf>
    <xf borderId="0" fillId="2" fontId="4" numFmtId="0" xfId="0" applyAlignment="1" applyFont="1">
      <alignment horizontal="left" readingOrder="0" shrinkToFit="0" vertical="top" wrapText="0"/>
    </xf>
    <xf borderId="0" fillId="2" fontId="4" numFmtId="0" xfId="0" applyAlignment="1" applyFont="1">
      <alignment horizontal="left" readingOrder="0" shrinkToFit="0" vertical="top" wrapText="0"/>
    </xf>
    <xf borderId="0" fillId="2" fontId="4" numFmtId="166" xfId="0" applyAlignment="1" applyFont="1" applyNumberFormat="1">
      <alignment horizontal="left" readingOrder="0" shrinkToFit="0" vertical="top" wrapText="1"/>
    </xf>
    <xf borderId="0" fillId="2" fontId="4" numFmtId="0" xfId="0" applyAlignment="1" applyFont="1">
      <alignment readingOrder="0" shrinkToFit="0" vertical="top" wrapText="1"/>
    </xf>
    <xf borderId="0" fillId="2" fontId="9" numFmtId="0" xfId="0" applyAlignment="1" applyFont="1">
      <alignment horizontal="left" readingOrder="0" shrinkToFit="0" vertical="top" wrapText="0"/>
    </xf>
    <xf borderId="0" fillId="0" fontId="4" numFmtId="0" xfId="0" applyAlignment="1" applyFont="1">
      <alignment readingOrder="0" shrinkToFit="0" wrapText="1"/>
    </xf>
    <xf borderId="0" fillId="0" fontId="7" numFmtId="0" xfId="0" applyAlignment="1" applyFont="1">
      <alignment readingOrder="0" shrinkToFit="0" vertical="top" wrapText="1"/>
    </xf>
    <xf borderId="0" fillId="2" fontId="10" numFmtId="0" xfId="0" applyAlignment="1" applyFont="1">
      <alignment readingOrder="0" shrinkToFit="0" vertical="top" wrapText="1"/>
    </xf>
    <xf borderId="0" fillId="0" fontId="11" numFmtId="0" xfId="0" applyAlignment="1" applyFont="1">
      <alignment readingOrder="0" shrinkToFit="0" vertical="top" wrapText="1"/>
    </xf>
    <xf borderId="0" fillId="2" fontId="7" numFmtId="0" xfId="0" applyAlignment="1" applyFont="1">
      <alignment readingOrder="0" shrinkToFit="0" vertical="top" wrapText="1"/>
    </xf>
    <xf borderId="0" fillId="0" fontId="12" numFmtId="0" xfId="0" applyAlignment="1" applyFont="1">
      <alignment readingOrder="0" shrinkToFit="0" vertical="top" wrapText="1"/>
    </xf>
    <xf borderId="0" fillId="2" fontId="4" numFmtId="167" xfId="0" applyAlignment="1" applyFont="1" applyNumberFormat="1">
      <alignment horizontal="left" readingOrder="0" shrinkToFit="0" vertical="top" wrapText="1"/>
    </xf>
    <xf borderId="0" fillId="0" fontId="13" numFmtId="0" xfId="0" applyAlignment="1" applyFont="1">
      <alignment readingOrder="0" shrinkToFit="0" vertical="top" wrapText="1"/>
    </xf>
    <xf borderId="0" fillId="2" fontId="14" numFmtId="0" xfId="0" applyAlignment="1" applyFont="1">
      <alignment horizontal="left" readingOrder="0" shrinkToFit="0" vertical="top" wrapText="1"/>
    </xf>
    <xf borderId="0" fillId="2" fontId="4" numFmtId="0" xfId="0" applyAlignment="1" applyFont="1">
      <alignment horizontal="left" readingOrder="0" shrinkToFit="0" vertical="top" wrapText="0"/>
    </xf>
    <xf borderId="0" fillId="0" fontId="15" numFmtId="0" xfId="0" applyAlignment="1" applyFont="1">
      <alignment readingOrder="0" shrinkToFit="0" vertical="top" wrapText="1"/>
    </xf>
    <xf borderId="0" fillId="2" fontId="6" numFmtId="3" xfId="0" applyAlignment="1" applyFont="1" applyNumberFormat="1">
      <alignment readingOrder="0" shrinkToFit="0" vertical="top" wrapText="1"/>
    </xf>
    <xf borderId="0" fillId="2" fontId="16" numFmtId="0" xfId="0" applyAlignment="1" applyFont="1">
      <alignment readingOrder="0" shrinkToFit="0" vertical="top" wrapText="1"/>
    </xf>
    <xf borderId="0" fillId="3" fontId="10" numFmtId="0" xfId="0" applyAlignment="1" applyFill="1" applyFont="1">
      <alignment readingOrder="0" shrinkToFit="0" vertical="top" wrapText="1"/>
    </xf>
    <xf borderId="0" fillId="2" fontId="4" numFmtId="0" xfId="0" applyAlignment="1" applyFont="1">
      <alignment horizontal="left" readingOrder="0" shrinkToFit="0" vertical="top" wrapText="1"/>
    </xf>
    <xf borderId="0" fillId="2" fontId="6" numFmtId="3" xfId="0" applyAlignment="1" applyFont="1" applyNumberFormat="1">
      <alignment shrinkToFit="0" vertical="top" wrapText="1"/>
    </xf>
    <xf borderId="0" fillId="2" fontId="6" numFmtId="0" xfId="0" applyAlignment="1" applyFont="1">
      <alignment readingOrder="0" shrinkToFit="0" vertical="top" wrapText="1"/>
    </xf>
    <xf borderId="0" fillId="2" fontId="4" numFmtId="0" xfId="0" applyAlignment="1" applyFont="1">
      <alignment shrinkToFit="0" vertical="top" wrapText="1"/>
    </xf>
    <xf borderId="0" fillId="2" fontId="4" numFmtId="165" xfId="0" applyAlignment="1" applyFont="1" applyNumberFormat="1">
      <alignment horizontal="left" readingOrder="0" shrinkToFit="0" vertical="top" wrapText="1"/>
    </xf>
    <xf borderId="0" fillId="2" fontId="17" numFmtId="0" xfId="0" applyAlignment="1" applyFont="1">
      <alignment readingOrder="0" shrinkToFit="0" vertical="top" wrapText="1"/>
    </xf>
    <xf borderId="0" fillId="2" fontId="18" numFmtId="0" xfId="0" applyAlignment="1" applyFont="1">
      <alignment readingOrder="0" shrinkToFit="0" vertical="top" wrapText="1"/>
    </xf>
    <xf borderId="0" fillId="2" fontId="4" numFmtId="0" xfId="0" applyAlignment="1" applyFont="1">
      <alignment horizontal="right" shrinkToFit="0" vertical="top" wrapText="1"/>
    </xf>
    <xf borderId="0" fillId="2" fontId="4" numFmtId="0" xfId="0" applyAlignment="1" applyFont="1">
      <alignment readingOrder="0" shrinkToFit="0" vertical="top" wrapText="1"/>
    </xf>
    <xf borderId="0" fillId="2" fontId="19" numFmtId="0" xfId="0" applyAlignment="1" applyFont="1">
      <alignment horizontal="left" readingOrder="0" shrinkToFit="0" vertical="top" wrapText="0"/>
    </xf>
    <xf borderId="0" fillId="2" fontId="20" numFmtId="0" xfId="0" applyAlignment="1" applyFont="1">
      <alignment horizontal="left" readingOrder="0" shrinkToFit="0" vertical="top" wrapText="1"/>
    </xf>
    <xf borderId="0" fillId="2" fontId="4" numFmtId="0" xfId="0" applyAlignment="1" applyFont="1">
      <alignment horizontal="left" readingOrder="0" shrinkToFit="0" vertical="top" wrapText="1"/>
    </xf>
    <xf borderId="0" fillId="4" fontId="6" numFmtId="0" xfId="0" applyAlignment="1" applyFill="1" applyFont="1">
      <alignment horizontal="left" readingOrder="0" shrinkToFit="0" vertical="top" wrapText="1"/>
    </xf>
    <xf borderId="0" fillId="4" fontId="6" numFmtId="3" xfId="0" applyAlignment="1" applyFont="1" applyNumberFormat="1">
      <alignment readingOrder="0" shrinkToFit="0" vertical="top" wrapText="1"/>
    </xf>
    <xf borderId="0" fillId="4" fontId="4" numFmtId="3" xfId="0" applyAlignment="1" applyFont="1" applyNumberFormat="1">
      <alignment horizontal="left" readingOrder="0" shrinkToFit="0" vertical="top" wrapText="1"/>
    </xf>
    <xf borderId="0" fillId="4" fontId="4" numFmtId="0" xfId="0" applyAlignment="1" applyFont="1">
      <alignment horizontal="right" readingOrder="0" shrinkToFit="0" vertical="top" wrapText="1"/>
    </xf>
    <xf borderId="0" fillId="4" fontId="4" numFmtId="168" xfId="0" applyAlignment="1" applyFont="1" applyNumberFormat="1">
      <alignment horizontal="left" readingOrder="0" shrinkToFit="0" vertical="top" wrapText="1"/>
    </xf>
    <xf borderId="0" fillId="2" fontId="21" numFmtId="0" xfId="0" applyAlignment="1" applyFont="1">
      <alignment readingOrder="0" shrinkToFit="0" vertical="top" wrapText="1"/>
    </xf>
    <xf borderId="0" fillId="4" fontId="4" numFmtId="0" xfId="0" applyAlignment="1" applyFont="1">
      <alignment horizontal="left" readingOrder="0" shrinkToFit="0" vertical="top" wrapText="1"/>
    </xf>
    <xf borderId="0" fillId="4" fontId="4" numFmtId="3" xfId="0" applyAlignment="1" applyFont="1" applyNumberFormat="1">
      <alignment horizontal="right" readingOrder="0" shrinkToFit="0" vertical="top" wrapText="1"/>
    </xf>
    <xf borderId="0" fillId="4" fontId="4" numFmtId="0" xfId="0" applyAlignment="1" applyFont="1">
      <alignment horizontal="left" shrinkToFit="0" vertical="top" wrapText="1"/>
    </xf>
    <xf borderId="0" fillId="4" fontId="4" numFmtId="0" xfId="0" applyAlignment="1" applyFont="1">
      <alignment readingOrder="0" shrinkToFit="0" vertical="top" wrapText="1"/>
    </xf>
    <xf borderId="0" fillId="4" fontId="22" numFmtId="0" xfId="0" applyAlignment="1" applyFont="1">
      <alignment readingOrder="0" shrinkToFit="0" vertical="top" wrapText="1"/>
    </xf>
    <xf borderId="0" fillId="4" fontId="4" numFmtId="0" xfId="0" applyAlignment="1" applyFont="1">
      <alignment horizontal="left" readingOrder="0" shrinkToFit="0" vertical="top" wrapText="0"/>
    </xf>
    <xf borderId="0" fillId="4" fontId="4" numFmtId="0" xfId="0" applyAlignment="1" applyFont="1">
      <alignment horizontal="left" readingOrder="0" shrinkToFit="0" vertical="top" wrapText="0"/>
    </xf>
    <xf borderId="0" fillId="2" fontId="23" numFmtId="0" xfId="0" applyAlignment="1" applyFont="1">
      <alignment readingOrder="0" shrinkToFit="0" wrapText="1"/>
    </xf>
    <xf borderId="0" fillId="5" fontId="4" numFmtId="0" xfId="0" applyAlignment="1" applyFill="1" applyFont="1">
      <alignment readingOrder="0" shrinkToFit="0" vertical="top" wrapText="1"/>
    </xf>
    <xf borderId="0" fillId="4" fontId="24" numFmtId="3" xfId="0" applyAlignment="1" applyFont="1" applyNumberFormat="1">
      <alignment readingOrder="0" shrinkToFit="0" vertical="top" wrapText="1"/>
    </xf>
    <xf borderId="0" fillId="4" fontId="4" numFmtId="3" xfId="0" applyAlignment="1" applyFont="1" applyNumberFormat="1">
      <alignment readingOrder="0" shrinkToFit="0" vertical="top" wrapText="1"/>
    </xf>
    <xf borderId="0" fillId="0" fontId="7" numFmtId="0" xfId="0" applyAlignment="1" applyFont="1">
      <alignment shrinkToFit="0" vertical="top" wrapText="1"/>
    </xf>
    <xf borderId="0" fillId="4" fontId="25" numFmtId="0" xfId="0" applyAlignment="1" applyFont="1">
      <alignment readingOrder="0" shrinkToFit="0" vertical="top" wrapText="1"/>
    </xf>
    <xf borderId="0" fillId="4" fontId="26" numFmtId="0" xfId="0" applyAlignment="1" applyFont="1">
      <alignment readingOrder="0" shrinkToFit="0" vertical="top" wrapText="1"/>
    </xf>
    <xf borderId="0" fillId="2" fontId="27" numFmtId="0" xfId="0" applyAlignment="1" applyFont="1">
      <alignment readingOrder="0" shrinkToFit="0" vertical="top" wrapText="1"/>
    </xf>
    <xf borderId="0" fillId="4" fontId="28" numFmtId="0" xfId="0" applyAlignment="1" applyFont="1">
      <alignment readingOrder="0" shrinkToFit="0" vertical="top" wrapText="1"/>
    </xf>
    <xf borderId="0" fillId="2" fontId="4" numFmtId="0" xfId="0" applyAlignment="1" applyFont="1">
      <alignment readingOrder="0" shrinkToFit="0" vertical="top" wrapText="1"/>
    </xf>
    <xf borderId="0" fillId="4" fontId="21" numFmtId="0" xfId="0" applyAlignment="1" applyFont="1">
      <alignment readingOrder="0" shrinkToFit="0" vertical="top" wrapText="1"/>
    </xf>
    <xf borderId="0" fillId="4" fontId="4" numFmtId="164" xfId="0" applyAlignment="1" applyFont="1" applyNumberFormat="1">
      <alignment horizontal="left" readingOrder="0" shrinkToFit="0" vertical="top" wrapText="1"/>
    </xf>
    <xf borderId="0" fillId="0" fontId="29" numFmtId="3" xfId="0" applyAlignment="1" applyFont="1" applyNumberFormat="1">
      <alignment readingOrder="0" shrinkToFit="0" wrapText="1"/>
    </xf>
    <xf borderId="0" fillId="4" fontId="26" numFmtId="0" xfId="0" applyAlignment="1" applyFont="1">
      <alignment horizontal="left" readingOrder="0" shrinkToFit="0" vertical="top" wrapText="1"/>
    </xf>
    <xf borderId="0" fillId="2" fontId="4" numFmtId="0" xfId="0" applyAlignment="1" applyFont="1">
      <alignment horizontal="left" readingOrder="0" shrinkToFit="0" vertical="top" wrapText="1"/>
    </xf>
    <xf borderId="0" fillId="4" fontId="7" numFmtId="0" xfId="0" applyAlignment="1" applyFont="1">
      <alignment readingOrder="0" shrinkToFit="0" vertical="top" wrapText="1"/>
    </xf>
    <xf borderId="0" fillId="2" fontId="4" numFmtId="168" xfId="0" applyAlignment="1" applyFont="1" applyNumberFormat="1">
      <alignment horizontal="left" readingOrder="0" shrinkToFit="0" vertical="top" wrapText="1"/>
    </xf>
    <xf borderId="0" fillId="2" fontId="30" numFmtId="0" xfId="0" applyAlignment="1" applyFont="1">
      <alignment readingOrder="0" shrinkToFit="0" vertical="top" wrapText="1"/>
    </xf>
    <xf borderId="0" fillId="2" fontId="31" numFmtId="0" xfId="0" applyAlignment="1" applyFont="1">
      <alignment readingOrder="0" shrinkToFit="0" vertical="top" wrapText="1"/>
    </xf>
    <xf borderId="0" fillId="2" fontId="32" numFmtId="0" xfId="0" applyAlignment="1" applyFont="1">
      <alignment horizontal="left" readingOrder="0" shrinkToFit="0" vertical="top" wrapText="1"/>
    </xf>
    <xf borderId="0" fillId="2" fontId="33" numFmtId="0" xfId="0" applyAlignment="1" applyFont="1">
      <alignment readingOrder="0" shrinkToFit="0" vertical="top" wrapText="1"/>
    </xf>
    <xf borderId="0" fillId="2" fontId="34" numFmtId="0" xfId="0" applyAlignment="1" applyFont="1">
      <alignment readingOrder="0" shrinkToFit="0" vertical="top" wrapText="1"/>
    </xf>
    <xf borderId="0" fillId="2" fontId="35" numFmtId="0" xfId="0" applyAlignment="1" applyFont="1">
      <alignment readingOrder="0" shrinkToFit="0" vertical="top" wrapText="1"/>
    </xf>
    <xf borderId="0" fillId="2" fontId="4" numFmtId="3" xfId="0" applyAlignment="1" applyFont="1" applyNumberFormat="1">
      <alignment readingOrder="0" shrinkToFit="0" vertical="top" wrapText="1"/>
    </xf>
    <xf borderId="0" fillId="2" fontId="36" numFmtId="0" xfId="0" applyAlignment="1" applyFont="1">
      <alignment horizontal="left" readingOrder="0" shrinkToFit="0" vertical="top" wrapText="1"/>
    </xf>
    <xf borderId="0" fillId="2" fontId="37" numFmtId="0" xfId="0" applyAlignment="1" applyFont="1">
      <alignment readingOrder="0" shrinkToFit="0" vertical="top" wrapText="1"/>
    </xf>
    <xf borderId="0" fillId="2" fontId="4" numFmtId="164" xfId="0" applyAlignment="1" applyFont="1" applyNumberFormat="1">
      <alignment horizontal="left" readingOrder="0" shrinkToFit="0" vertical="top" wrapText="1"/>
    </xf>
    <xf borderId="0" fillId="2" fontId="38" numFmtId="0" xfId="0" applyAlignment="1" applyFont="1">
      <alignment readingOrder="0" shrinkToFit="0" vertical="top" wrapText="1"/>
    </xf>
    <xf borderId="0" fillId="2" fontId="6" numFmtId="0" xfId="0" applyAlignment="1" applyFont="1">
      <alignment horizontal="left" readingOrder="0" shrinkToFit="0" vertical="top" wrapText="1"/>
    </xf>
    <xf borderId="0" fillId="2" fontId="39" numFmtId="3" xfId="0" applyAlignment="1" applyFont="1" applyNumberFormat="1">
      <alignment readingOrder="0" shrinkToFit="0" vertical="top" wrapText="1"/>
    </xf>
    <xf borderId="0" fillId="2" fontId="39" numFmtId="0" xfId="0" applyAlignment="1" applyFont="1">
      <alignment readingOrder="0" shrinkToFit="0" vertical="top" wrapText="1"/>
    </xf>
    <xf borderId="0" fillId="2" fontId="40" numFmtId="0" xfId="0" applyAlignment="1" applyFont="1">
      <alignment horizontal="left" readingOrder="0" shrinkToFit="0" vertical="top" wrapText="0"/>
    </xf>
    <xf borderId="0" fillId="2" fontId="5" numFmtId="0" xfId="0" applyAlignment="1" applyFont="1">
      <alignment horizontal="left" readingOrder="0" shrinkToFit="0" vertical="top" wrapText="0"/>
    </xf>
    <xf borderId="0" fillId="2" fontId="4" numFmtId="164" xfId="0" applyAlignment="1" applyFont="1" applyNumberFormat="1">
      <alignment horizontal="left" readingOrder="0" shrinkToFit="0" vertical="top" wrapText="1"/>
    </xf>
    <xf borderId="0" fillId="2" fontId="5" numFmtId="0" xfId="0" applyAlignment="1" applyFont="1">
      <alignment horizontal="left" readingOrder="0" shrinkToFit="0" vertical="top" wrapText="0"/>
    </xf>
    <xf borderId="0" fillId="2" fontId="41" numFmtId="0" xfId="0" applyAlignment="1" applyFont="1">
      <alignment horizontal="left" shrinkToFit="0" vertical="top" wrapText="1"/>
    </xf>
    <xf borderId="0" fillId="2" fontId="4" numFmtId="3" xfId="0" applyAlignment="1" applyFont="1" applyNumberFormat="1">
      <alignment horizontal="left" readingOrder="0" shrinkToFit="0" vertical="top" wrapText="1"/>
    </xf>
    <xf borderId="0" fillId="2" fontId="4" numFmtId="0" xfId="0" applyAlignment="1" applyFont="1">
      <alignment shrinkToFit="0" vertical="top" wrapText="1"/>
    </xf>
    <xf borderId="0" fillId="2" fontId="5" numFmtId="0" xfId="0" applyAlignment="1" applyFont="1">
      <alignment horizontal="left" shrinkToFit="0" vertical="top" wrapText="0"/>
    </xf>
    <xf borderId="0" fillId="2" fontId="6" numFmtId="0" xfId="0" applyAlignment="1" applyFont="1">
      <alignment readingOrder="0" shrinkToFit="0" vertical="top" wrapText="1"/>
    </xf>
    <xf borderId="0" fillId="2" fontId="4" numFmtId="0" xfId="0" applyAlignment="1" applyFont="1">
      <alignment readingOrder="0" shrinkToFit="0" vertical="top" wrapText="1"/>
    </xf>
    <xf borderId="0" fillId="2" fontId="42" numFmtId="0" xfId="0" applyAlignment="1" applyFont="1">
      <alignment readingOrder="0" shrinkToFit="0" vertical="top" wrapText="0"/>
    </xf>
    <xf borderId="0" fillId="2" fontId="5" numFmtId="0" xfId="0" applyAlignment="1" applyFont="1">
      <alignment shrinkToFit="0" vertical="top" wrapText="1"/>
    </xf>
    <xf borderId="0" fillId="2" fontId="6" numFmtId="0" xfId="0" applyAlignment="1" applyFont="1">
      <alignment shrinkToFit="0" vertical="top" wrapText="1"/>
    </xf>
    <xf borderId="0" fillId="2" fontId="4" numFmtId="3" xfId="0" applyAlignment="1" applyFont="1" applyNumberFormat="1">
      <alignment horizontal="left" shrinkToFit="0" vertical="top" wrapText="1"/>
    </xf>
    <xf borderId="0" fillId="2" fontId="39" numFmtId="0" xfId="0" applyAlignment="1" applyFont="1">
      <alignment shrinkToFit="0" vertical="top" wrapText="1"/>
    </xf>
    <xf borderId="0" fillId="2" fontId="43" numFmtId="0" xfId="0" applyAlignment="1" applyFont="1">
      <alignment shrinkToFit="0" vertical="top" wrapText="0"/>
    </xf>
    <xf borderId="0" fillId="2" fontId="44" numFmtId="0" xfId="0" applyAlignment="1" applyFont="1">
      <alignment shrinkToFit="0" vertical="top" wrapText="0"/>
    </xf>
    <xf borderId="0" fillId="2" fontId="45" numFmtId="0" xfId="0" applyAlignment="1" applyFont="1">
      <alignment horizontal="left" shrinkToFit="0" vertical="top" wrapText="1"/>
    </xf>
    <xf borderId="0" fillId="2" fontId="4" numFmtId="0" xfId="0" applyAlignment="1" applyFont="1">
      <alignment horizontal="right" shrinkToFit="0" vertical="top" wrapText="1"/>
    </xf>
    <xf borderId="0" fillId="2" fontId="46" numFmtId="0" xfId="0" applyAlignment="1" applyFont="1">
      <alignment horizontal="left" readingOrder="0" shrinkToFit="0" vertical="top" wrapText="1"/>
    </xf>
    <xf borderId="0" fillId="2" fontId="47" numFmtId="0" xfId="0" applyAlignment="1" applyFont="1">
      <alignment readingOrder="0" shrinkToFit="0" vertical="top" wrapText="1"/>
    </xf>
    <xf borderId="0" fillId="2" fontId="39" numFmtId="0" xfId="0" applyAlignment="1" applyFont="1">
      <alignment shrinkToFit="0" vertical="top" wrapText="1"/>
    </xf>
    <xf borderId="0" fillId="2" fontId="39" numFmtId="3" xfId="0" applyAlignment="1" applyFont="1" applyNumberFormat="1">
      <alignment shrinkToFit="0" vertical="top" wrapText="1"/>
    </xf>
    <xf borderId="0" fillId="2" fontId="39" numFmtId="0" xfId="0" applyAlignment="1" applyFont="1">
      <alignment horizontal="right" readingOrder="0" shrinkToFit="0" vertical="top" wrapText="1"/>
    </xf>
    <xf borderId="0" fillId="2" fontId="4" numFmtId="0" xfId="0" applyAlignment="1" applyFont="1">
      <alignment horizontal="left" readingOrder="0" shrinkToFit="0" vertical="top" wrapText="1"/>
    </xf>
    <xf borderId="0" fillId="2" fontId="48" numFmtId="0" xfId="0" applyAlignment="1" applyFont="1">
      <alignment shrinkToFit="0" vertical="top" wrapText="1"/>
    </xf>
    <xf borderId="0" fillId="2" fontId="39" numFmtId="3" xfId="0" applyAlignment="1" applyFont="1" applyNumberFormat="1">
      <alignment shrinkToFit="0" vertical="top" wrapText="1"/>
    </xf>
    <xf borderId="0" fillId="2" fontId="39" numFmtId="3" xfId="0" applyAlignment="1" applyFont="1" applyNumberFormat="1">
      <alignment horizontal="left" shrinkToFit="0" vertical="top" wrapText="1"/>
    </xf>
    <xf borderId="0" fillId="2" fontId="39" numFmtId="164" xfId="0" applyAlignment="1" applyFont="1" applyNumberFormat="1">
      <alignment horizontal="left" readingOrder="0" shrinkToFit="0" vertical="top" wrapText="1"/>
    </xf>
    <xf borderId="0" fillId="2" fontId="49" numFmtId="0" xfId="0" applyAlignment="1" applyFont="1">
      <alignment readingOrder="0" shrinkToFit="0" vertical="top" wrapText="0"/>
    </xf>
    <xf borderId="0" fillId="2" fontId="5" numFmtId="0" xfId="0" applyAlignment="1" applyFont="1">
      <alignment readingOrder="0" shrinkToFit="0" vertical="top" wrapText="0"/>
    </xf>
    <xf borderId="0" fillId="2" fontId="6" numFmtId="0" xfId="0" applyAlignment="1" applyFont="1">
      <alignment horizontal="left" shrinkToFit="0" vertical="top" wrapText="1"/>
    </xf>
    <xf borderId="0" fillId="2" fontId="4" numFmtId="3" xfId="0" applyAlignment="1" applyFont="1" applyNumberFormat="1">
      <alignment horizontal="left" shrinkToFit="0" vertical="top" wrapText="1"/>
    </xf>
    <xf borderId="0" fillId="2" fontId="4" numFmtId="0" xfId="0" applyAlignment="1" applyFont="1">
      <alignment horizontal="left" shrinkToFit="0" vertical="top" wrapText="1"/>
    </xf>
    <xf borderId="0" fillId="2" fontId="5" numFmtId="0" xfId="0" applyAlignment="1" applyFont="1">
      <alignment shrinkToFit="0" vertical="top" wrapText="1"/>
    </xf>
    <xf borderId="0" fillId="2" fontId="6" numFmtId="0" xfId="0" applyAlignment="1" applyFont="1">
      <alignment shrinkToFit="0" vertical="top" wrapText="1"/>
    </xf>
    <xf borderId="0" fillId="2" fontId="4" numFmtId="3" xfId="0" applyAlignment="1" applyFont="1" applyNumberFormat="1">
      <alignment shrinkToFit="0" vertical="top" wrapText="1"/>
    </xf>
    <xf quotePrefix="1" borderId="0" fillId="2" fontId="4" numFmtId="0" xfId="0" applyAlignment="1" applyFont="1">
      <alignment horizontal="left" readingOrder="0" shrinkToFit="0" vertical="top" wrapText="1"/>
    </xf>
    <xf borderId="0" fillId="2" fontId="6" numFmtId="0" xfId="0" applyAlignment="1" applyFont="1">
      <alignment horizontal="left" shrinkToFit="0" vertical="top" wrapText="1"/>
    </xf>
    <xf borderId="0" fillId="2" fontId="6" numFmtId="0" xfId="0" applyAlignment="1" applyFont="1">
      <alignment horizontal="left" shrinkToFit="0" vertical="top" wrapText="1"/>
    </xf>
    <xf borderId="0" fillId="2" fontId="50" numFmtId="0" xfId="0" applyAlignment="1" applyFont="1">
      <alignment readingOrder="0" shrinkToFit="0" vertical="top" wrapText="1"/>
    </xf>
    <xf borderId="0" fillId="2" fontId="48" numFmtId="0" xfId="0" applyAlignment="1" applyFont="1">
      <alignment horizontal="left" readingOrder="0" shrinkToFit="0" vertical="top" wrapText="1"/>
    </xf>
    <xf borderId="0" fillId="2" fontId="39" numFmtId="3" xfId="0" applyAlignment="1" applyFont="1" applyNumberFormat="1">
      <alignment horizontal="left" readingOrder="0" shrinkToFit="0" vertical="top" wrapText="1"/>
    </xf>
    <xf borderId="0" fillId="2" fontId="39" numFmtId="3" xfId="0" applyAlignment="1" applyFont="1" applyNumberFormat="1">
      <alignment horizontal="left" readingOrder="0" shrinkToFit="0" vertical="top" wrapText="1"/>
    </xf>
    <xf borderId="0" fillId="2" fontId="39" numFmtId="0" xfId="0" applyAlignment="1" applyFont="1">
      <alignment horizontal="left" readingOrder="0" shrinkToFit="0" vertical="top" wrapText="1"/>
    </xf>
    <xf borderId="0" fillId="2" fontId="39" numFmtId="0" xfId="0" applyAlignment="1" applyFont="1">
      <alignment horizontal="left" shrinkToFit="0" vertical="top" wrapText="1"/>
    </xf>
    <xf borderId="0" fillId="2" fontId="51" numFmtId="0" xfId="0" applyAlignment="1" applyFont="1">
      <alignment horizontal="left" shrinkToFit="0" vertical="top" wrapText="0"/>
    </xf>
    <xf borderId="0" fillId="2" fontId="52" numFmtId="0" xfId="0" applyAlignment="1" applyFont="1">
      <alignment horizontal="left" shrinkToFit="0" vertical="top" wrapText="0"/>
    </xf>
    <xf borderId="0" fillId="2" fontId="4" numFmtId="0" xfId="0" applyAlignment="1" applyFont="1">
      <alignment horizontal="right" readingOrder="0" shrinkToFit="0" vertical="top" wrapText="1"/>
    </xf>
    <xf borderId="0" fillId="2" fontId="5" numFmtId="0" xfId="0" applyAlignment="1" applyFont="1">
      <alignment readingOrder="0" shrinkToFit="0" vertical="top" wrapText="0"/>
    </xf>
    <xf borderId="0" fillId="2" fontId="53" numFmtId="0" xfId="0" applyAlignment="1" applyFont="1">
      <alignment readingOrder="0" shrinkToFit="0" vertical="top" wrapText="1"/>
    </xf>
    <xf borderId="0" fillId="2" fontId="54" numFmtId="3" xfId="0" applyAlignment="1" applyFont="1" applyNumberFormat="1">
      <alignment horizontal="left" readingOrder="0" shrinkToFit="0" vertical="top" wrapText="1"/>
    </xf>
    <xf borderId="0" fillId="2" fontId="55" numFmtId="0" xfId="0" applyAlignment="1" applyFont="1">
      <alignment shrinkToFit="0" vertical="top" wrapText="1"/>
    </xf>
    <xf borderId="0" fillId="2" fontId="56" numFmtId="0" xfId="0" applyAlignment="1" applyFont="1">
      <alignment readingOrder="0" shrinkToFit="0" vertical="top" wrapText="1"/>
    </xf>
    <xf borderId="0" fillId="2" fontId="57" numFmtId="0" xfId="0" applyAlignment="1" applyFont="1">
      <alignment readingOrder="0" shrinkToFit="0" vertical="top" wrapText="1"/>
    </xf>
    <xf borderId="1" fillId="2" fontId="6" numFmtId="0" xfId="0" applyAlignment="1" applyBorder="1" applyFont="1">
      <alignment readingOrder="0" shrinkToFit="0" vertical="top" wrapText="1"/>
    </xf>
    <xf borderId="0" fillId="2" fontId="58" numFmtId="0" xfId="0" applyAlignment="1" applyFont="1">
      <alignment horizontal="left" readingOrder="0" shrinkToFit="0" vertical="top" wrapText="1"/>
    </xf>
    <xf borderId="1" fillId="2" fontId="6" numFmtId="0" xfId="0" applyAlignment="1" applyBorder="1" applyFont="1">
      <alignment horizontal="left" readingOrder="0" shrinkToFit="0" vertical="top" wrapText="1"/>
    </xf>
    <xf borderId="1" fillId="2" fontId="6" numFmtId="0" xfId="0" applyAlignment="1" applyBorder="1" applyFont="1">
      <alignment readingOrder="0" shrinkToFit="0" vertical="top" wrapText="1"/>
    </xf>
    <xf borderId="0" fillId="2" fontId="6" numFmtId="0" xfId="0" applyAlignment="1" applyFont="1">
      <alignment horizontal="left" readingOrder="0" shrinkToFit="0" vertical="top" wrapText="1"/>
    </xf>
    <xf borderId="0" fillId="2" fontId="59" numFmtId="0" xfId="0" applyAlignment="1" applyFont="1">
      <alignment horizontal="left" readingOrder="0" shrinkToFit="0" vertical="top" wrapText="0"/>
    </xf>
    <xf borderId="1" fillId="2" fontId="6" numFmtId="0" xfId="0" applyAlignment="1" applyBorder="1" applyFont="1">
      <alignment horizontal="left" readingOrder="0" shrinkToFit="0" vertical="top" wrapText="1"/>
    </xf>
    <xf borderId="2" fillId="2" fontId="6" numFmtId="0" xfId="0" applyAlignment="1" applyBorder="1" applyFont="1">
      <alignment horizontal="left" readingOrder="0" shrinkToFit="0" vertical="top" wrapText="1"/>
    </xf>
    <xf borderId="2" fillId="2" fontId="4" numFmtId="0" xfId="0" applyAlignment="1" applyBorder="1" applyFont="1">
      <alignment shrinkToFit="0" vertical="top" wrapText="1"/>
    </xf>
    <xf borderId="2" fillId="2" fontId="4" numFmtId="3" xfId="0" applyAlignment="1" applyBorder="1" applyFont="1" applyNumberFormat="1">
      <alignment horizontal="left" readingOrder="0" shrinkToFit="0" vertical="top" wrapText="1"/>
    </xf>
    <xf borderId="2" fillId="2" fontId="4" numFmtId="0" xfId="0" applyAlignment="1" applyBorder="1" applyFont="1">
      <alignment horizontal="right" readingOrder="0" shrinkToFit="0" vertical="top" wrapText="1"/>
    </xf>
    <xf borderId="2" fillId="2" fontId="4" numFmtId="164" xfId="0" applyAlignment="1" applyBorder="1" applyFont="1" applyNumberFormat="1">
      <alignment horizontal="left" readingOrder="0" shrinkToFit="0" vertical="top" wrapText="1"/>
    </xf>
    <xf borderId="2" fillId="2" fontId="4" numFmtId="0" xfId="0" applyAlignment="1" applyBorder="1" applyFont="1">
      <alignment horizontal="left" readingOrder="0" shrinkToFit="0" vertical="top" wrapText="1"/>
    </xf>
    <xf borderId="2" fillId="2" fontId="39" numFmtId="0" xfId="0" applyAlignment="1" applyBorder="1" applyFont="1">
      <alignment readingOrder="0" shrinkToFit="0" vertical="top" wrapText="1"/>
    </xf>
    <xf borderId="2" fillId="2" fontId="4" numFmtId="0" xfId="0" applyAlignment="1" applyBorder="1" applyFont="1">
      <alignment horizontal="left" readingOrder="0" shrinkToFit="0" vertical="top" wrapText="1"/>
    </xf>
    <xf borderId="2" fillId="2" fontId="4" numFmtId="0" xfId="0" applyAlignment="1" applyBorder="1" applyFont="1">
      <alignment horizontal="right" shrinkToFit="0" vertical="top" wrapText="1"/>
    </xf>
    <xf borderId="2" fillId="2" fontId="4" numFmtId="0" xfId="0" applyAlignment="1" applyBorder="1" applyFont="1">
      <alignment horizontal="left" shrinkToFit="0" vertical="top" wrapText="1"/>
    </xf>
    <xf borderId="2" fillId="2" fontId="60" numFmtId="0" xfId="0" applyAlignment="1" applyBorder="1" applyFont="1">
      <alignment horizontal="left" readingOrder="0" shrinkToFit="0" vertical="top" wrapText="0"/>
    </xf>
    <xf borderId="2" fillId="2" fontId="5" numFmtId="0" xfId="0" applyAlignment="1" applyBorder="1" applyFont="1">
      <alignment horizontal="left" shrinkToFit="0" vertical="top" wrapText="0"/>
    </xf>
    <xf borderId="0" fillId="2" fontId="61" numFmtId="3" xfId="0" applyAlignment="1" applyFont="1" applyNumberFormat="1">
      <alignment readingOrder="0" shrinkToFit="0" vertical="top" wrapText="1"/>
    </xf>
    <xf borderId="0" fillId="2" fontId="62" numFmtId="0" xfId="0" applyAlignment="1" applyFont="1">
      <alignment horizontal="left" readingOrder="0" shrinkToFit="0" vertical="top" wrapText="1"/>
    </xf>
    <xf borderId="0" fillId="2" fontId="4" numFmtId="49" xfId="0" applyAlignment="1" applyFont="1" applyNumberFormat="1">
      <alignment horizontal="right" readingOrder="0" shrinkToFit="0" vertical="top" wrapText="1"/>
    </xf>
    <xf borderId="0" fillId="2" fontId="63" numFmtId="164" xfId="0" applyAlignment="1" applyFont="1" applyNumberFormat="1">
      <alignment horizontal="left" readingOrder="0" shrinkToFit="0" vertical="top" wrapText="1"/>
    </xf>
    <xf borderId="0" fillId="2" fontId="63" numFmtId="0" xfId="0" applyAlignment="1" applyFont="1">
      <alignment readingOrder="0" shrinkToFit="0" vertical="top" wrapText="1"/>
    </xf>
    <xf borderId="0" fillId="2" fontId="64" numFmtId="49" xfId="0" applyAlignment="1" applyFont="1" applyNumberFormat="1">
      <alignment horizontal="left" readingOrder="0" shrinkToFit="0" vertical="top" wrapText="1"/>
    </xf>
    <xf borderId="0" fillId="2" fontId="65" numFmtId="0" xfId="0" applyAlignment="1" applyFont="1">
      <alignment readingOrder="0" shrinkToFit="0" vertical="top" wrapText="1"/>
    </xf>
    <xf borderId="0" fillId="2" fontId="66" numFmtId="0" xfId="0" applyAlignment="1" applyFont="1">
      <alignment shrinkToFit="0" vertical="top" wrapText="1"/>
    </xf>
    <xf borderId="0" fillId="2" fontId="66" numFmtId="3" xfId="0" applyAlignment="1" applyFont="1" applyNumberFormat="1">
      <alignment horizontal="left" readingOrder="0" shrinkToFit="0" vertical="top" wrapText="1"/>
    </xf>
    <xf borderId="0" fillId="2" fontId="67" numFmtId="0" xfId="0" applyAlignment="1" applyFont="1">
      <alignment horizontal="right" readingOrder="0" shrinkToFit="0" vertical="top" wrapText="1"/>
    </xf>
    <xf borderId="0" fillId="2" fontId="67" numFmtId="49" xfId="0" applyAlignment="1" applyFont="1" applyNumberFormat="1">
      <alignment horizontal="right" readingOrder="0" shrinkToFit="0" vertical="top" wrapText="1"/>
    </xf>
    <xf borderId="0" fillId="2" fontId="67" numFmtId="0" xfId="0" applyAlignment="1" applyFont="1">
      <alignment readingOrder="0" shrinkToFit="0" vertical="top" wrapText="1"/>
    </xf>
    <xf borderId="0" fillId="2" fontId="66" numFmtId="3" xfId="0" applyAlignment="1" applyFont="1" applyNumberFormat="1">
      <alignment shrinkToFit="0" vertical="top" wrapText="1"/>
    </xf>
    <xf borderId="0" fillId="2" fontId="66" numFmtId="0" xfId="0" applyAlignment="1" applyFont="1">
      <alignment shrinkToFit="0" vertical="top" wrapText="1"/>
    </xf>
    <xf borderId="0" fillId="2" fontId="68" numFmtId="0" xfId="0" applyAlignment="1" applyFont="1">
      <alignment readingOrder="0" shrinkToFit="0" vertical="top" wrapText="1"/>
    </xf>
    <xf borderId="0" fillId="2" fontId="67" numFmtId="3" xfId="0" applyAlignment="1" applyFont="1" applyNumberFormat="1">
      <alignment horizontal="left" readingOrder="0" shrinkToFit="0" vertical="top" wrapText="1"/>
    </xf>
    <xf borderId="0" fillId="2" fontId="66" numFmtId="0" xfId="0" applyAlignment="1" applyFont="1">
      <alignment readingOrder="0" shrinkToFit="0" vertical="top" wrapText="1"/>
    </xf>
    <xf borderId="0" fillId="2" fontId="66" numFmtId="3" xfId="0" applyAlignment="1" applyFont="1" applyNumberFormat="1">
      <alignment readingOrder="0" shrinkToFit="0" vertical="top" wrapText="1"/>
    </xf>
    <xf borderId="0" fillId="2" fontId="69" numFmtId="0" xfId="0" applyAlignment="1" applyFont="1">
      <alignment readingOrder="0" shrinkToFit="0" vertical="top" wrapText="1"/>
    </xf>
    <xf borderId="0" fillId="2" fontId="70" numFmtId="0" xfId="0" applyAlignment="1" applyFont="1">
      <alignment horizontal="left" readingOrder="0" shrinkToFit="0" vertical="top" wrapText="1"/>
    </xf>
    <xf borderId="0" fillId="2" fontId="71" numFmtId="0" xfId="0" applyAlignment="1" applyFont="1">
      <alignment readingOrder="0" shrinkToFit="0" vertical="top" wrapText="1"/>
    </xf>
    <xf borderId="0" fillId="2" fontId="72" numFmtId="3" xfId="0" applyAlignment="1" applyFont="1" applyNumberFormat="1">
      <alignment horizontal="left" readingOrder="0" shrinkToFit="0" vertical="top" wrapText="1"/>
    </xf>
    <xf borderId="0" fillId="2" fontId="72" numFmtId="0" xfId="0" applyAlignment="1" applyFont="1">
      <alignment horizontal="right" readingOrder="0" shrinkToFit="0" vertical="top" wrapText="1"/>
    </xf>
    <xf borderId="0" fillId="2" fontId="72" numFmtId="49" xfId="0" applyAlignment="1" applyFont="1" applyNumberFormat="1">
      <alignment horizontal="right" readingOrder="0" shrinkToFit="0" vertical="top" wrapText="1"/>
    </xf>
    <xf borderId="0" fillId="2" fontId="73" numFmtId="0" xfId="0" applyAlignment="1" applyFont="1">
      <alignment readingOrder="0" shrinkToFit="0" vertical="top" wrapText="1"/>
    </xf>
    <xf borderId="0" fillId="2" fontId="72" numFmtId="0" xfId="0" applyAlignment="1" applyFont="1">
      <alignment horizontal="left" readingOrder="0" shrinkToFit="0" vertical="top" wrapText="1"/>
    </xf>
    <xf borderId="0" fillId="2" fontId="72" numFmtId="3" xfId="0" applyAlignment="1" applyFont="1" applyNumberFormat="1">
      <alignment horizontal="right" readingOrder="0" shrinkToFit="0" vertical="top" wrapText="1"/>
    </xf>
    <xf borderId="0" fillId="2" fontId="72" numFmtId="0" xfId="0" applyAlignment="1" applyFont="1">
      <alignment horizontal="left" shrinkToFit="0" vertical="top" wrapText="1"/>
    </xf>
    <xf borderId="0" fillId="2" fontId="72" numFmtId="0" xfId="0" applyAlignment="1" applyFont="1">
      <alignment readingOrder="0" shrinkToFit="0" vertical="top" wrapText="1"/>
    </xf>
    <xf borderId="0" fillId="2" fontId="74" numFmtId="0" xfId="0" applyAlignment="1" applyFont="1">
      <alignment horizontal="left" readingOrder="0" shrinkToFit="0" vertical="top" wrapText="0"/>
    </xf>
    <xf borderId="0" fillId="2" fontId="72" numFmtId="0" xfId="0" applyAlignment="1" applyFont="1">
      <alignment horizontal="left" readingOrder="0" shrinkToFit="0" vertical="top" wrapText="0"/>
    </xf>
    <xf borderId="0" fillId="2" fontId="72" numFmtId="0" xfId="0" applyAlignment="1" applyFont="1">
      <alignment horizontal="right" readingOrder="0" shrinkToFit="0" vertical="top" wrapText="0"/>
    </xf>
    <xf borderId="0" fillId="0" fontId="75" numFmtId="0" xfId="0" applyAlignment="1" applyFont="1">
      <alignment readingOrder="0" shrinkToFit="0" vertical="top" wrapText="1"/>
    </xf>
    <xf borderId="0" fillId="2" fontId="76" numFmtId="0" xfId="0" applyAlignment="1" applyFont="1">
      <alignment readingOrder="0" shrinkToFit="0" vertical="top" wrapText="1"/>
    </xf>
    <xf borderId="0" fillId="2" fontId="77" numFmtId="3" xfId="0" applyAlignment="1" applyFont="1" applyNumberFormat="1">
      <alignment horizontal="left" readingOrder="0" shrinkToFit="0" vertical="top" wrapText="1"/>
    </xf>
    <xf borderId="0" fillId="2" fontId="77" numFmtId="0" xfId="0" applyAlignment="1" applyFont="1">
      <alignment horizontal="left" readingOrder="0" shrinkToFit="0" vertical="top" wrapText="1"/>
    </xf>
    <xf borderId="0" fillId="2" fontId="77" numFmtId="165" xfId="0" applyAlignment="1" applyFont="1" applyNumberFormat="1">
      <alignment horizontal="left" readingOrder="0" shrinkToFit="0" vertical="top" wrapText="1"/>
    </xf>
    <xf borderId="0" fillId="0" fontId="76" numFmtId="0" xfId="0" applyAlignment="1" applyFont="1">
      <alignment readingOrder="0" shrinkToFit="0" wrapText="1"/>
    </xf>
    <xf borderId="0" fillId="2" fontId="77" numFmtId="3" xfId="0" applyAlignment="1" applyFont="1" applyNumberFormat="1">
      <alignment horizontal="right" readingOrder="0" shrinkToFit="0" vertical="top" wrapText="1"/>
    </xf>
    <xf borderId="0" fillId="2" fontId="77" numFmtId="0" xfId="0" applyAlignment="1" applyFont="1">
      <alignment horizontal="left" shrinkToFit="0" vertical="top" wrapText="1"/>
    </xf>
    <xf borderId="0" fillId="2" fontId="77" numFmtId="0" xfId="0" applyAlignment="1" applyFont="1">
      <alignment readingOrder="0" shrinkToFit="0" vertical="top" wrapText="1"/>
    </xf>
    <xf borderId="0" fillId="2" fontId="78" numFmtId="0" xfId="0" applyAlignment="1" applyFont="1">
      <alignment horizontal="left" readingOrder="0" shrinkToFit="0" vertical="top" wrapText="0"/>
    </xf>
    <xf borderId="0" fillId="2" fontId="77" numFmtId="0" xfId="0" applyAlignment="1" applyFont="1">
      <alignment horizontal="left" readingOrder="0" shrinkToFit="0" vertical="top" wrapText="0"/>
    </xf>
    <xf borderId="0" fillId="2" fontId="77" numFmtId="0" xfId="0" applyAlignment="1" applyFont="1">
      <alignment horizontal="left" readingOrder="0" shrinkToFit="0" vertical="top" wrapText="0"/>
    </xf>
    <xf borderId="0" fillId="2" fontId="76" numFmtId="0" xfId="0" applyAlignment="1" applyFont="1">
      <alignment shrinkToFit="0" vertical="top" wrapText="1"/>
    </xf>
    <xf borderId="0" fillId="2" fontId="4" numFmtId="49" xfId="0" applyAlignment="1" applyFont="1" applyNumberFormat="1">
      <alignment horizontal="left" readingOrder="0" shrinkToFit="0" vertical="top" wrapText="1"/>
    </xf>
    <xf borderId="0" fillId="2" fontId="79" numFmtId="0" xfId="0" applyAlignment="1" applyFont="1">
      <alignment horizontal="left" readingOrder="0" shrinkToFit="0" vertical="top" wrapText="1"/>
    </xf>
    <xf borderId="0" fillId="2" fontId="80" numFmtId="0" xfId="0" applyAlignment="1" applyFont="1">
      <alignment readingOrder="0" shrinkToFit="0" vertical="top" wrapText="1"/>
    </xf>
    <xf borderId="0" fillId="2" fontId="81" numFmtId="0" xfId="0" applyAlignment="1" applyFont="1">
      <alignment horizontal="left" readingOrder="0" shrinkToFit="0" vertical="top" wrapText="1"/>
    </xf>
    <xf borderId="0" fillId="2" fontId="82" numFmtId="0" xfId="0" applyAlignment="1" applyFont="1">
      <alignment horizontal="left" readingOrder="0" shrinkToFit="0" vertical="top" wrapText="0"/>
    </xf>
    <xf borderId="0" fillId="2" fontId="39" numFmtId="0" xfId="0" applyAlignment="1" applyFont="1">
      <alignment horizontal="left" readingOrder="0" shrinkToFit="0" vertical="top" wrapText="0"/>
    </xf>
    <xf borderId="0" fillId="2" fontId="77" numFmtId="167" xfId="0" applyAlignment="1" applyFont="1" applyNumberFormat="1">
      <alignment horizontal="left" readingOrder="0" shrinkToFit="0" vertical="top" wrapText="1"/>
    </xf>
    <xf borderId="0" fillId="2" fontId="77" numFmtId="166" xfId="0" applyAlignment="1" applyFont="1" applyNumberFormat="1">
      <alignment horizontal="left" readingOrder="0" shrinkToFit="0" vertical="top" wrapText="1"/>
    </xf>
    <xf borderId="0" fillId="0" fontId="77" numFmtId="0" xfId="0" applyAlignment="1" applyFont="1">
      <alignment readingOrder="0" shrinkToFit="0" wrapText="1"/>
    </xf>
    <xf borderId="0" fillId="0" fontId="76" numFmtId="0" xfId="0" applyAlignment="1" applyFont="1">
      <alignment readingOrder="0" shrinkToFit="0" vertical="top" wrapText="1"/>
    </xf>
    <xf borderId="1" fillId="2" fontId="79" numFmtId="0" xfId="0" applyAlignment="1" applyBorder="1" applyFont="1">
      <alignment horizontal="left" readingOrder="0" shrinkToFit="0" vertical="top" wrapText="1"/>
    </xf>
    <xf borderId="1" fillId="2" fontId="6" numFmtId="0" xfId="0" applyAlignment="1" applyBorder="1" applyFont="1">
      <alignment horizontal="left" readingOrder="0" shrinkToFit="0" vertical="top" wrapText="1"/>
    </xf>
    <xf borderId="1" fillId="4" fontId="6" numFmtId="0" xfId="0" applyAlignment="1" applyBorder="1" applyFont="1">
      <alignment horizontal="left" readingOrder="0" shrinkToFit="0" vertical="top" wrapText="1"/>
    </xf>
    <xf borderId="1" fillId="2" fontId="6" numFmtId="0" xfId="0" applyAlignment="1" applyBorder="1" applyFont="1">
      <alignment shrinkToFit="0" vertical="top" wrapText="1"/>
    </xf>
    <xf borderId="2" fillId="2" fontId="6" numFmtId="0" xfId="0" applyAlignment="1" applyBorder="1" applyFont="1">
      <alignment horizontal="left" readingOrder="0" shrinkToFit="0" vertical="top" wrapText="1"/>
    </xf>
    <xf borderId="2" fillId="2" fontId="4" numFmtId="3" xfId="0" applyAlignment="1" applyBorder="1" applyFont="1" applyNumberFormat="1">
      <alignment horizontal="right" readingOrder="0" shrinkToFit="0" vertical="top" wrapText="1"/>
    </xf>
    <xf borderId="2" fillId="2" fontId="41" numFmtId="0" xfId="0" applyAlignment="1" applyBorder="1" applyFont="1">
      <alignment horizontal="left" shrinkToFit="0" vertical="top" wrapText="1"/>
    </xf>
    <xf borderId="2" fillId="2" fontId="83" numFmtId="0" xfId="0" applyAlignment="1" applyBorder="1" applyFont="1">
      <alignment horizontal="left" readingOrder="0" shrinkToFit="0" vertical="top" wrapText="0"/>
    </xf>
    <xf borderId="0" fillId="2" fontId="84" numFmtId="0" xfId="0" applyAlignment="1" applyFont="1">
      <alignment horizontal="left" readingOrder="0" shrinkToFit="0" vertical="top" wrapText="0"/>
    </xf>
    <xf borderId="0" fillId="0" fontId="85" numFmtId="0" xfId="0" applyAlignment="1" applyFont="1">
      <alignment readingOrder="0" shrinkToFit="0" vertical="top" wrapText="1"/>
    </xf>
    <xf borderId="0" fillId="0" fontId="86" numFmtId="0" xfId="0" applyAlignment="1" applyFont="1">
      <alignment readingOrder="0" shrinkToFit="0" vertical="top" wrapText="1"/>
    </xf>
    <xf borderId="0" fillId="2" fontId="70" numFmtId="0" xfId="0" applyAlignment="1" applyFont="1">
      <alignment readingOrder="0" shrinkToFit="0" vertical="top" wrapText="1"/>
    </xf>
    <xf borderId="0" fillId="2" fontId="70" numFmtId="0" xfId="0" applyAlignment="1" applyFont="1">
      <alignment readingOrder="0" shrinkToFit="0" vertical="top" wrapText="1"/>
    </xf>
    <xf borderId="0" fillId="2" fontId="70" numFmtId="3" xfId="0" applyAlignment="1" applyFont="1" applyNumberFormat="1">
      <alignment horizontal="right" readingOrder="0" shrinkToFit="0" vertical="top" wrapText="1"/>
    </xf>
    <xf borderId="0" fillId="2" fontId="70" numFmtId="0" xfId="0" applyAlignment="1" applyFont="1">
      <alignment horizontal="right" readingOrder="0" shrinkToFit="0" vertical="top" wrapText="1"/>
    </xf>
    <xf borderId="0" fillId="2" fontId="70" numFmtId="49" xfId="0" applyAlignment="1" applyFont="1" applyNumberFormat="1">
      <alignment horizontal="right" readingOrder="0" shrinkToFit="0" vertical="top" wrapText="1"/>
    </xf>
    <xf borderId="0" fillId="2" fontId="70" numFmtId="0" xfId="0" applyAlignment="1" applyFont="1">
      <alignment horizontal="center" readingOrder="0" shrinkToFit="0" vertical="top" wrapText="1"/>
    </xf>
    <xf borderId="0" fillId="2" fontId="70" numFmtId="0" xfId="0" applyAlignment="1" applyFont="1">
      <alignment shrinkToFit="0" vertical="top" wrapText="1"/>
    </xf>
    <xf borderId="0" fillId="2" fontId="70" numFmtId="0" xfId="0" applyAlignment="1" applyFont="1">
      <alignment readingOrder="0" shrinkToFit="0" vertical="top" wrapText="0"/>
    </xf>
    <xf borderId="0" fillId="2" fontId="70" numFmtId="0" xfId="0" applyAlignment="1" applyFont="1">
      <alignment readingOrder="0" shrinkToFit="0" vertical="top" wrapText="0"/>
    </xf>
    <xf borderId="0" fillId="2" fontId="70" numFmtId="0" xfId="0" applyAlignment="1" applyFont="1">
      <alignment horizontal="right" shrinkToFit="0" vertical="top" wrapText="1"/>
    </xf>
    <xf borderId="0" fillId="2" fontId="72" numFmtId="0" xfId="0" applyAlignment="1" applyFont="1">
      <alignment shrinkToFit="0" vertical="top" wrapText="1"/>
    </xf>
    <xf borderId="0" fillId="2" fontId="72" numFmtId="3" xfId="0" applyAlignment="1" applyFont="1" applyNumberFormat="1">
      <alignment horizontal="left" readingOrder="0" shrinkToFit="0" vertical="top" wrapText="1"/>
    </xf>
    <xf borderId="0" fillId="2" fontId="72" numFmtId="3" xfId="0" applyAlignment="1" applyFont="1" applyNumberFormat="1">
      <alignment horizontal="right" readingOrder="0" shrinkToFit="0" vertical="top" wrapText="1"/>
    </xf>
    <xf borderId="0" fillId="2" fontId="72" numFmtId="0" xfId="0" applyAlignment="1" applyFont="1">
      <alignment shrinkToFit="0" vertical="top" wrapText="0"/>
    </xf>
    <xf borderId="0" fillId="2" fontId="77" numFmtId="3" xfId="0" applyAlignment="1" applyFont="1" applyNumberFormat="1">
      <alignment readingOrder="0" shrinkToFit="0" vertical="top" wrapText="1"/>
    </xf>
    <xf borderId="0" fillId="2" fontId="77" numFmtId="0" xfId="0" applyAlignment="1" applyFont="1">
      <alignment horizontal="right" readingOrder="0" shrinkToFit="0" vertical="top" wrapText="1"/>
    </xf>
    <xf borderId="0" fillId="2" fontId="77" numFmtId="49" xfId="0" applyAlignment="1" applyFont="1" applyNumberFormat="1">
      <alignment horizontal="right" readingOrder="0" shrinkToFit="0" vertical="top" wrapText="1"/>
    </xf>
    <xf borderId="0" fillId="2" fontId="87" numFmtId="0" xfId="0" applyAlignment="1" applyFont="1">
      <alignment readingOrder="0" shrinkToFit="0" vertical="top" wrapText="1"/>
    </xf>
    <xf borderId="0" fillId="2" fontId="66" numFmtId="3" xfId="0" applyAlignment="1" applyFont="1" applyNumberFormat="1">
      <alignment horizontal="right" shrinkToFit="0" vertical="top" wrapText="1"/>
    </xf>
    <xf borderId="0" fillId="2" fontId="71" numFmtId="0" xfId="0" applyAlignment="1" applyFont="1">
      <alignment shrinkToFit="0" vertical="top" wrapText="1"/>
    </xf>
    <xf borderId="0" fillId="2" fontId="67" numFmtId="3" xfId="0" applyAlignment="1" applyFont="1" applyNumberFormat="1">
      <alignment horizontal="right" readingOrder="0" shrinkToFit="0" vertical="top" wrapText="1"/>
    </xf>
    <xf borderId="0" fillId="2" fontId="72" numFmtId="0" xfId="0" applyAlignment="1" applyFont="1">
      <alignment horizontal="left" readingOrder="0" shrinkToFit="0" vertical="top" wrapText="0"/>
    </xf>
    <xf borderId="0" fillId="2" fontId="72" numFmtId="0" xfId="0" applyAlignment="1" applyFont="1">
      <alignment horizontal="left" readingOrder="0" shrinkToFit="0" vertical="top" wrapText="0"/>
    </xf>
    <xf borderId="0" fillId="2" fontId="88" numFmtId="0" xfId="0" applyAlignment="1" applyFont="1">
      <alignment horizontal="left" readingOrder="0" shrinkToFit="0" vertical="top" wrapText="0"/>
    </xf>
    <xf borderId="0" fillId="0" fontId="89" numFmtId="0" xfId="0" applyAlignment="1" applyFont="1">
      <alignment readingOrder="0" shrinkToFit="0" wrapText="1"/>
    </xf>
    <xf borderId="0" fillId="2" fontId="41" numFmtId="0" xfId="0" applyAlignment="1" applyFont="1">
      <alignment horizontal="left" readingOrder="0" shrinkToFit="0" vertical="top" wrapText="0"/>
    </xf>
    <xf borderId="0" fillId="2" fontId="41" numFmtId="0" xfId="0" applyAlignment="1" applyFont="1">
      <alignment horizontal="left" readingOrder="0" shrinkToFit="0" vertical="top" wrapText="0"/>
    </xf>
    <xf borderId="0" fillId="2" fontId="90" numFmtId="0" xfId="0" applyAlignment="1" applyFont="1">
      <alignment horizontal="left" readingOrder="0" shrinkToFit="0" vertical="top" wrapText="0"/>
    </xf>
    <xf borderId="0" fillId="2" fontId="91" numFmtId="0" xfId="0" applyAlignment="1" applyFont="1">
      <alignment readingOrder="0" shrinkToFit="0" vertical="top" wrapText="1"/>
    </xf>
    <xf borderId="0" fillId="2" fontId="92" numFmtId="0" xfId="0" applyAlignment="1" applyFont="1">
      <alignment readingOrder="0" shrinkToFit="0" vertical="top" wrapText="1"/>
    </xf>
    <xf borderId="0" fillId="2" fontId="91" numFmtId="0" xfId="0" applyAlignment="1" applyFont="1">
      <alignment readingOrder="0" shrinkToFit="0" wrapText="1"/>
    </xf>
    <xf borderId="0" fillId="2" fontId="93" numFmtId="0" xfId="0" applyAlignment="1" applyFont="1">
      <alignment readingOrder="0" shrinkToFit="0" wrapText="1"/>
    </xf>
    <xf borderId="0" fillId="2" fontId="91" numFmtId="0" xfId="0" applyAlignment="1" applyFont="1">
      <alignment shrinkToFit="0" wrapText="1"/>
    </xf>
    <xf borderId="0" fillId="0" fontId="94" numFmtId="0" xfId="0" applyAlignment="1" applyFont="1">
      <alignment shrinkToFit="0" wrapText="1"/>
    </xf>
    <xf borderId="0" fillId="6" fontId="95" numFmtId="0" xfId="0" applyAlignment="1" applyFill="1" applyFont="1">
      <alignment horizontal="left" readingOrder="0" shrinkToFit="0" wrapText="1"/>
    </xf>
    <xf borderId="0" fillId="0" fontId="96" numFmtId="0" xfId="0" applyAlignment="1" applyFont="1">
      <alignment readingOrder="0" shrinkToFit="0" wrapText="1"/>
    </xf>
    <xf borderId="0" fillId="2" fontId="97" numFmtId="0" xfId="0" applyAlignment="1" applyFont="1">
      <alignment shrinkToFit="0" vertical="top" wrapText="1"/>
    </xf>
    <xf borderId="0" fillId="0" fontId="98" numFmtId="0" xfId="0" applyAlignment="1" applyFont="1">
      <alignment shrinkToFit="0" vertical="bottom" wrapText="0"/>
    </xf>
    <xf borderId="0" fillId="0" fontId="99" numFmtId="0" xfId="0" applyAlignment="1" applyFont="1">
      <alignment readingOrder="0" shrinkToFit="0" vertical="bottom" wrapText="1"/>
    </xf>
    <xf borderId="0" fillId="0" fontId="99" numFmtId="0" xfId="0" applyAlignment="1" applyFont="1">
      <alignment shrinkToFit="0" vertical="bottom" wrapText="1"/>
    </xf>
    <xf borderId="0" fillId="0" fontId="100" numFmtId="0" xfId="0" applyAlignment="1" applyFont="1">
      <alignment readingOrder="0" shrinkToFit="0" wrapText="1"/>
    </xf>
    <xf borderId="0" fillId="0" fontId="94" numFmtId="0" xfId="0" applyAlignment="1" applyFont="1">
      <alignment readingOrder="0" shrinkToFit="0" wrapText="1"/>
    </xf>
    <xf borderId="0" fillId="4" fontId="6" numFmtId="0" xfId="0" applyAlignment="1" applyFont="1">
      <alignment readingOrder="0" shrinkToFit="0" vertical="top" wrapText="1"/>
    </xf>
    <xf borderId="0" fillId="4" fontId="6" numFmtId="0" xfId="0" applyAlignment="1" applyFont="1">
      <alignment readingOrder="0" shrinkToFit="0" vertical="top" wrapText="1"/>
    </xf>
    <xf borderId="0" fillId="4" fontId="6" numFmtId="3" xfId="0" applyAlignment="1" applyFont="1" applyNumberFormat="1">
      <alignment horizontal="left" readingOrder="0" shrinkToFit="0" vertical="top" wrapText="1"/>
    </xf>
    <xf borderId="0" fillId="4" fontId="6" numFmtId="164" xfId="0" applyAlignment="1" applyFont="1" applyNumberFormat="1">
      <alignment horizontal="left" readingOrder="0" shrinkToFit="0" vertical="top" wrapText="1"/>
    </xf>
    <xf borderId="0" fillId="4" fontId="6" numFmtId="0" xfId="0" applyAlignment="1" applyFont="1">
      <alignment horizontal="right" readingOrder="0" shrinkToFit="0" vertical="top" wrapText="1"/>
    </xf>
    <xf borderId="0" fillId="4" fontId="6" numFmtId="0" xfId="0" applyAlignment="1" applyFont="1">
      <alignment shrinkToFit="0" vertical="top" wrapText="1"/>
    </xf>
    <xf borderId="0" fillId="4" fontId="6" numFmtId="0" xfId="0" applyAlignment="1" applyFont="1">
      <alignment readingOrder="0" shrinkToFit="0" vertical="top" wrapText="0"/>
    </xf>
    <xf borderId="0" fillId="4" fontId="6" numFmtId="0" xfId="0" applyAlignment="1" applyFont="1">
      <alignment readingOrder="0" shrinkToFit="0" vertical="top" wrapText="0"/>
    </xf>
    <xf borderId="0" fillId="4" fontId="101" numFmtId="0" xfId="0" applyAlignment="1" applyFont="1">
      <alignment horizontal="right" shrinkToFit="0" vertical="top" wrapText="1"/>
    </xf>
    <xf borderId="0" fillId="4" fontId="3" numFmtId="0" xfId="0" applyAlignment="1" applyFont="1">
      <alignment shrinkToFit="0" vertical="top" wrapText="1"/>
    </xf>
    <xf borderId="0" fillId="4" fontId="3" numFmtId="3" xfId="0" applyAlignment="1" applyFont="1" applyNumberFormat="1">
      <alignment horizontal="left" readingOrder="0" shrinkToFit="0" vertical="top" wrapText="1"/>
    </xf>
    <xf borderId="0" fillId="4" fontId="3" numFmtId="0" xfId="0" applyAlignment="1" applyFont="1">
      <alignment horizontal="left" readingOrder="0" shrinkToFit="0" vertical="top" wrapText="1"/>
    </xf>
    <xf borderId="0" fillId="4" fontId="3" numFmtId="164" xfId="0" applyAlignment="1" applyFont="1" applyNumberFormat="1">
      <alignment horizontal="left" readingOrder="0" shrinkToFit="0" vertical="top" wrapText="1"/>
    </xf>
    <xf borderId="0" fillId="4" fontId="3" numFmtId="0" xfId="0" applyAlignment="1" applyFont="1">
      <alignment readingOrder="0" shrinkToFit="0" vertical="top" wrapText="1"/>
    </xf>
    <xf borderId="0" fillId="4" fontId="3" numFmtId="3" xfId="0" applyAlignment="1" applyFont="1" applyNumberFormat="1">
      <alignment horizontal="left" readingOrder="0" shrinkToFit="0" vertical="top" wrapText="1"/>
    </xf>
    <xf borderId="0" fillId="4" fontId="4" numFmtId="3" xfId="0" applyAlignment="1" applyFont="1" applyNumberFormat="1">
      <alignment horizontal="right" readingOrder="0" shrinkToFit="0" vertical="top" wrapText="1"/>
    </xf>
    <xf borderId="0" fillId="4" fontId="5" numFmtId="0" xfId="0" applyAlignment="1" applyFont="1">
      <alignment shrinkToFit="0" vertical="top" wrapText="0"/>
    </xf>
    <xf borderId="0" fillId="4" fontId="79" numFmtId="0" xfId="0" applyAlignment="1" applyFont="1">
      <alignment horizontal="left" readingOrder="0" shrinkToFit="0" vertical="top" wrapText="1"/>
    </xf>
    <xf borderId="0" fillId="4" fontId="79" numFmtId="3" xfId="0" applyAlignment="1" applyFont="1" applyNumberFormat="1">
      <alignment readingOrder="0" shrinkToFit="0" vertical="top" wrapText="1"/>
    </xf>
    <xf borderId="0" fillId="4" fontId="77" numFmtId="3" xfId="0" applyAlignment="1" applyFont="1" applyNumberFormat="1">
      <alignment horizontal="left" readingOrder="0" shrinkToFit="0" vertical="top" wrapText="1"/>
    </xf>
    <xf borderId="0" fillId="4" fontId="77" numFmtId="0" xfId="0" applyAlignment="1" applyFont="1">
      <alignment horizontal="left" readingOrder="0" shrinkToFit="0" vertical="top" wrapText="1"/>
    </xf>
    <xf borderId="0" fillId="4" fontId="77" numFmtId="168" xfId="0" applyAlignment="1" applyFont="1" applyNumberFormat="1">
      <alignment horizontal="left" readingOrder="0" shrinkToFit="0" vertical="top" wrapText="1"/>
    </xf>
    <xf borderId="0" fillId="4" fontId="77" numFmtId="3" xfId="0" applyAlignment="1" applyFont="1" applyNumberFormat="1">
      <alignment horizontal="right" readingOrder="0" shrinkToFit="0" vertical="top" wrapText="1"/>
    </xf>
    <xf borderId="0" fillId="4" fontId="77" numFmtId="0" xfId="0" applyAlignment="1" applyFont="1">
      <alignment horizontal="left" shrinkToFit="0" vertical="top" wrapText="1"/>
    </xf>
    <xf borderId="0" fillId="4" fontId="77" numFmtId="0" xfId="0" applyAlignment="1" applyFont="1">
      <alignment readingOrder="0" shrinkToFit="0" vertical="top" wrapText="1"/>
    </xf>
    <xf borderId="0" fillId="4" fontId="102" numFmtId="0" xfId="0" applyAlignment="1" applyFont="1">
      <alignment readingOrder="0" shrinkToFit="0" vertical="top" wrapText="1"/>
    </xf>
    <xf borderId="0" fillId="4" fontId="77" numFmtId="0" xfId="0" applyAlignment="1" applyFont="1">
      <alignment horizontal="left" readingOrder="0" shrinkToFit="0" vertical="top" wrapText="0"/>
    </xf>
    <xf borderId="0" fillId="4" fontId="77" numFmtId="0" xfId="0" applyAlignment="1" applyFont="1">
      <alignment horizontal="left" readingOrder="0" shrinkToFit="0" vertical="top" wrapText="0"/>
    </xf>
    <xf borderId="0" fillId="4" fontId="103" numFmtId="3" xfId="0" applyAlignment="1" applyFont="1" applyNumberFormat="1">
      <alignment readingOrder="0" shrinkToFit="0" vertical="top" wrapText="1"/>
    </xf>
    <xf borderId="0" fillId="4" fontId="77" numFmtId="3" xfId="0" applyAlignment="1" applyFont="1" applyNumberFormat="1">
      <alignment readingOrder="0" shrinkToFit="0" vertical="top" wrapText="1"/>
    </xf>
    <xf borderId="0" fillId="0" fontId="76" numFmtId="0" xfId="0" applyAlignment="1" applyFont="1">
      <alignment shrinkToFit="0" vertical="top" wrapText="1"/>
    </xf>
    <xf borderId="0" fillId="4" fontId="104" numFmtId="0" xfId="0" applyAlignment="1" applyFont="1">
      <alignment readingOrder="0" shrinkToFit="0" vertical="top" wrapText="1"/>
    </xf>
    <xf borderId="0" fillId="4" fontId="105" numFmtId="0" xfId="0" applyAlignment="1" applyFont="1">
      <alignment readingOrder="0" shrinkToFit="0" vertical="top" wrapText="1"/>
    </xf>
    <xf borderId="0" fillId="2" fontId="106" numFmtId="0" xfId="0" applyAlignment="1" applyFont="1">
      <alignment readingOrder="0" shrinkToFit="0" vertical="top" wrapText="1"/>
    </xf>
    <xf borderId="0" fillId="4" fontId="107" numFmtId="0" xfId="0" applyAlignment="1" applyFont="1">
      <alignment readingOrder="0" shrinkToFit="0" vertical="top" wrapText="1"/>
    </xf>
    <xf borderId="0" fillId="2" fontId="77" numFmtId="0" xfId="0" applyAlignment="1" applyFont="1">
      <alignment readingOrder="0" shrinkToFit="0" vertical="top" wrapText="1"/>
    </xf>
    <xf borderId="0" fillId="4" fontId="108" numFmtId="0" xfId="0" applyAlignment="1" applyFont="1">
      <alignment readingOrder="0" shrinkToFit="0" vertical="top" wrapText="1"/>
    </xf>
    <xf borderId="0" fillId="4" fontId="105" numFmtId="0" xfId="0" applyAlignment="1" applyFont="1">
      <alignment horizontal="left" readingOrder="0" shrinkToFit="0" vertical="top" wrapText="1"/>
    </xf>
    <xf borderId="0" fillId="2" fontId="79" numFmtId="0" xfId="0" applyAlignment="1" applyFont="1">
      <alignment horizontal="left" readingOrder="0" shrinkToFit="0" vertical="top" wrapText="1"/>
    </xf>
    <xf borderId="0" fillId="4" fontId="77" numFmtId="164" xfId="0" applyAlignment="1" applyFont="1" applyNumberFormat="1">
      <alignment horizontal="left" readingOrder="0" shrinkToFit="0" vertical="top" wrapText="1"/>
    </xf>
    <xf borderId="0" fillId="4" fontId="76" numFmtId="0" xfId="0" applyAlignment="1" applyFont="1">
      <alignment readingOrder="0" shrinkToFit="0" vertical="top" wrapText="1"/>
    </xf>
    <xf borderId="0" fillId="4" fontId="6" numFmtId="3" xfId="0" applyAlignment="1" applyFont="1" applyNumberFormat="1">
      <alignment shrinkToFit="0" vertical="top" wrapText="1"/>
    </xf>
    <xf borderId="0" fillId="4" fontId="109" numFmtId="0" xfId="0" applyAlignment="1" applyFont="1">
      <alignment readingOrder="0" shrinkToFit="0" vertical="top" wrapText="1"/>
    </xf>
    <xf borderId="0" fillId="4" fontId="39" numFmtId="0" xfId="0" applyAlignment="1" applyFont="1">
      <alignment readingOrder="0" shrinkToFit="0" vertical="top" wrapText="1"/>
    </xf>
    <xf borderId="0" fillId="4" fontId="6" numFmtId="0" xfId="0" applyAlignment="1" applyFont="1">
      <alignment horizontal="left" readingOrder="0" shrinkToFit="0" vertical="top" wrapText="1"/>
    </xf>
    <xf borderId="0" fillId="4" fontId="39" numFmtId="3" xfId="0" applyAlignment="1" applyFont="1" applyNumberFormat="1">
      <alignment readingOrder="0" shrinkToFit="0" vertical="top" wrapText="1"/>
    </xf>
    <xf borderId="0" fillId="4" fontId="5" numFmtId="0" xfId="0" applyAlignment="1" applyFont="1">
      <alignment horizontal="left" readingOrder="0" shrinkToFit="0" vertical="top" wrapText="0"/>
    </xf>
    <xf borderId="0" fillId="4" fontId="4" numFmtId="164" xfId="0" applyAlignment="1" applyFont="1" applyNumberFormat="1">
      <alignment horizontal="left" readingOrder="0" shrinkToFit="0" vertical="top" wrapText="1"/>
    </xf>
    <xf borderId="0" fillId="4" fontId="5" numFmtId="0" xfId="0" applyAlignment="1" applyFont="1">
      <alignment horizontal="left" readingOrder="0" shrinkToFit="0" vertical="top" wrapText="0"/>
    </xf>
    <xf borderId="0" fillId="4" fontId="41" numFmtId="0" xfId="0" applyAlignment="1" applyFont="1">
      <alignment horizontal="left" shrinkToFit="0" vertical="top" wrapText="1"/>
    </xf>
    <xf borderId="0" fillId="4" fontId="4" numFmtId="0" xfId="0" applyAlignment="1" applyFont="1">
      <alignment shrinkToFit="0" vertical="top" wrapText="1"/>
    </xf>
    <xf borderId="0" fillId="4" fontId="4" numFmtId="3" xfId="0" applyAlignment="1" applyFont="1" applyNumberFormat="1">
      <alignment horizontal="left" readingOrder="0" shrinkToFit="0" vertical="top" wrapText="1"/>
    </xf>
    <xf borderId="0" fillId="4" fontId="4" numFmtId="0" xfId="0" applyAlignment="1" applyFont="1">
      <alignment shrinkToFit="0" vertical="top" wrapText="1"/>
    </xf>
    <xf borderId="0" fillId="4" fontId="5" numFmtId="0" xfId="0" applyAlignment="1" applyFont="1">
      <alignment horizontal="left" shrinkToFit="0" vertical="top" wrapText="0"/>
    </xf>
    <xf borderId="0" fillId="4" fontId="4" numFmtId="0" xfId="0" applyAlignment="1" applyFont="1">
      <alignment readingOrder="0" shrinkToFit="0" vertical="top" wrapText="1"/>
    </xf>
    <xf borderId="0" fillId="4" fontId="4" numFmtId="0" xfId="0" applyAlignment="1" applyFont="1">
      <alignment horizontal="right" shrinkToFit="0" vertical="top" wrapText="1"/>
    </xf>
    <xf borderId="0" fillId="4" fontId="5" numFmtId="0" xfId="0" applyAlignment="1" applyFont="1">
      <alignment readingOrder="0" shrinkToFit="0" vertical="top" wrapText="0"/>
    </xf>
    <xf borderId="0" fillId="4" fontId="5" numFmtId="0" xfId="0" applyAlignment="1" applyFont="1">
      <alignment shrinkToFit="0" vertical="top" wrapText="1"/>
    </xf>
    <xf borderId="0" fillId="4" fontId="6" numFmtId="0" xfId="0" applyAlignment="1" applyFont="1">
      <alignment shrinkToFit="0" vertical="top" wrapText="1"/>
    </xf>
    <xf borderId="0" fillId="4" fontId="4" numFmtId="3" xfId="0" applyAlignment="1" applyFont="1" applyNumberFormat="1">
      <alignment horizontal="left" shrinkToFit="0" vertical="top" wrapText="1"/>
    </xf>
    <xf borderId="0" fillId="4" fontId="39" numFmtId="0" xfId="0" applyAlignment="1" applyFont="1">
      <alignment shrinkToFit="0" vertical="top" wrapText="1"/>
    </xf>
    <xf borderId="0" fillId="4" fontId="110" numFmtId="0" xfId="0" applyAlignment="1" applyFont="1">
      <alignment shrinkToFit="0" vertical="top" wrapText="0"/>
    </xf>
    <xf borderId="0" fillId="4" fontId="111" numFmtId="0" xfId="0" applyAlignment="1" applyFont="1">
      <alignment shrinkToFit="0" vertical="top" wrapText="0"/>
    </xf>
    <xf borderId="0" fillId="4" fontId="45" numFmtId="0" xfId="0" applyAlignment="1" applyFont="1">
      <alignment horizontal="left" shrinkToFit="0" vertical="top" wrapText="1"/>
    </xf>
    <xf borderId="0" fillId="4" fontId="4" numFmtId="0" xfId="0" applyAlignment="1" applyFont="1">
      <alignment horizontal="left" shrinkToFit="0" vertical="top" wrapText="1"/>
    </xf>
    <xf borderId="0" fillId="4" fontId="5" numFmtId="0" xfId="0" applyAlignment="1" applyFont="1">
      <alignment horizontal="left" readingOrder="0" shrinkToFit="0" vertical="top" wrapText="1"/>
    </xf>
    <xf borderId="0" fillId="4" fontId="47" numFmtId="0" xfId="0" applyAlignment="1" applyFont="1">
      <alignment readingOrder="0" shrinkToFit="0" vertical="top" wrapText="1"/>
    </xf>
    <xf borderId="0" fillId="4" fontId="39" numFmtId="0" xfId="0" applyAlignment="1" applyFont="1">
      <alignment shrinkToFit="0" vertical="top" wrapText="1"/>
    </xf>
    <xf borderId="0" fillId="4" fontId="39" numFmtId="3" xfId="0" applyAlignment="1" applyFont="1" applyNumberFormat="1">
      <alignment shrinkToFit="0" vertical="top" wrapText="1"/>
    </xf>
    <xf borderId="0" fillId="4" fontId="39" numFmtId="0" xfId="0" applyAlignment="1" applyFont="1">
      <alignment horizontal="left" readingOrder="0" shrinkToFit="0" vertical="top" wrapText="1"/>
    </xf>
    <xf borderId="0" fillId="4" fontId="4" numFmtId="0" xfId="0" applyAlignment="1" applyFont="1">
      <alignment horizontal="left" readingOrder="0" shrinkToFit="0" vertical="top" wrapText="1"/>
    </xf>
    <xf borderId="0" fillId="4" fontId="48" numFmtId="0" xfId="0" applyAlignment="1" applyFont="1">
      <alignment shrinkToFit="0" vertical="top" wrapText="1"/>
    </xf>
    <xf borderId="0" fillId="4" fontId="39" numFmtId="3" xfId="0" applyAlignment="1" applyFont="1" applyNumberFormat="1">
      <alignment shrinkToFit="0" vertical="top" wrapText="1"/>
    </xf>
    <xf borderId="0" fillId="4" fontId="39" numFmtId="3" xfId="0" applyAlignment="1" applyFont="1" applyNumberFormat="1">
      <alignment horizontal="left" shrinkToFit="0" vertical="top" wrapText="1"/>
    </xf>
    <xf borderId="0" fillId="4" fontId="39" numFmtId="164" xfId="0" applyAlignment="1" applyFont="1" applyNumberFormat="1">
      <alignment horizontal="left" readingOrder="0" shrinkToFit="0" vertical="top" wrapText="1"/>
    </xf>
    <xf borderId="0" fillId="4" fontId="5" numFmtId="0" xfId="0" applyAlignment="1" applyFont="1">
      <alignment readingOrder="0" shrinkToFit="0" vertical="top" wrapText="0"/>
    </xf>
    <xf borderId="0" fillId="4" fontId="6" numFmtId="0" xfId="0" applyAlignment="1" applyFont="1">
      <alignment horizontal="left" shrinkToFit="0" vertical="top" wrapText="1"/>
    </xf>
    <xf borderId="0" fillId="4" fontId="4" numFmtId="3" xfId="0" applyAlignment="1" applyFont="1" applyNumberFormat="1">
      <alignment horizontal="left" shrinkToFit="0" vertical="top" wrapText="1"/>
    </xf>
    <xf borderId="0" fillId="4" fontId="112" numFmtId="0" xfId="0" applyAlignment="1" applyFont="1">
      <alignment horizontal="left" readingOrder="0" shrinkToFit="0" vertical="top" wrapText="0"/>
    </xf>
    <xf borderId="0" fillId="4" fontId="5" numFmtId="0" xfId="0" applyAlignment="1" applyFont="1">
      <alignment shrinkToFit="0" vertical="top" wrapText="1"/>
    </xf>
    <xf borderId="0" fillId="4" fontId="4" numFmtId="3" xfId="0" applyAlignment="1" applyFont="1" applyNumberFormat="1">
      <alignment shrinkToFit="0" vertical="top" wrapText="1"/>
    </xf>
    <xf borderId="0" fillId="4" fontId="6" numFmtId="0" xfId="0" applyAlignment="1" applyFont="1">
      <alignment horizontal="left" shrinkToFit="0" vertical="top" wrapText="1"/>
    </xf>
    <xf borderId="0" fillId="4" fontId="4" numFmtId="0" xfId="0" applyAlignment="1" applyFont="1">
      <alignment horizontal="left" readingOrder="0" shrinkToFit="0" vertical="top" wrapText="1"/>
    </xf>
    <xf borderId="0" fillId="4" fontId="6" numFmtId="0" xfId="0" applyAlignment="1" applyFont="1">
      <alignment horizontal="left" shrinkToFit="0" vertical="top" wrapText="1"/>
    </xf>
    <xf borderId="0" fillId="4" fontId="5" numFmtId="0" xfId="0" applyAlignment="1" applyFont="1">
      <alignment readingOrder="0" shrinkToFit="0" vertical="top" wrapText="1"/>
    </xf>
    <xf borderId="0" fillId="4" fontId="48" numFmtId="0" xfId="0" applyAlignment="1" applyFont="1">
      <alignment horizontal="left" readingOrder="0" shrinkToFit="0" vertical="top" wrapText="1"/>
    </xf>
    <xf borderId="0" fillId="4" fontId="39" numFmtId="3" xfId="0" applyAlignment="1" applyFont="1" applyNumberFormat="1">
      <alignment horizontal="left" readingOrder="0" shrinkToFit="0" vertical="top" wrapText="1"/>
    </xf>
    <xf borderId="0" fillId="4" fontId="39" numFmtId="3" xfId="0" applyAlignment="1" applyFont="1" applyNumberFormat="1">
      <alignment horizontal="left" readingOrder="0" shrinkToFit="0" vertical="top" wrapText="1"/>
    </xf>
    <xf borderId="0" fillId="4" fontId="39" numFmtId="0" xfId="0" applyAlignment="1" applyFont="1">
      <alignment horizontal="left" shrinkToFit="0" vertical="top" wrapText="1"/>
    </xf>
    <xf borderId="0" fillId="4" fontId="113" numFmtId="0" xfId="0" applyAlignment="1" applyFont="1">
      <alignment horizontal="left" shrinkToFit="0" vertical="top" wrapText="0"/>
    </xf>
    <xf borderId="0" fillId="4" fontId="114" numFmtId="0" xfId="0" applyAlignment="1" applyFont="1">
      <alignment horizontal="left" shrinkToFit="0" vertical="top" wrapText="0"/>
    </xf>
    <xf borderId="0" fillId="4" fontId="115" numFmtId="0" xfId="0" applyAlignment="1" applyFont="1">
      <alignment readingOrder="0" shrinkToFit="0" vertical="top" wrapText="1"/>
    </xf>
    <xf borderId="0" fillId="4" fontId="5" numFmtId="3" xfId="0" applyAlignment="1" applyFont="1" applyNumberFormat="1">
      <alignment horizontal="left" readingOrder="0" shrinkToFit="0" vertical="top" wrapText="1"/>
    </xf>
    <xf borderId="0" fillId="4" fontId="116" numFmtId="0" xfId="0" applyAlignment="1" applyFont="1">
      <alignment shrinkToFit="0" vertical="top" wrapText="1"/>
    </xf>
    <xf borderId="0" fillId="4" fontId="5" numFmtId="0" xfId="0" applyAlignment="1" applyFont="1">
      <alignment readingOrder="0" shrinkToFit="0" vertical="top" wrapText="1"/>
    </xf>
    <xf borderId="1" fillId="4" fontId="6" numFmtId="0" xfId="0" applyAlignment="1" applyBorder="1" applyFont="1">
      <alignment readingOrder="0" shrinkToFit="0" vertical="top" wrapText="1"/>
    </xf>
    <xf borderId="0" fillId="4" fontId="5" numFmtId="0" xfId="0" applyAlignment="1" applyFont="1">
      <alignment horizontal="left" readingOrder="0" shrinkToFit="0" vertical="top" wrapText="1"/>
    </xf>
    <xf borderId="1" fillId="4" fontId="6" numFmtId="0" xfId="0" applyAlignment="1" applyBorder="1" applyFont="1">
      <alignment readingOrder="0" shrinkToFit="0" vertical="top" wrapText="1"/>
    </xf>
    <xf borderId="0" fillId="4" fontId="6" numFmtId="0" xfId="0" applyAlignment="1" applyFont="1">
      <alignment horizontal="left" readingOrder="0" shrinkToFit="0" vertical="top" wrapText="1"/>
    </xf>
    <xf borderId="1" fillId="4" fontId="6" numFmtId="0" xfId="0" applyAlignment="1" applyBorder="1" applyFont="1">
      <alignment horizontal="left" readingOrder="0" shrinkToFit="0" vertical="top" wrapText="1"/>
    </xf>
    <xf borderId="2" fillId="4" fontId="6" numFmtId="0" xfId="0" applyAlignment="1" applyBorder="1" applyFont="1">
      <alignment horizontal="left" readingOrder="0" shrinkToFit="0" vertical="top" wrapText="1"/>
    </xf>
    <xf borderId="2" fillId="4" fontId="4" numFmtId="0" xfId="0" applyAlignment="1" applyBorder="1" applyFont="1">
      <alignment shrinkToFit="0" vertical="top" wrapText="1"/>
    </xf>
    <xf borderId="2" fillId="4" fontId="4" numFmtId="3" xfId="0" applyAlignment="1" applyBorder="1" applyFont="1" applyNumberFormat="1">
      <alignment horizontal="left" readingOrder="0" shrinkToFit="0" vertical="top" wrapText="1"/>
    </xf>
    <xf borderId="2" fillId="4" fontId="4" numFmtId="0" xfId="0" applyAlignment="1" applyBorder="1" applyFont="1">
      <alignment horizontal="left" readingOrder="0" shrinkToFit="0" vertical="top" wrapText="1"/>
    </xf>
    <xf borderId="2" fillId="4" fontId="4" numFmtId="164" xfId="0" applyAlignment="1" applyBorder="1" applyFont="1" applyNumberFormat="1">
      <alignment horizontal="left" readingOrder="0" shrinkToFit="0" vertical="top" wrapText="1"/>
    </xf>
    <xf borderId="2" fillId="4" fontId="39" numFmtId="0" xfId="0" applyAlignment="1" applyBorder="1" applyFont="1">
      <alignment readingOrder="0" shrinkToFit="0" vertical="top" wrapText="1"/>
    </xf>
    <xf borderId="2" fillId="4" fontId="4" numFmtId="0" xfId="0" applyAlignment="1" applyBorder="1" applyFont="1">
      <alignment horizontal="left" readingOrder="0" shrinkToFit="0" vertical="top" wrapText="1"/>
    </xf>
    <xf borderId="2" fillId="4" fontId="4" numFmtId="0" xfId="0" applyAlignment="1" applyBorder="1" applyFont="1">
      <alignment horizontal="right" shrinkToFit="0" vertical="top" wrapText="1"/>
    </xf>
    <xf borderId="2" fillId="4" fontId="4" numFmtId="0" xfId="0" applyAlignment="1" applyBorder="1" applyFont="1">
      <alignment horizontal="left" shrinkToFit="0" vertical="top" wrapText="1"/>
    </xf>
    <xf borderId="2" fillId="4" fontId="5" numFmtId="0" xfId="0" applyAlignment="1" applyBorder="1" applyFont="1">
      <alignment horizontal="left" readingOrder="0" shrinkToFit="0" vertical="top" wrapText="0"/>
    </xf>
    <xf borderId="2" fillId="4" fontId="5" numFmtId="0" xfId="0" applyAlignment="1" applyBorder="1" applyFont="1">
      <alignment horizontal="left" shrinkToFit="0" vertical="top" wrapText="0"/>
    </xf>
    <xf borderId="0" fillId="4" fontId="39" numFmtId="3" xfId="0" applyAlignment="1" applyFont="1" applyNumberFormat="1">
      <alignment readingOrder="0" shrinkToFit="0" vertical="top" wrapText="1"/>
    </xf>
    <xf borderId="0" fillId="4" fontId="4" numFmtId="49" xfId="0" applyAlignment="1" applyFont="1" applyNumberFormat="1">
      <alignment horizontal="left" readingOrder="0" shrinkToFit="0" vertical="top" wrapText="1"/>
    </xf>
    <xf borderId="0" fillId="4" fontId="4" numFmtId="0" xfId="0" applyAlignment="1" applyFont="1">
      <alignment horizontal="right" readingOrder="0" shrinkToFit="0" vertical="top" wrapText="1"/>
    </xf>
    <xf borderId="0" fillId="4" fontId="63" numFmtId="164" xfId="0" applyAlignment="1" applyFont="1" applyNumberFormat="1">
      <alignment horizontal="left" readingOrder="0" shrinkToFit="0" vertical="top" wrapText="1"/>
    </xf>
    <xf borderId="0" fillId="4" fontId="63" numFmtId="0" xfId="0" applyAlignment="1" applyFont="1">
      <alignment readingOrder="0" shrinkToFit="0" vertical="top" wrapText="1"/>
    </xf>
    <xf borderId="0" fillId="4" fontId="6" numFmtId="49" xfId="0" applyAlignment="1" applyFont="1" applyNumberFormat="1">
      <alignment horizontal="left" readingOrder="0" shrinkToFit="0" vertical="top" wrapText="1"/>
    </xf>
    <xf borderId="0" fillId="2" fontId="6" numFmtId="3" xfId="0" applyAlignment="1" applyFont="1" applyNumberFormat="1">
      <alignment horizontal="left" readingOrder="0" shrinkToFit="0" vertical="top" wrapText="1"/>
    </xf>
    <xf borderId="0" fillId="2" fontId="6" numFmtId="164" xfId="0" applyAlignment="1" applyFont="1" applyNumberFormat="1">
      <alignment horizontal="left" readingOrder="0" shrinkToFit="0" vertical="top" wrapText="1"/>
    </xf>
    <xf borderId="0" fillId="2" fontId="6" numFmtId="0" xfId="0" applyAlignment="1" applyFont="1">
      <alignment horizontal="center" readingOrder="0" shrinkToFit="0" vertical="top" wrapText="1"/>
    </xf>
    <xf borderId="0" fillId="2" fontId="6" numFmtId="0" xfId="0" applyAlignment="1" applyFont="1">
      <alignment horizontal="right" readingOrder="0" shrinkToFit="0" vertical="top" wrapText="1"/>
    </xf>
    <xf borderId="0" fillId="2" fontId="6" numFmtId="0" xfId="0" applyAlignment="1" applyFont="1">
      <alignment readingOrder="0" shrinkToFit="0" vertical="top" wrapText="0"/>
    </xf>
    <xf borderId="0" fillId="2" fontId="6" numFmtId="0" xfId="0" applyAlignment="1" applyFont="1">
      <alignment readingOrder="0" shrinkToFit="0" vertical="top" wrapText="0"/>
    </xf>
    <xf borderId="0" fillId="2" fontId="101" numFmtId="0" xfId="0" applyAlignment="1" applyFont="1">
      <alignment horizontal="right" shrinkToFit="0" vertical="top" wrapText="1"/>
    </xf>
    <xf borderId="0" fillId="2" fontId="3" numFmtId="0" xfId="0" applyAlignment="1" applyFont="1">
      <alignment horizontal="left" readingOrder="0" shrinkToFit="0" vertical="top" wrapText="1"/>
    </xf>
    <xf borderId="0" fillId="0" fontId="3" numFmtId="0" xfId="0" applyAlignment="1" applyFont="1">
      <alignment readingOrder="0" shrinkToFit="0" vertical="top" wrapText="1"/>
    </xf>
    <xf borderId="0" fillId="2" fontId="3" numFmtId="3" xfId="0" applyAlignment="1" applyFont="1" applyNumberFormat="1">
      <alignment horizontal="left" readingOrder="0" shrinkToFit="0" vertical="top" wrapText="1"/>
    </xf>
    <xf borderId="0" fillId="0" fontId="117" numFmtId="0" xfId="0" applyAlignment="1" applyFont="1">
      <alignment readingOrder="0" shrinkToFit="0" vertical="top" wrapText="1"/>
    </xf>
    <xf borderId="0" fillId="7" fontId="31" numFmtId="0" xfId="0" applyAlignment="1" applyFill="1" applyFont="1">
      <alignment readingOrder="0" shrinkToFit="0" vertical="top" wrapText="1"/>
    </xf>
    <xf borderId="0" fillId="4" fontId="36" numFmtId="0" xfId="0" applyAlignment="1" applyFont="1">
      <alignment horizontal="left" readingOrder="0" shrinkToFit="0" vertical="top" wrapText="1"/>
    </xf>
    <xf borderId="0" fillId="0" fontId="109" numFmtId="0" xfId="0" applyAlignment="1" applyFont="1">
      <alignment readingOrder="0" shrinkToFit="0" vertical="top" wrapText="1"/>
    </xf>
    <xf borderId="0" fillId="0" fontId="39" numFmtId="0" xfId="0" applyAlignment="1" applyFont="1">
      <alignment readingOrder="0" shrinkToFit="0" vertical="top" wrapText="1"/>
    </xf>
    <xf borderId="0" fillId="0" fontId="39" numFmtId="3" xfId="0" applyAlignment="1" applyFont="1" applyNumberFormat="1">
      <alignment readingOrder="0" shrinkToFit="0" vertical="top" wrapText="1"/>
    </xf>
    <xf borderId="0" fillId="0" fontId="6"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0" fontId="4" numFmtId="3" xfId="0" applyAlignment="1" applyFont="1" applyNumberFormat="1">
      <alignment horizontal="left" readingOrder="0" shrinkToFit="0" vertical="top" wrapText="1"/>
    </xf>
    <xf borderId="0" fillId="0" fontId="4" numFmtId="164" xfId="0" applyAlignment="1" applyFont="1" applyNumberFormat="1">
      <alignment horizontal="left" readingOrder="0" shrinkToFit="0" vertical="top" wrapText="1"/>
    </xf>
    <xf borderId="0" fillId="0" fontId="4" numFmtId="0" xfId="0" applyAlignment="1" applyFont="1">
      <alignment readingOrder="0" shrinkToFit="0" vertical="top" wrapText="1"/>
    </xf>
    <xf borderId="0" fillId="0" fontId="4" numFmtId="0" xfId="0" applyAlignment="1" applyFont="1">
      <alignment horizontal="left" shrinkToFit="0" vertical="top" wrapText="1"/>
    </xf>
    <xf borderId="0" fillId="0" fontId="5" numFmtId="0" xfId="0" applyAlignment="1" applyFont="1">
      <alignment horizontal="left" readingOrder="0" shrinkToFit="0" vertical="top" wrapText="0"/>
    </xf>
    <xf borderId="0" fillId="0" fontId="4" numFmtId="0" xfId="0" applyAlignment="1" applyFont="1">
      <alignment shrinkToFit="0" vertical="top" wrapText="1"/>
    </xf>
    <xf borderId="0" fillId="0" fontId="4" numFmtId="3" xfId="0" applyAlignment="1" applyFont="1" applyNumberFormat="1">
      <alignment horizontal="right" readingOrder="0" shrinkToFit="0" vertical="top" wrapText="1"/>
    </xf>
    <xf borderId="0" fillId="0" fontId="4" numFmtId="0" xfId="0" applyAlignment="1" applyFont="1">
      <alignment shrinkToFit="0" vertical="top" wrapText="1"/>
    </xf>
    <xf borderId="0" fillId="0" fontId="5" numFmtId="0" xfId="0" applyAlignment="1" applyFont="1">
      <alignment horizontal="left" shrinkToFit="0" vertical="top" wrapText="0"/>
    </xf>
    <xf borderId="0" fillId="0" fontId="5" numFmtId="0" xfId="0" applyAlignment="1" applyFont="1">
      <alignment shrinkToFit="0" vertical="top" wrapText="1"/>
    </xf>
    <xf borderId="0" fillId="0" fontId="6" numFmtId="0" xfId="0" applyAlignment="1" applyFont="1">
      <alignment shrinkToFit="0" vertical="top" wrapText="1"/>
    </xf>
    <xf borderId="0" fillId="0" fontId="4" numFmtId="3" xfId="0" applyAlignment="1" applyFont="1" applyNumberFormat="1">
      <alignment horizontal="left" shrinkToFit="0" vertical="top" wrapText="1"/>
    </xf>
    <xf borderId="0" fillId="0" fontId="39" numFmtId="0" xfId="0" applyAlignment="1" applyFont="1">
      <alignment shrinkToFit="0" vertical="top" wrapText="1"/>
    </xf>
    <xf borderId="0" fillId="0" fontId="118" numFmtId="0" xfId="0" applyAlignment="1" applyFont="1">
      <alignment shrinkToFit="0" vertical="top" wrapText="0"/>
    </xf>
    <xf borderId="0" fillId="0" fontId="119" numFmtId="0" xfId="0" applyAlignment="1" applyFont="1">
      <alignment shrinkToFit="0" vertical="top" wrapText="0"/>
    </xf>
    <xf borderId="0" fillId="0" fontId="4" numFmtId="0" xfId="0" applyAlignment="1" applyFont="1">
      <alignment horizontal="left" shrinkToFit="0" vertical="top" wrapText="1"/>
    </xf>
    <xf borderId="0" fillId="2" fontId="5" numFmtId="0" xfId="0" applyAlignment="1" applyFont="1">
      <alignment horizontal="left" readingOrder="0" shrinkToFit="0" vertical="top" wrapText="1"/>
    </xf>
    <xf borderId="0" fillId="0" fontId="39" numFmtId="0" xfId="0" applyAlignment="1" applyFont="1">
      <alignment shrinkToFit="0" vertical="top" wrapText="1"/>
    </xf>
    <xf borderId="0" fillId="0" fontId="39" numFmtId="3" xfId="0" applyAlignment="1" applyFont="1" applyNumberFormat="1">
      <alignment shrinkToFit="0" vertical="top" wrapText="1"/>
    </xf>
    <xf borderId="0" fillId="8" fontId="6" numFmtId="0" xfId="0" applyAlignment="1" applyFill="1" applyFont="1">
      <alignment horizontal="left" readingOrder="0" shrinkToFit="0" vertical="top" wrapText="1"/>
    </xf>
    <xf borderId="0" fillId="8" fontId="4" numFmtId="3" xfId="0" applyAlignment="1" applyFont="1" applyNumberFormat="1">
      <alignment horizontal="left" readingOrder="0" shrinkToFit="0" vertical="top" wrapText="1"/>
    </xf>
    <xf borderId="0" fillId="8" fontId="4" numFmtId="3" xfId="0" applyAlignment="1" applyFont="1" applyNumberFormat="1">
      <alignment horizontal="left" readingOrder="0" shrinkToFit="0" vertical="top" wrapText="1"/>
    </xf>
    <xf borderId="0" fillId="8" fontId="4" numFmtId="0" xfId="0" applyAlignment="1" applyFont="1">
      <alignment horizontal="left" readingOrder="0" shrinkToFit="0" vertical="top" wrapText="1"/>
    </xf>
    <xf borderId="0" fillId="8" fontId="4" numFmtId="164" xfId="0" applyAlignment="1" applyFont="1" applyNumberFormat="1">
      <alignment horizontal="left" readingOrder="0" shrinkToFit="0" vertical="top" wrapText="1"/>
    </xf>
    <xf borderId="0" fillId="8" fontId="39" numFmtId="0" xfId="0" applyAlignment="1" applyFont="1">
      <alignment readingOrder="0" shrinkToFit="0" vertical="top" wrapText="1"/>
    </xf>
    <xf borderId="0" fillId="8" fontId="4" numFmtId="0" xfId="0" applyAlignment="1" applyFont="1">
      <alignment horizontal="left" shrinkToFit="0" vertical="top" wrapText="1"/>
    </xf>
    <xf borderId="0" fillId="8" fontId="4" numFmtId="3" xfId="0" applyAlignment="1" applyFont="1" applyNumberFormat="1">
      <alignment horizontal="right" readingOrder="0" shrinkToFit="0" vertical="top" wrapText="1"/>
    </xf>
    <xf borderId="0" fillId="8" fontId="5" numFmtId="0" xfId="0" applyAlignment="1" applyFont="1">
      <alignment horizontal="left" readingOrder="0" shrinkToFit="0" vertical="top" wrapText="0"/>
    </xf>
    <xf borderId="0" fillId="8" fontId="5" numFmtId="0" xfId="0" applyAlignment="1" applyFont="1">
      <alignment horizontal="left" readingOrder="0" shrinkToFit="0" vertical="top" wrapText="0"/>
    </xf>
    <xf borderId="0" fillId="8" fontId="41" numFmtId="0" xfId="0" applyAlignment="1" applyFont="1">
      <alignment horizontal="left" shrinkToFit="0" vertical="top" wrapText="1"/>
    </xf>
    <xf borderId="0" fillId="8" fontId="5" numFmtId="0" xfId="0" applyAlignment="1" applyFont="1">
      <alignment horizontal="left" shrinkToFit="0" vertical="top" wrapText="0"/>
    </xf>
    <xf borderId="0" fillId="8" fontId="4" numFmtId="0" xfId="0" applyAlignment="1" applyFont="1">
      <alignment horizontal="right" shrinkToFit="0" vertical="top" wrapText="1"/>
    </xf>
    <xf borderId="0" fillId="2" fontId="5" numFmtId="0" xfId="0" applyAlignment="1" applyFont="1">
      <alignment readingOrder="0" shrinkToFit="0" vertical="top" wrapText="1"/>
    </xf>
    <xf borderId="0" fillId="2" fontId="5" numFmtId="3" xfId="0" applyAlignment="1" applyFont="1" applyNumberFormat="1">
      <alignment horizontal="left" readingOrder="0" shrinkToFit="0" vertical="top" wrapText="1"/>
    </xf>
    <xf borderId="0" fillId="2" fontId="5" numFmtId="0" xfId="0" applyAlignment="1" applyFont="1">
      <alignment readingOrder="0" shrinkToFit="0" vertical="top" wrapText="1"/>
    </xf>
    <xf borderId="0" fillId="2" fontId="5" numFmtId="0" xfId="0" applyAlignment="1" applyFont="1">
      <alignment horizontal="left" readingOrder="0" shrinkToFit="0" vertical="top" wrapText="1"/>
    </xf>
    <xf borderId="2" fillId="0" fontId="39" numFmtId="0" xfId="0" applyAlignment="1" applyBorder="1" applyFont="1">
      <alignment readingOrder="0" shrinkToFit="0" vertical="top" wrapText="1"/>
    </xf>
    <xf borderId="2" fillId="2" fontId="5" numFmtId="0" xfId="0" applyAlignment="1" applyBorder="1" applyFont="1">
      <alignment horizontal="left" readingOrder="0" shrinkToFit="0" vertical="top" wrapText="0"/>
    </xf>
    <xf borderId="0" fillId="0" fontId="39" numFmtId="3" xfId="0" applyAlignment="1" applyFont="1" applyNumberFormat="1">
      <alignment readingOrder="0" shrinkToFit="0" vertical="top" wrapText="1"/>
    </xf>
    <xf borderId="0" fillId="0" fontId="4" numFmtId="3" xfId="0" applyAlignment="1" applyFont="1" applyNumberFormat="1">
      <alignment readingOrder="0" shrinkToFit="0" vertical="top" wrapText="1"/>
    </xf>
    <xf borderId="0" fillId="0" fontId="5" numFmtId="0" xfId="0" applyAlignment="1" applyFont="1">
      <alignment readingOrder="0" shrinkToFit="0" vertical="top" wrapText="1"/>
    </xf>
    <xf borderId="0" fillId="2" fontId="6" numFmtId="49" xfId="0" applyAlignment="1" applyFont="1" applyNumberFormat="1">
      <alignment horizontal="left" readingOrder="0" shrinkToFit="0" vertical="top" wrapText="1"/>
    </xf>
    <xf borderId="0" fillId="0" fontId="120" numFmtId="0" xfId="0" applyAlignment="1" applyFont="1">
      <alignment horizontal="left" readingOrder="0" shrinkToFit="0" vertical="top" wrapText="0"/>
    </xf>
    <xf borderId="0" fillId="0" fontId="121" numFmtId="3" xfId="0" applyAlignment="1" applyFont="1" applyNumberFormat="1">
      <alignment readingOrder="0" shrinkToFit="0" vertical="top" wrapText="1"/>
    </xf>
    <xf borderId="0" fillId="0" fontId="122" numFmtId="0" xfId="0" applyAlignment="1" applyFont="1">
      <alignment readingOrder="0" shrinkToFit="0" vertical="top" wrapText="1"/>
    </xf>
    <xf borderId="0" fillId="0" fontId="123" numFmtId="0" xfId="0" applyAlignment="1" applyFont="1">
      <alignment readingOrder="0" shrinkToFit="0" vertical="top" wrapText="1"/>
    </xf>
    <xf borderId="0" fillId="8" fontId="124" numFmtId="0" xfId="0" applyAlignment="1" applyFont="1">
      <alignment horizontal="left" readingOrder="0" shrinkToFit="0" vertical="top" wrapText="0"/>
    </xf>
    <xf borderId="2" fillId="2" fontId="6" numFmtId="3" xfId="0" applyAlignment="1" applyBorder="1" applyFont="1" applyNumberFormat="1">
      <alignment shrinkToFit="0" vertical="top" wrapText="1"/>
    </xf>
    <xf borderId="2" fillId="2" fontId="4" numFmtId="0" xfId="0" applyAlignment="1" applyBorder="1" applyFont="1">
      <alignment readingOrder="0" shrinkToFit="0" vertical="top" wrapText="1"/>
    </xf>
    <xf borderId="2" fillId="0" fontId="125" numFmtId="0" xfId="0" applyAlignment="1" applyBorder="1" applyFont="1">
      <alignment readingOrder="0" shrinkToFit="0" vertical="top" wrapText="1"/>
    </xf>
    <xf borderId="2" fillId="2" fontId="4" numFmtId="0" xfId="0" applyAlignment="1" applyBorder="1" applyFont="1">
      <alignment horizontal="left" readingOrder="0" shrinkToFit="0" vertical="top" wrapText="0"/>
    </xf>
    <xf borderId="0" fillId="0" fontId="126" numFmtId="0" xfId="0" applyAlignment="1" applyFont="1">
      <alignment readingOrder="0" shrinkToFit="0" vertical="top" wrapText="1"/>
    </xf>
    <xf borderId="0" fillId="2" fontId="101" numFmtId="0" xfId="0" applyAlignment="1" applyFont="1">
      <alignment horizontal="center" readingOrder="0" shrinkToFit="0" vertical="top" wrapText="1"/>
    </xf>
    <xf borderId="0" fillId="2" fontId="101" numFmtId="0" xfId="0" applyAlignment="1" applyFont="1">
      <alignment readingOrder="0" shrinkToFit="0" vertical="top" wrapText="1"/>
    </xf>
    <xf borderId="0" fillId="2" fontId="127" numFmtId="0" xfId="0" applyAlignment="1" applyFont="1">
      <alignment horizontal="left" readingOrder="0" shrinkToFit="0" vertical="top" wrapText="1"/>
    </xf>
    <xf borderId="0" fillId="2" fontId="127" numFmtId="0" xfId="0" applyAlignment="1" applyFont="1">
      <alignment horizontal="right" readingOrder="0" shrinkToFit="0" vertical="top" wrapText="1"/>
    </xf>
    <xf borderId="0" fillId="2" fontId="127" numFmtId="0" xfId="0" applyAlignment="1" applyFont="1">
      <alignment shrinkToFit="0" vertical="top" wrapText="1"/>
    </xf>
    <xf borderId="0" fillId="2" fontId="41" numFmtId="0" xfId="0" applyAlignment="1" applyFont="1">
      <alignment horizontal="left" readingOrder="0" shrinkToFit="0" vertical="top" wrapText="1"/>
    </xf>
    <xf borderId="0" fillId="2" fontId="41" numFmtId="3" xfId="0" applyAlignment="1" applyFont="1" applyNumberFormat="1">
      <alignment horizontal="right" readingOrder="0" shrinkToFit="0" vertical="top" wrapText="1"/>
    </xf>
    <xf borderId="0" fillId="2" fontId="41" numFmtId="0" xfId="0" applyAlignment="1" applyFont="1">
      <alignment readingOrder="0" shrinkToFit="0" vertical="top" wrapText="1"/>
    </xf>
    <xf borderId="0" fillId="0" fontId="41" numFmtId="0" xfId="0" applyAlignment="1" applyFont="1">
      <alignment horizontal="left" readingOrder="0" shrinkToFit="0" vertical="top" wrapText="1"/>
    </xf>
    <xf borderId="0" fillId="0" fontId="41" numFmtId="3" xfId="0" applyAlignment="1" applyFont="1" applyNumberFormat="1">
      <alignment horizontal="right" readingOrder="0" shrinkToFit="0" vertical="top" wrapText="1"/>
    </xf>
    <xf borderId="0" fillId="0" fontId="41" numFmtId="0" xfId="0" applyAlignment="1" applyFont="1">
      <alignment shrinkToFit="0" vertical="top" wrapText="1"/>
    </xf>
    <xf borderId="0" fillId="0" fontId="41" numFmtId="0" xfId="0" applyAlignment="1" applyFont="1">
      <alignment readingOrder="0" shrinkToFit="0" vertical="top" wrapText="1"/>
    </xf>
    <xf borderId="0" fillId="0" fontId="3" numFmtId="0" xfId="0" applyAlignment="1" applyFont="1">
      <alignment shrinkToFit="0" vertical="top" wrapText="1"/>
    </xf>
    <xf borderId="0" fillId="0" fontId="3" numFmtId="0" xfId="0" applyAlignment="1" applyFont="1">
      <alignment horizontal="left" readingOrder="0" shrinkToFit="0" vertical="top" wrapText="1"/>
    </xf>
    <xf borderId="0" fillId="2" fontId="3" numFmtId="0" xfId="0" applyAlignment="1" applyFont="1">
      <alignment readingOrder="0" shrinkToFit="0" vertical="top" wrapText="1"/>
    </xf>
    <xf borderId="0" fillId="2" fontId="41" numFmtId="0" xfId="0" applyAlignment="1" applyFont="1">
      <alignment horizontal="right" shrinkToFit="0" vertical="top" wrapText="1"/>
    </xf>
    <xf borderId="0" fillId="2" fontId="41" numFmtId="0" xfId="0" applyAlignment="1" applyFont="1">
      <alignment shrinkToFit="0" vertical="top" wrapText="1"/>
    </xf>
    <xf borderId="0" fillId="2" fontId="41" numFmtId="0" xfId="0" applyAlignment="1" applyFont="1">
      <alignment shrinkToFit="0" vertical="top" wrapText="1"/>
    </xf>
    <xf borderId="0" fillId="0" fontId="41" numFmtId="0" xfId="0" applyAlignment="1" applyFont="1">
      <alignment horizontal="left" shrinkToFit="0" vertical="top" wrapText="1"/>
    </xf>
    <xf borderId="0" fillId="8" fontId="3" numFmtId="0" xfId="0" applyAlignment="1" applyFont="1">
      <alignment horizontal="left" readingOrder="0" shrinkToFit="0" vertical="top" wrapText="1"/>
    </xf>
    <xf borderId="0" fillId="8" fontId="3" numFmtId="0" xfId="0" applyAlignment="1" applyFont="1">
      <alignment readingOrder="0" shrinkToFit="0" vertical="top" wrapText="1"/>
    </xf>
    <xf borderId="0" fillId="8" fontId="41" numFmtId="0" xfId="0" applyAlignment="1" applyFont="1">
      <alignment horizontal="left" readingOrder="0" shrinkToFit="0" vertical="top" wrapText="1"/>
    </xf>
    <xf borderId="0" fillId="8" fontId="41" numFmtId="3" xfId="0" applyAlignment="1" applyFont="1" applyNumberFormat="1">
      <alignment horizontal="right" readingOrder="0" shrinkToFit="0" vertical="top" wrapText="1"/>
    </xf>
    <xf borderId="0" fillId="8" fontId="41" numFmtId="0" xfId="0" applyAlignment="1" applyFont="1">
      <alignment readingOrder="0" shrinkToFit="0" vertical="top" wrapText="1"/>
    </xf>
    <xf borderId="0" fillId="2" fontId="3" numFmtId="0" xfId="0" applyAlignment="1" applyFont="1">
      <alignment horizontal="left" readingOrder="0" shrinkToFit="0" vertical="top" wrapText="1"/>
    </xf>
    <xf borderId="0" fillId="8" fontId="41" numFmtId="0" xfId="0" applyAlignment="1" applyFont="1">
      <alignment horizontal="right" shrinkToFit="0" vertical="top" wrapText="1"/>
    </xf>
    <xf borderId="0" fillId="2" fontId="3" numFmtId="0" xfId="0" applyAlignment="1" applyFont="1">
      <alignment shrinkToFit="0" vertical="top" wrapText="1"/>
    </xf>
    <xf borderId="0" fillId="2" fontId="3" numFmtId="0" xfId="0" applyAlignment="1" applyFont="1">
      <alignment horizontal="left" shrinkToFit="0" vertical="top" wrapText="1"/>
    </xf>
    <xf borderId="0" fillId="2" fontId="3" numFmtId="3" xfId="0" applyAlignment="1" applyFont="1" applyNumberFormat="1">
      <alignment shrinkToFit="0" vertical="top" wrapText="1"/>
    </xf>
    <xf borderId="0" fillId="2" fontId="3" numFmtId="0" xfId="0" applyAlignment="1" applyFont="1">
      <alignment horizontal="left" shrinkToFit="0" vertical="top" wrapText="1"/>
    </xf>
    <xf borderId="0" fillId="2" fontId="41" numFmtId="0" xfId="0" applyAlignment="1" applyFont="1">
      <alignment horizontal="left" readingOrder="0" shrinkToFit="0" vertical="top" wrapText="1"/>
    </xf>
    <xf borderId="0" fillId="2" fontId="41" numFmtId="0" xfId="0" applyAlignment="1" applyFont="1">
      <alignment horizontal="right" readingOrder="0" shrinkToFit="0" vertical="top" wrapText="1"/>
    </xf>
    <xf borderId="2" fillId="2" fontId="3" numFmtId="0" xfId="0" applyAlignment="1" applyBorder="1" applyFont="1">
      <alignment horizontal="left" readingOrder="0" shrinkToFit="0" vertical="top" wrapText="1"/>
    </xf>
    <xf borderId="2" fillId="0" fontId="3" numFmtId="0" xfId="0" applyAlignment="1" applyBorder="1" applyFont="1">
      <alignment readingOrder="0" shrinkToFit="0" vertical="top" wrapText="1"/>
    </xf>
    <xf borderId="2" fillId="2" fontId="41" numFmtId="0" xfId="0" applyAlignment="1" applyBorder="1" applyFont="1">
      <alignment horizontal="left" readingOrder="0" shrinkToFit="0" vertical="top" wrapText="1"/>
    </xf>
    <xf borderId="2" fillId="2" fontId="41" numFmtId="0" xfId="0" applyAlignment="1" applyBorder="1" applyFont="1">
      <alignment horizontal="right" shrinkToFit="0" vertical="top" wrapText="1"/>
    </xf>
    <xf borderId="2" fillId="2" fontId="41" numFmtId="0" xfId="0" applyAlignment="1" applyBorder="1" applyFont="1">
      <alignment shrinkToFit="0" vertical="top" wrapText="1"/>
    </xf>
    <xf borderId="0" fillId="2" fontId="41" numFmtId="49" xfId="0" applyAlignment="1" applyFont="1" applyNumberFormat="1">
      <alignment horizontal="left" readingOrder="0" shrinkToFit="0" vertical="top" wrapText="1"/>
    </xf>
    <xf borderId="0" fillId="2" fontId="128" numFmtId="3" xfId="0" applyAlignment="1" applyFont="1" applyNumberFormat="1">
      <alignment horizontal="right" readingOrder="0" shrinkToFit="0" vertical="top" wrapText="1"/>
    </xf>
    <xf borderId="0" fillId="0" fontId="128" numFmtId="3" xfId="0" applyAlignment="1" applyFont="1" applyNumberFormat="1">
      <alignment horizontal="right" readingOrder="0" shrinkToFit="0" vertical="top" wrapText="1"/>
    </xf>
    <xf borderId="0" fillId="2" fontId="128" numFmtId="0" xfId="0" applyAlignment="1" applyFont="1">
      <alignment horizontal="right" shrinkToFit="0" vertical="top" wrapText="1"/>
    </xf>
    <xf borderId="0" fillId="8" fontId="128" numFmtId="3" xfId="0" applyAlignment="1" applyFont="1" applyNumberFormat="1">
      <alignment horizontal="right" readingOrder="0" shrinkToFit="0" vertical="top" wrapText="1"/>
    </xf>
    <xf borderId="0" fillId="8" fontId="128" numFmtId="0" xfId="0" applyAlignment="1" applyFont="1">
      <alignment horizontal="right" shrinkToFit="0" vertical="top" wrapText="1"/>
    </xf>
    <xf borderId="0" fillId="2" fontId="128" numFmtId="0" xfId="0" applyAlignment="1" applyFont="1">
      <alignment horizontal="right" readingOrder="0" shrinkToFit="0" vertical="top" wrapText="1"/>
    </xf>
    <xf borderId="2" fillId="2" fontId="128" numFmtId="0" xfId="0" applyAlignment="1" applyBorder="1" applyFont="1">
      <alignment horizontal="right" shrinkToFit="0" vertical="top" wrapText="1"/>
    </xf>
    <xf borderId="0" fillId="0" fontId="129" numFmtId="0" xfId="0" applyAlignment="1" applyFont="1">
      <alignment readingOrder="0" shrinkToFit="0" wrapText="1"/>
    </xf>
    <xf quotePrefix="1" borderId="0" fillId="2" fontId="6" numFmtId="0" xfId="0" applyAlignment="1" applyFont="1">
      <alignment readingOrder="0" shrinkToFit="0" vertical="top" wrapText="1"/>
    </xf>
    <xf borderId="0" fillId="0" fontId="130" numFmtId="0" xfId="0" applyAlignment="1" applyFont="1">
      <alignment readingOrder="0" shrinkToFit="0" wrapText="1"/>
    </xf>
    <xf borderId="0" fillId="9" fontId="6" numFmtId="0" xfId="0" applyAlignment="1" applyFill="1" applyFont="1">
      <alignment horizontal="left" readingOrder="0" shrinkToFit="0" vertical="top" wrapText="1"/>
    </xf>
    <xf borderId="0" fillId="9" fontId="6" numFmtId="3" xfId="0" applyAlignment="1" applyFont="1" applyNumberFormat="1">
      <alignment shrinkToFit="0" vertical="top" wrapText="1"/>
    </xf>
    <xf borderId="0" fillId="9" fontId="4" numFmtId="3" xfId="0" applyAlignment="1" applyFont="1" applyNumberFormat="1">
      <alignment horizontal="left" readingOrder="0" shrinkToFit="0" vertical="top" wrapText="1"/>
    </xf>
    <xf borderId="0" fillId="9" fontId="4" numFmtId="0" xfId="0" applyAlignment="1" applyFont="1">
      <alignment horizontal="left" readingOrder="0" shrinkToFit="0" vertical="top" wrapText="1"/>
    </xf>
    <xf borderId="0" fillId="9" fontId="4" numFmtId="0" xfId="0" applyAlignment="1" applyFont="1">
      <alignment horizontal="left" shrinkToFit="0" vertical="top" wrapText="1"/>
    </xf>
    <xf borderId="0" fillId="9" fontId="4" numFmtId="3" xfId="0" applyAlignment="1" applyFont="1" applyNumberFormat="1">
      <alignment horizontal="right" readingOrder="0" shrinkToFit="0" vertical="top" wrapText="1"/>
    </xf>
    <xf borderId="0" fillId="9" fontId="4" numFmtId="0" xfId="0" applyAlignment="1" applyFont="1">
      <alignment readingOrder="0" shrinkToFit="0" vertical="top" wrapText="1"/>
    </xf>
    <xf borderId="0" fillId="9" fontId="131" numFmtId="0" xfId="0" applyAlignment="1" applyFont="1">
      <alignment readingOrder="0" shrinkToFit="0" wrapText="1"/>
    </xf>
    <xf borderId="0" fillId="9" fontId="4" numFmtId="0" xfId="0" applyAlignment="1" applyFont="1">
      <alignment horizontal="left" readingOrder="0" shrinkToFit="0" vertical="top" wrapText="0"/>
    </xf>
    <xf borderId="0" fillId="0" fontId="132" numFmtId="0" xfId="0" applyAlignment="1" applyFont="1">
      <alignment readingOrder="0" shrinkToFit="0" wrapText="1"/>
    </xf>
    <xf borderId="0" fillId="9" fontId="4" numFmtId="0" xfId="0" applyAlignment="1" applyFont="1">
      <alignment shrinkToFit="0" vertical="top" wrapText="1"/>
    </xf>
    <xf borderId="0" fillId="9" fontId="128" numFmtId="3" xfId="0" applyAlignment="1" applyFont="1" applyNumberFormat="1">
      <alignment horizontal="right" readingOrder="0" shrinkToFit="0" vertical="top" wrapText="1"/>
    </xf>
    <xf borderId="0" fillId="9" fontId="41" numFmtId="0" xfId="0" applyAlignment="1" applyFont="1">
      <alignment horizontal="left" shrinkToFit="0" vertical="top" wrapText="1"/>
    </xf>
    <xf borderId="0" fillId="9" fontId="133" numFmtId="0" xfId="0" applyAlignment="1" applyFont="1">
      <alignment horizontal="left" readingOrder="0" shrinkToFit="0" vertical="top" wrapText="0"/>
    </xf>
    <xf borderId="0" fillId="9" fontId="39" numFmtId="0" xfId="0" applyAlignment="1" applyFont="1">
      <alignment readingOrder="0" shrinkToFit="0" vertical="top" wrapText="1"/>
    </xf>
    <xf borderId="0" fillId="9" fontId="5" numFmtId="0" xfId="0" applyAlignment="1" applyFont="1">
      <alignment horizontal="left" shrinkToFit="0" vertical="top" wrapText="0"/>
    </xf>
    <xf borderId="0" fillId="9" fontId="6" numFmtId="0" xfId="0" applyAlignment="1" applyFont="1">
      <alignment horizontal="left" readingOrder="0" shrinkToFit="0" vertical="top" wrapText="1"/>
    </xf>
    <xf borderId="0" fillId="9" fontId="39" numFmtId="0" xfId="0" applyAlignment="1" applyFont="1">
      <alignment shrinkToFit="0" vertical="top" wrapText="1"/>
    </xf>
    <xf borderId="0" fillId="9" fontId="4" numFmtId="0" xfId="0" applyAlignment="1" applyFont="1">
      <alignment horizontal="left" readingOrder="0" shrinkToFit="0" vertical="top" wrapText="1"/>
    </xf>
    <xf borderId="0" fillId="9" fontId="128" numFmtId="0" xfId="0" applyAlignment="1" applyFont="1">
      <alignment horizontal="right" shrinkToFit="0" vertical="top" wrapText="1"/>
    </xf>
    <xf borderId="0" fillId="9" fontId="4" numFmtId="0" xfId="0" applyAlignment="1" applyFont="1">
      <alignment shrinkToFit="0" vertical="top" wrapText="1"/>
    </xf>
    <xf borderId="0" fillId="9" fontId="134" numFmtId="0" xfId="0" applyAlignment="1" applyFont="1">
      <alignment horizontal="left" readingOrder="0" shrinkToFit="0" vertical="top" wrapText="0"/>
    </xf>
    <xf borderId="0" fillId="9" fontId="6" numFmtId="0" xfId="0" applyAlignment="1" applyFont="1">
      <alignment readingOrder="0" shrinkToFit="0" vertical="top" wrapText="1"/>
    </xf>
    <xf borderId="0" fillId="9" fontId="135" numFmtId="0" xfId="0" applyAlignment="1" applyFont="1">
      <alignment readingOrder="0" shrinkToFit="0" vertical="top" wrapText="0"/>
    </xf>
    <xf borderId="0" fillId="9" fontId="5" numFmtId="0" xfId="0" applyAlignment="1" applyFont="1">
      <alignment shrinkToFit="0" vertical="top" wrapText="0"/>
    </xf>
    <xf borderId="0" fillId="9" fontId="5" numFmtId="0" xfId="0" applyAlignment="1" applyFont="1">
      <alignment horizontal="left" readingOrder="0" shrinkToFit="0" vertical="top" wrapText="0"/>
    </xf>
    <xf borderId="0" fillId="0" fontId="136" numFmtId="0" xfId="0" applyAlignment="1" applyFont="1">
      <alignment horizontal="left" readingOrder="0" shrinkToFit="0" vertical="top" wrapText="1"/>
    </xf>
    <xf borderId="0" fillId="0" fontId="109" numFmtId="0" xfId="0" applyAlignment="1" applyFont="1">
      <alignment horizontal="left" readingOrder="0" shrinkToFit="0" vertical="top" wrapText="1"/>
    </xf>
    <xf borderId="0" fillId="0" fontId="109" numFmtId="3" xfId="0" applyAlignment="1" applyFont="1" applyNumberFormat="1">
      <alignment horizontal="left" readingOrder="0" shrinkToFit="0" vertical="top" wrapText="1"/>
    </xf>
    <xf borderId="0" fillId="0" fontId="109" numFmtId="49" xfId="0" applyAlignment="1" applyFont="1" applyNumberFormat="1">
      <alignment horizontal="left" readingOrder="0" shrinkToFit="0" vertical="top" wrapText="1"/>
    </xf>
    <xf borderId="0" fillId="10" fontId="136" numFmtId="0" xfId="0" applyAlignment="1" applyFill="1" applyFont="1">
      <alignment horizontal="left" shrinkToFit="0" vertical="top" wrapText="1"/>
    </xf>
    <xf borderId="0" fillId="0" fontId="109" numFmtId="0" xfId="0" applyAlignment="1" applyFont="1">
      <alignment horizontal="left" readingOrder="0" shrinkToFit="0" vertical="top" wrapText="0"/>
    </xf>
    <xf borderId="0" fillId="0" fontId="109" numFmtId="0" xfId="0" applyAlignment="1" applyFont="1">
      <alignment horizontal="left" shrinkToFit="0" vertical="top" wrapText="1"/>
    </xf>
    <xf borderId="0" fillId="11" fontId="136" numFmtId="0" xfId="0" applyAlignment="1" applyFill="1" applyFont="1">
      <alignment horizontal="left" shrinkToFit="0" vertical="top" wrapText="1"/>
    </xf>
    <xf borderId="0" fillId="0" fontId="89" numFmtId="0" xfId="0" applyAlignment="1" applyFont="1">
      <alignment shrinkToFit="0" vertical="top" wrapText="1"/>
    </xf>
    <xf borderId="0" fillId="0" fontId="136" numFmtId="3" xfId="0" applyAlignment="1" applyFont="1" applyNumberFormat="1">
      <alignment horizontal="left" readingOrder="0" shrinkToFit="0" vertical="top" wrapText="1"/>
    </xf>
    <xf borderId="0" fillId="2" fontId="137" numFmtId="0" xfId="0" applyAlignment="1" applyFont="1">
      <alignment horizontal="left" readingOrder="0" shrinkToFit="0" vertical="top" wrapText="1"/>
    </xf>
    <xf borderId="0" fillId="2" fontId="137" numFmtId="49" xfId="0" applyAlignment="1" applyFont="1" applyNumberFormat="1">
      <alignment horizontal="left" readingOrder="0" shrinkToFit="0" vertical="top" wrapText="1"/>
    </xf>
    <xf borderId="0" fillId="0" fontId="136" numFmtId="0" xfId="0" applyAlignment="1" applyFont="1">
      <alignment horizontal="left" readingOrder="0" shrinkToFit="0" vertical="top" wrapText="0"/>
    </xf>
    <xf borderId="0" fillId="0" fontId="136" numFmtId="0" xfId="0" applyAlignment="1" applyFont="1">
      <alignment horizontal="left" shrinkToFit="0" vertical="top" wrapText="1"/>
    </xf>
    <xf borderId="0" fillId="0" fontId="109" numFmtId="49" xfId="0" applyAlignment="1" applyFont="1" applyNumberFormat="1">
      <alignment horizontal="left" shrinkToFit="0" vertical="top" wrapText="1"/>
    </xf>
    <xf borderId="0" fillId="0" fontId="7" numFmtId="3" xfId="0" applyAlignment="1" applyFont="1" applyNumberFormat="1">
      <alignment horizontal="left" readingOrder="0" shrinkToFit="0" vertical="top" wrapText="1"/>
    </xf>
    <xf borderId="0" fillId="10" fontId="109" numFmtId="0" xfId="0" applyAlignment="1" applyFont="1">
      <alignment horizontal="left" shrinkToFit="0" vertical="top" wrapText="1"/>
    </xf>
    <xf borderId="0" fillId="0" fontId="109" numFmtId="0" xfId="0" applyAlignment="1" applyFont="1">
      <alignment horizontal="left" shrinkToFit="0" vertical="top" wrapText="0"/>
    </xf>
    <xf borderId="0" fillId="2" fontId="109" numFmtId="0" xfId="0" applyAlignment="1" applyFont="1">
      <alignment horizontal="left" shrinkToFit="0" vertical="top" wrapText="1"/>
    </xf>
    <xf borderId="0" fillId="11" fontId="109" numFmtId="0" xfId="0" applyAlignment="1" applyFont="1">
      <alignment horizontal="left" shrinkToFit="0" vertical="top" wrapText="1"/>
    </xf>
    <xf borderId="0" fillId="0" fontId="7" numFmtId="49" xfId="0" applyAlignment="1" applyFont="1" applyNumberFormat="1">
      <alignment horizontal="left" readingOrder="0" shrinkToFit="0" vertical="top" wrapText="1"/>
    </xf>
    <xf borderId="0" fillId="0" fontId="138" numFmtId="0" xfId="0" applyAlignment="1" applyFont="1">
      <alignment horizontal="left" readingOrder="0" shrinkToFit="0" vertical="top" wrapText="0"/>
    </xf>
    <xf borderId="0" fillId="0" fontId="89" numFmtId="0" xfId="0" applyAlignment="1" applyFont="1">
      <alignment horizontal="left" shrinkToFit="0" vertical="top" wrapText="1"/>
    </xf>
    <xf borderId="0" fillId="0" fontId="136" numFmtId="0" xfId="0" applyAlignment="1" applyFont="1">
      <alignment readingOrder="0" shrinkToFit="0" vertical="top" wrapText="1"/>
    </xf>
    <xf borderId="0" fillId="0" fontId="109" numFmtId="0" xfId="0" applyAlignment="1" applyFont="1">
      <alignment readingOrder="0" shrinkToFit="0" vertical="top" wrapText="1"/>
    </xf>
    <xf borderId="0" fillId="0" fontId="109" numFmtId="0" xfId="0" applyAlignment="1" applyFont="1">
      <alignment shrinkToFit="0" vertical="top" wrapText="1"/>
    </xf>
    <xf borderId="0" fillId="0" fontId="109" numFmtId="0" xfId="0" applyAlignment="1" applyFont="1">
      <alignment horizontal="left" readingOrder="0" shrinkToFit="0" vertical="top" wrapText="1"/>
    </xf>
    <xf borderId="0" fillId="0" fontId="109" numFmtId="0" xfId="0" applyAlignment="1" applyFont="1">
      <alignment shrinkToFit="0" vertical="top" wrapText="0"/>
    </xf>
    <xf borderId="0" fillId="11" fontId="109" numFmtId="0" xfId="0" applyAlignment="1" applyFont="1">
      <alignment shrinkToFit="0" vertical="top" wrapText="1"/>
    </xf>
    <xf borderId="0" fillId="0" fontId="136" numFmtId="0" xfId="0" applyAlignment="1" applyFont="1">
      <alignment readingOrder="0" shrinkToFit="0" vertical="top" wrapText="1"/>
    </xf>
    <xf borderId="0" fillId="0" fontId="139" numFmtId="0" xfId="0" applyAlignment="1" applyFont="1">
      <alignment readingOrder="0" shrinkToFit="0" vertical="top" wrapText="1"/>
    </xf>
    <xf borderId="0" fillId="0" fontId="140" numFmtId="0" xfId="0" applyAlignment="1" applyFont="1">
      <alignment readingOrder="0" shrinkToFit="0" vertical="top" wrapText="1"/>
    </xf>
    <xf borderId="0" fillId="0" fontId="141" numFmtId="0" xfId="0" applyAlignment="1" applyFont="1">
      <alignment horizontal="left" readingOrder="0" shrinkToFit="0" vertical="top" wrapText="1"/>
    </xf>
    <xf borderId="0" fillId="0" fontId="11" numFmtId="0" xfId="0" applyAlignment="1" applyFont="1">
      <alignment readingOrder="0" shrinkToFit="0" vertical="top" wrapText="1"/>
    </xf>
    <xf borderId="0" fillId="0" fontId="7" numFmtId="0" xfId="0" applyAlignment="1" applyFont="1">
      <alignment readingOrder="0" shrinkToFit="0" vertical="top" wrapText="1"/>
    </xf>
    <xf borderId="0" fillId="0" fontId="7" numFmtId="0" xfId="0" applyAlignment="1" applyFont="1">
      <alignment horizontal="left" readingOrder="0" shrinkToFit="0" vertical="top" wrapText="1"/>
    </xf>
    <xf borderId="0" fillId="12" fontId="142" numFmtId="0" xfId="0" applyAlignment="1" applyFill="1" applyFont="1">
      <alignment shrinkToFit="0" vertical="top" wrapText="1"/>
    </xf>
    <xf borderId="0" fillId="0" fontId="143" numFmtId="3" xfId="0" applyAlignment="1" applyFont="1" applyNumberFormat="1">
      <alignment horizontal="left" readingOrder="0" shrinkToFit="0" vertical="top" wrapText="1"/>
    </xf>
    <xf borderId="0" fillId="0" fontId="7" numFmtId="0" xfId="0" applyAlignment="1" applyFont="1">
      <alignment shrinkToFit="0" vertical="top" wrapText="0"/>
    </xf>
    <xf borderId="0" fillId="0" fontId="7" numFmtId="0" xfId="0" applyAlignment="1" applyFont="1">
      <alignment horizontal="left" shrinkToFit="0" vertical="top" wrapText="1"/>
    </xf>
    <xf borderId="0" fillId="11" fontId="144" numFmtId="0" xfId="0" applyAlignment="1" applyFont="1">
      <alignment shrinkToFit="0" vertical="top" wrapText="1"/>
    </xf>
    <xf borderId="0" fillId="0" fontId="89" numFmtId="0" xfId="0" applyAlignment="1" applyFont="1">
      <alignment readingOrder="0" shrinkToFit="0" vertical="top" wrapText="1"/>
    </xf>
    <xf borderId="0" fillId="0" fontId="89" numFmtId="0" xfId="0" applyAlignment="1" applyFont="1">
      <alignment horizontal="left" readingOrder="0" shrinkToFit="0" vertical="top" wrapText="1"/>
    </xf>
    <xf borderId="0" fillId="0" fontId="145" numFmtId="0" xfId="0" applyAlignment="1" applyFont="1">
      <alignment readingOrder="0" shrinkToFit="0" vertical="top" wrapText="1"/>
    </xf>
    <xf borderId="0" fillId="0" fontId="136" numFmtId="0" xfId="0" applyAlignment="1" applyFont="1">
      <alignment shrinkToFit="0" vertical="top" wrapText="1"/>
    </xf>
    <xf borderId="0" fillId="0" fontId="89" numFmtId="49" xfId="0" applyAlignment="1" applyFont="1" applyNumberFormat="1">
      <alignment shrinkToFit="0" vertical="top" wrapText="1"/>
    </xf>
    <xf borderId="0" fillId="0" fontId="109" numFmtId="3" xfId="0" applyAlignment="1" applyFont="1" applyNumberFormat="1">
      <alignment horizontal="left" shrinkToFit="0" vertical="top" wrapText="1"/>
    </xf>
    <xf borderId="0" fillId="0" fontId="7" numFmtId="49" xfId="0" applyAlignment="1" applyFont="1" applyNumberFormat="1">
      <alignment horizontal="left" shrinkToFit="0" vertical="top" wrapText="1"/>
    </xf>
    <xf borderId="0" fillId="0" fontId="89" numFmtId="49" xfId="0" applyAlignment="1" applyFont="1" applyNumberFormat="1">
      <alignment horizontal="left" readingOrder="0" shrinkToFit="0" vertical="top" wrapText="1"/>
    </xf>
    <xf borderId="0" fillId="0" fontId="109" numFmtId="3" xfId="0" applyAlignment="1" applyFont="1" applyNumberFormat="1">
      <alignment shrinkToFit="0" vertical="top" wrapText="1"/>
    </xf>
    <xf borderId="0" fillId="10" fontId="109" numFmtId="0" xfId="0" applyAlignment="1" applyFont="1">
      <alignment shrinkToFit="0" vertical="top" wrapText="1"/>
    </xf>
    <xf borderId="0" fillId="0" fontId="11" numFmtId="0" xfId="0" applyAlignment="1" applyFont="1">
      <alignment horizontal="left" shrinkToFit="0" vertical="top" wrapText="1"/>
    </xf>
    <xf borderId="0" fillId="0" fontId="7" numFmtId="3" xfId="0" applyAlignment="1" applyFont="1" applyNumberFormat="1">
      <alignment horizontal="left" shrinkToFit="0" vertical="top" wrapText="1"/>
    </xf>
    <xf borderId="0" fillId="10" fontId="7" numFmtId="0" xfId="0" applyAlignment="1" applyFont="1">
      <alignment horizontal="left" shrinkToFit="0" vertical="top" wrapText="1"/>
    </xf>
    <xf borderId="0" fillId="0" fontId="7" numFmtId="0" xfId="0" applyAlignment="1" applyFont="1">
      <alignment horizontal="left" shrinkToFit="0" vertical="top" wrapText="0"/>
    </xf>
    <xf borderId="0" fillId="2" fontId="7" numFmtId="0" xfId="0" applyAlignment="1" applyFont="1">
      <alignment horizontal="left" shrinkToFit="0" vertical="top" wrapText="1"/>
    </xf>
    <xf borderId="0" fillId="11" fontId="7" numFmtId="0" xfId="0" applyAlignment="1" applyFont="1">
      <alignment horizontal="left" shrinkToFit="0" vertical="top" wrapText="1"/>
    </xf>
    <xf borderId="0" fillId="0" fontId="11" numFmtId="0" xfId="0" applyAlignment="1" applyFont="1">
      <alignment horizontal="left" readingOrder="0" shrinkToFit="0" vertical="top" wrapText="1"/>
    </xf>
    <xf borderId="0" fillId="0" fontId="146" numFmtId="0" xfId="0" applyAlignment="1" applyFont="1">
      <alignment horizontal="left" readingOrder="0" shrinkToFit="0" vertical="top" wrapText="0"/>
    </xf>
    <xf borderId="0" fillId="0" fontId="136" numFmtId="0" xfId="0" applyAlignment="1" applyFont="1">
      <alignment horizontal="left" readingOrder="0" shrinkToFit="0" vertical="top" wrapText="1"/>
    </xf>
    <xf borderId="0" fillId="0" fontId="147" numFmtId="0" xfId="0" applyAlignment="1" applyFont="1">
      <alignment horizontal="left" readingOrder="0" shrinkToFit="0" vertical="top" wrapText="1"/>
    </xf>
    <xf borderId="0" fillId="0" fontId="11"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12" fontId="142" numFmtId="0" xfId="0" applyAlignment="1" applyFont="1">
      <alignment horizontal="left" shrinkToFit="0" vertical="top" wrapText="1"/>
    </xf>
    <xf borderId="0" fillId="0" fontId="148" numFmtId="0" xfId="0" applyAlignment="1" applyFont="1">
      <alignment horizontal="left" readingOrder="0" shrinkToFit="0" vertical="top" wrapText="0"/>
    </xf>
    <xf borderId="0" fillId="11" fontId="144" numFmtId="0" xfId="0" applyAlignment="1" applyFont="1">
      <alignment horizontal="left" shrinkToFit="0" vertical="top" wrapText="1"/>
    </xf>
    <xf borderId="0" fillId="0" fontId="109" numFmtId="0" xfId="0" applyAlignment="1" applyFont="1">
      <alignment readingOrder="0" shrinkToFit="0" wrapText="1"/>
    </xf>
    <xf borderId="0" fillId="0" fontId="149" numFmtId="0" xfId="0" applyAlignment="1" applyFont="1">
      <alignment horizontal="left" readingOrder="0" shrinkToFit="0" vertical="top" wrapText="1"/>
    </xf>
    <xf borderId="0" fillId="2" fontId="150" numFmtId="0" xfId="0" applyAlignment="1" applyFont="1">
      <alignment readingOrder="0" shrinkToFit="0" wrapText="1"/>
    </xf>
    <xf borderId="0" fillId="2" fontId="6" numFmtId="0" xfId="0" applyAlignment="1" applyFont="1">
      <alignment readingOrder="0" shrinkToFit="0" wrapText="1"/>
    </xf>
    <xf borderId="0" fillId="0" fontId="4" numFmtId="3" xfId="0" applyAlignment="1" applyFont="1" applyNumberFormat="1">
      <alignment horizontal="left" readingOrder="0" shrinkToFit="0" vertical="top" wrapText="1"/>
    </xf>
    <xf borderId="0" fillId="0" fontId="4" numFmtId="49" xfId="0" applyAlignment="1" applyFont="1" applyNumberFormat="1">
      <alignment horizontal="left" readingOrder="0" shrinkToFit="0" vertical="top" wrapText="1"/>
    </xf>
    <xf borderId="0" fillId="10" fontId="4" numFmtId="0" xfId="0" applyAlignment="1" applyFont="1">
      <alignment horizontal="left" shrinkToFit="0" vertical="top" wrapText="1"/>
    </xf>
    <xf borderId="0" fillId="0" fontId="151" numFmtId="0" xfId="0" applyAlignment="1" applyFont="1">
      <alignment horizontal="left" readingOrder="0" shrinkToFit="0" vertical="top" wrapText="0"/>
    </xf>
    <xf borderId="0" fillId="0" fontId="4" numFmtId="0" xfId="0" applyAlignment="1" applyFont="1">
      <alignment horizontal="left" shrinkToFit="0" vertical="top" wrapText="0"/>
    </xf>
    <xf borderId="0" fillId="11" fontId="4" numFmtId="0" xfId="0" applyAlignment="1" applyFont="1">
      <alignment horizontal="left" shrinkToFit="0" vertical="top" wrapText="1"/>
    </xf>
    <xf borderId="0" fillId="2" fontId="137" numFmtId="3" xfId="0" applyAlignment="1" applyFont="1" applyNumberFormat="1">
      <alignment horizontal="left" readingOrder="0" shrinkToFit="0" vertical="top" wrapText="1"/>
    </xf>
    <xf borderId="0" fillId="0" fontId="152" numFmtId="3" xfId="0" applyAlignment="1" applyFont="1" applyNumberFormat="1">
      <alignment horizontal="left" readingOrder="0" shrinkToFit="0" vertical="top" wrapText="1"/>
    </xf>
    <xf borderId="0" fillId="0" fontId="153" numFmtId="0" xfId="0" applyAlignment="1" applyFont="1">
      <alignment horizontal="left" readingOrder="0" shrinkToFit="0" vertical="top" wrapText="1"/>
    </xf>
    <xf borderId="0" fillId="0" fontId="153" numFmtId="3" xfId="0" applyAlignment="1" applyFont="1" applyNumberFormat="1">
      <alignment horizontal="left" shrinkToFit="0" vertical="top" wrapText="1"/>
    </xf>
    <xf borderId="0" fillId="0" fontId="153" numFmtId="3" xfId="0" applyAlignment="1" applyFont="1" applyNumberFormat="1">
      <alignment horizontal="left" readingOrder="0" shrinkToFit="0" vertical="top" wrapText="1"/>
    </xf>
    <xf borderId="0" fillId="0" fontId="153" numFmtId="0" xfId="0" applyAlignment="1" applyFont="1">
      <alignment horizontal="left" shrinkToFit="0" vertical="top" wrapText="1"/>
    </xf>
    <xf borderId="0" fillId="10" fontId="153" numFmtId="0" xfId="0" applyAlignment="1" applyFont="1">
      <alignment horizontal="left" shrinkToFit="0" vertical="top" wrapText="1"/>
    </xf>
    <xf borderId="0" fillId="0" fontId="153" numFmtId="0" xfId="0" applyAlignment="1" applyFont="1">
      <alignment horizontal="left" shrinkToFit="0" vertical="top" wrapText="0"/>
    </xf>
    <xf borderId="0" fillId="0" fontId="154" numFmtId="0" xfId="0" applyAlignment="1" applyFont="1">
      <alignment horizontal="left" shrinkToFit="0" vertical="top" wrapText="1"/>
    </xf>
    <xf borderId="0" fillId="11" fontId="153" numFmtId="0" xfId="0" applyAlignment="1" applyFont="1">
      <alignment horizontal="left" shrinkToFit="0" vertical="top" wrapText="1"/>
    </xf>
    <xf borderId="0" fillId="0" fontId="155" numFmtId="0" xfId="0" applyAlignment="1" applyFont="1">
      <alignment horizontal="left" readingOrder="0" shrinkToFit="0" vertical="top" wrapText="1"/>
    </xf>
    <xf borderId="0" fillId="0" fontId="155" numFmtId="3" xfId="0" applyAlignment="1" applyFont="1" applyNumberFormat="1">
      <alignment horizontal="left" readingOrder="0" shrinkToFit="0" vertical="top" wrapText="1"/>
    </xf>
    <xf borderId="0" fillId="0" fontId="155" numFmtId="0" xfId="0" applyAlignment="1" applyFont="1">
      <alignment horizontal="left" readingOrder="0" shrinkToFit="0" vertical="top" wrapText="0"/>
    </xf>
    <xf borderId="0" fillId="0" fontId="155" numFmtId="0" xfId="0" applyAlignment="1" applyFont="1">
      <alignment horizontal="left" shrinkToFit="0" vertical="top" wrapText="1"/>
    </xf>
    <xf borderId="0" fillId="0" fontId="156" numFmtId="0" xfId="0" applyAlignment="1" applyFont="1">
      <alignment horizontal="left" readingOrder="0" shrinkToFit="0" vertical="top" wrapText="1"/>
    </xf>
    <xf borderId="0" fillId="0" fontId="11" numFmtId="3" xfId="0" applyAlignment="1" applyFont="1" applyNumberFormat="1">
      <alignment horizontal="left" readingOrder="0" shrinkToFit="0" vertical="top" wrapText="1"/>
    </xf>
    <xf borderId="0" fillId="2" fontId="157" numFmtId="0" xfId="0" applyAlignment="1" applyFont="1">
      <alignment horizontal="left" readingOrder="0" shrinkToFit="0" vertical="top" wrapText="1"/>
    </xf>
    <xf borderId="0" fillId="2" fontId="158" numFmtId="3" xfId="0" applyAlignment="1" applyFont="1" applyNumberFormat="1">
      <alignment horizontal="left" readingOrder="0" shrinkToFit="0" vertical="top" wrapText="1"/>
    </xf>
    <xf borderId="0" fillId="0" fontId="159" numFmtId="0" xfId="0" applyAlignment="1" applyFont="1">
      <alignment horizontal="left" readingOrder="0" shrinkToFit="0" vertical="top" wrapText="1"/>
    </xf>
    <xf borderId="0" fillId="0" fontId="142" numFmtId="0" xfId="0" applyAlignment="1" applyFont="1">
      <alignment horizontal="left" shrinkToFit="0" vertical="top" wrapText="1"/>
    </xf>
    <xf borderId="0" fillId="0" fontId="160" numFmtId="0" xfId="0" applyAlignment="1" applyFont="1">
      <alignment horizontal="left" readingOrder="0" shrinkToFit="0" vertical="top" wrapText="1"/>
    </xf>
    <xf borderId="0" fillId="0" fontId="142" numFmtId="3" xfId="0" applyAlignment="1" applyFont="1" applyNumberFormat="1">
      <alignment horizontal="left" readingOrder="0" shrinkToFit="0" vertical="top" wrapText="1"/>
    </xf>
    <xf borderId="0" fillId="0" fontId="161" numFmtId="0" xfId="0" applyAlignment="1" applyFont="1">
      <alignment horizontal="left" shrinkToFit="0" vertical="top" wrapText="1"/>
    </xf>
    <xf borderId="0" fillId="0" fontId="142" numFmtId="3" xfId="0" applyAlignment="1" applyFont="1" applyNumberFormat="1">
      <alignment horizontal="left" shrinkToFit="0" vertical="top" wrapText="1"/>
    </xf>
    <xf borderId="0" fillId="0" fontId="142" numFmtId="0" xfId="0" applyAlignment="1" applyFont="1">
      <alignment horizontal="left" readingOrder="0" shrinkToFit="0" vertical="top" wrapText="1"/>
    </xf>
    <xf borderId="0" fillId="0" fontId="160" numFmtId="0" xfId="0" applyAlignment="1" applyFont="1">
      <alignment horizontal="left" shrinkToFit="0" vertical="top" wrapText="1"/>
    </xf>
    <xf borderId="0" fillId="2" fontId="160" numFmtId="0" xfId="0" applyAlignment="1" applyFont="1">
      <alignment horizontal="left" shrinkToFit="0" vertical="top" wrapText="1"/>
    </xf>
    <xf borderId="0" fillId="0" fontId="162" numFmtId="0" xfId="0" applyAlignment="1" applyFont="1">
      <alignment readingOrder="0" shrinkToFit="0" vertical="top" wrapText="0"/>
    </xf>
    <xf borderId="0" fillId="0" fontId="76" numFmtId="0" xfId="0" applyAlignment="1" applyFont="1">
      <alignment horizontal="left" shrinkToFit="0" vertical="top" wrapText="1"/>
    </xf>
    <xf borderId="0" fillId="2" fontId="109" numFmtId="0" xfId="0" applyAlignment="1" applyFont="1">
      <alignment horizontal="left" readingOrder="0" shrinkToFit="0" vertical="top" wrapText="1"/>
    </xf>
    <xf borderId="0" fillId="0" fontId="71" numFmtId="0" xfId="0" applyAlignment="1" applyFont="1">
      <alignment horizontal="left" readingOrder="0" shrinkToFit="0" vertical="top" wrapText="1"/>
    </xf>
    <xf borderId="0" fillId="2" fontId="7" numFmtId="0" xfId="0" applyAlignment="1" applyFont="1">
      <alignment horizontal="left" readingOrder="0" shrinkToFit="0" vertical="top" wrapText="1"/>
    </xf>
    <xf borderId="0" fillId="0" fontId="163" numFmtId="49" xfId="0" applyAlignment="1" applyFont="1" applyNumberFormat="1">
      <alignment horizontal="left" readingOrder="0" shrinkToFit="0" vertical="top" wrapText="1"/>
    </xf>
    <xf borderId="1" fillId="0" fontId="109" numFmtId="0" xfId="0" applyAlignment="1" applyBorder="1" applyFont="1">
      <alignment horizontal="left" readingOrder="0" shrinkToFit="0" vertical="top" wrapText="1"/>
    </xf>
    <xf borderId="3" fillId="0" fontId="142" numFmtId="0" xfId="0" applyAlignment="1" applyBorder="1" applyFont="1">
      <alignment horizontal="left" shrinkToFit="0" vertical="top" wrapText="1"/>
    </xf>
    <xf borderId="1" fillId="0" fontId="142" numFmtId="0" xfId="0" applyAlignment="1" applyBorder="1" applyFont="1">
      <alignment horizontal="left" shrinkToFit="0" vertical="top" wrapText="1"/>
    </xf>
    <xf borderId="3" fillId="0" fontId="160" numFmtId="0" xfId="0" applyAlignment="1" applyBorder="1" applyFont="1">
      <alignment horizontal="left" shrinkToFit="0" vertical="top" wrapText="1"/>
    </xf>
    <xf borderId="1" fillId="0" fontId="160" numFmtId="0" xfId="0" applyAlignment="1" applyBorder="1" applyFont="1">
      <alignment horizontal="left" shrinkToFit="0" vertical="top" wrapText="1"/>
    </xf>
    <xf borderId="0" fillId="2" fontId="142" numFmtId="0" xfId="0" applyAlignment="1" applyFont="1">
      <alignment horizontal="left" shrinkToFit="0" vertical="top" wrapText="1"/>
    </xf>
    <xf borderId="3" fillId="0" fontId="109" numFmtId="0" xfId="0" applyAlignment="1" applyBorder="1" applyFont="1">
      <alignment horizontal="left" shrinkToFit="0" vertical="top" wrapText="1"/>
    </xf>
    <xf borderId="1" fillId="0" fontId="109" numFmtId="0" xfId="0" applyAlignment="1" applyBorder="1" applyFont="1">
      <alignment horizontal="left" shrinkToFit="0" vertical="top" wrapText="1"/>
    </xf>
    <xf borderId="3" fillId="2" fontId="142" numFmtId="0" xfId="0" applyAlignment="1" applyBorder="1" applyFont="1">
      <alignment horizontal="left" shrinkToFit="0" vertical="top" wrapText="1"/>
    </xf>
    <xf borderId="1" fillId="2" fontId="142" numFmtId="0" xfId="0" applyAlignment="1" applyBorder="1" applyFont="1">
      <alignment horizontal="left" shrinkToFit="0" vertical="top" wrapText="1"/>
    </xf>
    <xf borderId="4" fillId="2" fontId="142" numFmtId="0" xfId="0" applyAlignment="1" applyBorder="1" applyFont="1">
      <alignment horizontal="left" shrinkToFit="0" vertical="top" wrapText="1"/>
    </xf>
    <xf borderId="0" fillId="0" fontId="164" numFmtId="0" xfId="0" applyAlignment="1" applyFont="1">
      <alignment readingOrder="0" shrinkToFit="0" vertical="top" wrapText="1"/>
    </xf>
    <xf borderId="0" fillId="0" fontId="165" numFmtId="0" xfId="0" applyAlignment="1" applyFont="1">
      <alignment shrinkToFit="0" vertical="top" wrapText="1"/>
    </xf>
    <xf borderId="0" fillId="0" fontId="164" numFmtId="0" xfId="0" applyAlignment="1" applyFont="1">
      <alignment horizontal="right" readingOrder="0" shrinkToFit="0" vertical="top" wrapText="1"/>
    </xf>
    <xf borderId="0" fillId="0" fontId="166" numFmtId="0" xfId="0" applyAlignment="1" applyFont="1">
      <alignment readingOrder="0" shrinkToFit="0" vertical="top" wrapText="1"/>
    </xf>
    <xf borderId="0" fillId="0" fontId="166" numFmtId="0" xfId="0" applyAlignment="1" applyFont="1">
      <alignment readingOrder="0" shrinkToFit="0" vertical="top" wrapText="0"/>
    </xf>
    <xf borderId="0" fillId="0" fontId="166" numFmtId="0" xfId="0" applyAlignment="1" applyFont="1">
      <alignment shrinkToFit="0" vertical="top" wrapText="0"/>
    </xf>
    <xf borderId="0" fillId="0" fontId="164" numFmtId="0" xfId="0" applyAlignment="1" applyFont="1">
      <alignment shrinkToFit="0" vertical="top" wrapText="1"/>
    </xf>
    <xf borderId="0" fillId="0" fontId="89" numFmtId="3" xfId="0" applyAlignment="1" applyFont="1" applyNumberFormat="1">
      <alignment horizontal="right" readingOrder="0" shrinkToFit="0" vertical="top" wrapText="1"/>
    </xf>
    <xf borderId="0" fillId="0" fontId="165" numFmtId="0" xfId="0" applyAlignment="1" applyFont="1">
      <alignment readingOrder="0" shrinkToFit="0" vertical="top" wrapText="1"/>
    </xf>
    <xf borderId="0" fillId="0" fontId="167" numFmtId="0" xfId="0" applyAlignment="1" applyFont="1">
      <alignment readingOrder="0" shrinkToFit="0" vertical="top" wrapText="1"/>
    </xf>
    <xf quotePrefix="1" borderId="0" fillId="0" fontId="89" numFmtId="0" xfId="0" applyAlignment="1" applyFont="1">
      <alignment horizontal="right" readingOrder="0" shrinkToFit="0" vertical="top" wrapText="1"/>
    </xf>
    <xf borderId="0" fillId="0" fontId="168" numFmtId="0" xfId="0" applyAlignment="1" applyFont="1">
      <alignment readingOrder="0" shrinkToFit="0" vertical="top" wrapText="0"/>
    </xf>
    <xf borderId="0" fillId="0" fontId="165" numFmtId="0" xfId="0" applyAlignment="1" applyFont="1">
      <alignment shrinkToFit="0" vertical="top" wrapText="0"/>
    </xf>
    <xf borderId="0" fillId="0" fontId="89" numFmtId="0" xfId="0" applyAlignment="1" applyFont="1">
      <alignment horizontal="right" readingOrder="0" shrinkToFit="0" vertical="top" wrapText="1"/>
    </xf>
    <xf borderId="0" fillId="0" fontId="169" numFmtId="0" xfId="0" applyAlignment="1" applyFont="1">
      <alignment readingOrder="0" shrinkToFit="0" vertical="top" wrapText="0"/>
    </xf>
    <xf quotePrefix="1" borderId="0" fillId="0" fontId="89" numFmtId="0" xfId="0" applyAlignment="1" applyFont="1">
      <alignment readingOrder="0" shrinkToFit="0" vertical="top" wrapText="1"/>
    </xf>
    <xf borderId="0" fillId="0" fontId="165" numFmtId="0" xfId="0" applyAlignment="1" applyFont="1">
      <alignment horizontal="left" shrinkToFit="0" vertical="top" wrapText="1"/>
    </xf>
    <xf borderId="0" fillId="0" fontId="170" numFmtId="0" xfId="0" applyAlignment="1" applyFont="1">
      <alignment readingOrder="0" shrinkToFit="0" vertical="top" wrapText="1"/>
    </xf>
    <xf borderId="0" fillId="0" fontId="89" numFmtId="0" xfId="0" applyAlignment="1" applyFont="1">
      <alignment horizontal="right" shrinkToFit="0" vertical="top" wrapText="1"/>
    </xf>
    <xf borderId="0" fillId="10" fontId="89" numFmtId="0" xfId="0" applyAlignment="1" applyFont="1">
      <alignment shrinkToFit="0" vertical="top" wrapText="1"/>
    </xf>
    <xf borderId="0" fillId="10" fontId="89" numFmtId="0" xfId="0" applyAlignment="1" applyFont="1">
      <alignment horizontal="right" shrinkToFit="0" vertical="top" wrapText="1"/>
    </xf>
    <xf borderId="0" fillId="10" fontId="165" numFmtId="0" xfId="0" applyAlignment="1" applyFont="1">
      <alignment shrinkToFit="0" vertical="top" wrapText="1"/>
    </xf>
    <xf borderId="0" fillId="10" fontId="165" numFmtId="0" xfId="0" applyAlignment="1" applyFont="1">
      <alignment shrinkToFit="0" vertical="top" wrapText="0"/>
    </xf>
    <xf borderId="0" fillId="0" fontId="165" numFmtId="0" xfId="0" applyAlignment="1" applyFont="1">
      <alignment horizontal="right" shrinkToFit="0" vertical="top" wrapText="1"/>
    </xf>
    <xf borderId="0" fillId="13" fontId="171" numFmtId="0" xfId="0" applyAlignment="1" applyFill="1" applyFont="1">
      <alignment readingOrder="0" shrinkToFit="0" vertical="top" wrapText="1"/>
    </xf>
    <xf borderId="0" fillId="0" fontId="17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90" Type="http://schemas.openxmlformats.org/officeDocument/2006/relationships/hyperlink" Target="https://www.zdnet.com/article/dutch-government-loses-hard-drives-with-data-of-6-9-million-registered-donors/" TargetMode="External"/><Relationship Id="rId194" Type="http://schemas.openxmlformats.org/officeDocument/2006/relationships/hyperlink" Target="https://news.marriott.com/news/2020/03/31/marriott-international-notifies-guests-of-property-system-incident" TargetMode="External"/><Relationship Id="rId193" Type="http://schemas.openxmlformats.org/officeDocument/2006/relationships/hyperlink" Target="https://www.techradar.com/uk/news/tesco-clubcard-holders-warned-of-major-security-issue" TargetMode="External"/><Relationship Id="rId192" Type="http://schemas.openxmlformats.org/officeDocument/2006/relationships/hyperlink" Target="https://www.which.co.uk/news/2020/03/boots-advantage-card-tesco-clubcard-both-suffer-data-breaches-in-same-week/" TargetMode="External"/><Relationship Id="rId191" Type="http://schemas.openxmlformats.org/officeDocument/2006/relationships/hyperlink" Target="https://www.bbc.co.uk/news/business-51760510" TargetMode="External"/><Relationship Id="rId187" Type="http://schemas.openxmlformats.org/officeDocument/2006/relationships/hyperlink" Target="https://9to5mac.com/2020/05/15/db8151dd/" TargetMode="External"/><Relationship Id="rId186" Type="http://schemas.openxmlformats.org/officeDocument/2006/relationships/hyperlink" Target="https://www.nextgov.com/cybersecurity/2020/05/us-marshals-service-breach-exposed-personal-data-387000-prisoners/165305/" TargetMode="External"/><Relationship Id="rId185" Type="http://schemas.openxmlformats.org/officeDocument/2006/relationships/hyperlink" Target="https://www.zdnet.com/article/details-of-44m-pakistani-mobile-users-leaked-online-part-of-bigger-115m-cache/" TargetMode="External"/><Relationship Id="rId184" Type="http://schemas.openxmlformats.org/officeDocument/2006/relationships/hyperlink" Target="https://techcrunch.com/2020/06/09/nintendo-accounts-affected-breach/?guccounter=1&amp;guce_referrer=aHR0cHM6Ly9nYW1lcy5zbGFzaGRvdC5vcmcvc3RvcnkvMjAvMDYvMDkvMTg0MjIzNy9uaW50ZW5kby1ub3ctc2F5cy0zMDAwMDAtYWNjb3VudHMtYnJlYWNoZWQtYnktaGFja2Vycz91dG1fc291cmNlPXJzczEuMG1haW5saW5rYW5vbiZ1dG1fbWVkaXVtPWZlZWQ&amp;guce_referrer_sig=AQAAAIXC8IvaFgPdt5t-CUm7yPEhKblsmme4097SUtEWdSkjyrdsxVYiQBfbdpekm_Y29T7evb-5zNNl2-ZHfNSmVkKFnE5vClvpvsaPYykOO8WtAX76dZoL2EUkVL8XfmMQBVlNF43T5MATGNeSnwn6Ta6ELVBXnf_ZTsmVaemjk1Vf" TargetMode="External"/><Relationship Id="rId189" Type="http://schemas.openxmlformats.org/officeDocument/2006/relationships/hyperlink" Target="https://www.forbes.com/sites/daveywinder/2020/01/22/microsoft-security-shocker-as-250-million-customer-records-exposed-online/" TargetMode="External"/><Relationship Id="rId188" Type="http://schemas.openxmlformats.org/officeDocument/2006/relationships/hyperlink" Target="https://www.bbc.co.uk/news/technology-52722626" TargetMode="External"/><Relationship Id="rId183" Type="http://schemas.openxmlformats.org/officeDocument/2006/relationships/hyperlink" Target="https://uk.pcmag.com/encryption/128228/report-ai-company-leaks-over-25m-medical-records" TargetMode="External"/><Relationship Id="rId182" Type="http://schemas.openxmlformats.org/officeDocument/2006/relationships/hyperlink" Target="https://www.theguardian.com/world/2020/sep/14/zhenhua-data-full-list-leak-database-personal-details-millions-china-tech-company" TargetMode="External"/><Relationship Id="rId181" Type="http://schemas.openxmlformats.org/officeDocument/2006/relationships/hyperlink" Target="https://www.forbes.com/sites/daveywinder/2020/09/21/activision-accounts-hacked-500000-call-of-duty-players-could-be-affected-report/?sh=7ca04e0f7bbe" TargetMode="External"/><Relationship Id="rId180" Type="http://schemas.openxmlformats.org/officeDocument/2006/relationships/hyperlink" Target="https://www.nytimes.com/2020/08/01/technology/gedmatch-breach-privacy.html?referringSource=articleShare" TargetMode="External"/><Relationship Id="rId176" Type="http://schemas.openxmlformats.org/officeDocument/2006/relationships/hyperlink" Target="https://www.nytimes.com/2020/12/14/us/politics/russia-hack-nsa-homeland-security-pentagon.html" TargetMode="External"/><Relationship Id="rId297" Type="http://schemas.openxmlformats.org/officeDocument/2006/relationships/hyperlink" Target="https://uk.pcmag.com/cex/90937/cex-hack-up-to-2m-customers-potentially-affected" TargetMode="External"/><Relationship Id="rId175" Type="http://schemas.openxmlformats.org/officeDocument/2006/relationships/hyperlink" Target="https://www.bbc.co.uk/news/technology-55439190" TargetMode="External"/><Relationship Id="rId296" Type="http://schemas.openxmlformats.org/officeDocument/2006/relationships/hyperlink" Target="https://www.theguardian.com/technology/2017/aug/30/spambot-leaks-700m-email-addresses-huge-data-breach-passwords" TargetMode="External"/><Relationship Id="rId174" Type="http://schemas.openxmlformats.org/officeDocument/2006/relationships/hyperlink" Target="https://www.bleepingcomputer.com/news/security/t-mobile-data-breach-exposed-phone-numbers-call-records/" TargetMode="External"/><Relationship Id="rId295" Type="http://schemas.openxmlformats.org/officeDocument/2006/relationships/hyperlink" Target="http://www.bgr.in/news/indian-hacker-group-leaks-data-of-1-7-million-snapchat-users-after-ceos-poor-country-comments-report/" TargetMode="External"/><Relationship Id="rId173" Type="http://schemas.openxmlformats.org/officeDocument/2006/relationships/hyperlink" Target="https://www.bleepingcomputer.com/news/security/physical-addresses-of-270k-ledger-owners-leaked-on-hacker-forum/" TargetMode="External"/><Relationship Id="rId294" Type="http://schemas.openxmlformats.org/officeDocument/2006/relationships/hyperlink" Target="https://www.theguardian.com/business/2017/apr/09/wonga-data-breach-could-affect-250000-uk-customers?CMP=Share_iOSApp_Other" TargetMode="External"/><Relationship Id="rId179" Type="http://schemas.openxmlformats.org/officeDocument/2006/relationships/hyperlink" Target="https://techcrunch.com/2020/07/28/drizly-data-breach/" TargetMode="External"/><Relationship Id="rId178" Type="http://schemas.openxmlformats.org/officeDocument/2006/relationships/hyperlink" Target="https://techcrunch.com/2020/12/10/spotify-resets-user-passwords-after-a-bug-exposed-private-account-information/?guccounter=1&amp;guce_referrer=aHR0cHM6Ly9pdC5zbGFzaGRvdC5vcmcv&amp;guce_referrer_sig=AQAAAMGNMpm00iWQgE4Zhw1q6_5FoeBsJUbWyKEniavHxaZR-X1oBrnXuFtvr9B4IYBK1C6x9AfEqEZwzfJaZhhINvaBZltXd-DF036LVwwnAhWAMQpD98Lahw3sni-Z2bS6qEIjPgodPdZHV3DRJWLrNt0bOoohuh_DWM8-IngVnCl6" TargetMode="External"/><Relationship Id="rId299" Type="http://schemas.openxmlformats.org/officeDocument/2006/relationships/hyperlink" Target="https://www.vice.com/en_us/article/3daywj/hacker-steals-900-gb-of-cellebrite-data" TargetMode="External"/><Relationship Id="rId177" Type="http://schemas.openxmlformats.org/officeDocument/2006/relationships/hyperlink" Target="https://www.zdnet.com/article/italian-mobile-operator-offers-to-replace-sim-cards-after-massive-data-breach/" TargetMode="External"/><Relationship Id="rId298" Type="http://schemas.openxmlformats.org/officeDocument/2006/relationships/hyperlink" Target="http://www.zdnet.com/article/popular-virtual-keyboard-leaks-31-million-user-data/" TargetMode="External"/><Relationship Id="rId198" Type="http://schemas.openxmlformats.org/officeDocument/2006/relationships/hyperlink" Target="https://www.tellerreport.com/news/2020-01-22---big-data-leak--media--at-buchbinder-car-rental-company--customer-data-was-open-.BJ-S5Jk8Z8.html" TargetMode="External"/><Relationship Id="rId197" Type="http://schemas.openxmlformats.org/officeDocument/2006/relationships/hyperlink" Target="https://www.zdnet.com/article/exclusive-details-of-10-6-million-of-mgm-hotel-guests-posted-on-a-hacking-forum/" TargetMode="External"/><Relationship Id="rId196" Type="http://schemas.openxmlformats.org/officeDocument/2006/relationships/hyperlink" Target="https://www.nytimes.com/2020/02/10/world/middleeast/israeli-voters-leak.html?action=click&amp;module=News&amp;pgtype=Homepage" TargetMode="External"/><Relationship Id="rId195" Type="http://schemas.openxmlformats.org/officeDocument/2006/relationships/hyperlink" Target="https://www.welivesecurity.com/2020/04/16/half-million-zoom-accounts-sale-dark-web/" TargetMode="External"/><Relationship Id="rId199" Type="http://schemas.openxmlformats.org/officeDocument/2006/relationships/hyperlink" Target="https://krebsonsecurity.com/2020/01/wawa-breach-may-have-compromised-more-than-30-million-payment-cards/" TargetMode="External"/><Relationship Id="rId150" Type="http://schemas.openxmlformats.org/officeDocument/2006/relationships/hyperlink" Target="https://www.theguardian.com/news/2021/oct/03/pandora-papers-biggest-ever-leak-of-offshore-data-exposes-financial-secrets-of-rich-and-powerful" TargetMode="External"/><Relationship Id="rId271" Type="http://schemas.openxmlformats.org/officeDocument/2006/relationships/hyperlink" Target="http://www.zdnet.com/article/another-data-leak-hits-india-aadhaar-biometric-database/" TargetMode="External"/><Relationship Id="rId392" Type="http://schemas.openxmlformats.org/officeDocument/2006/relationships/hyperlink" Target="https://medium.com/@vijayp/f6bc289679a1" TargetMode="External"/><Relationship Id="rId270" Type="http://schemas.openxmlformats.org/officeDocument/2006/relationships/hyperlink" Target="https://www.bleepingcomputer.com/news/security/thousands-of-apps-leak-sensitive-data-via-misconfigured-firebase-backends/" TargetMode="External"/><Relationship Id="rId391" Type="http://schemas.openxmlformats.org/officeDocument/2006/relationships/hyperlink" Target="http://dealbook.nytimes.com/2014/10/02/jpmorgan-discovers-further-cyber-security-issues/?_php=true&amp;_type=blogs&amp;_r=0" TargetMode="External"/><Relationship Id="rId390" Type="http://schemas.openxmlformats.org/officeDocument/2006/relationships/hyperlink" Target="http://www.cityam.com/1406190300/ecb-website-hacked" TargetMode="External"/><Relationship Id="rId1" Type="http://schemas.openxmlformats.org/officeDocument/2006/relationships/hyperlink" Target="https://informationisbeautiful.net/visualizations/worlds-biggest-data-breaches-hacks/" TargetMode="External"/><Relationship Id="rId2" Type="http://schemas.openxmlformats.org/officeDocument/2006/relationships/hyperlink" Target="https://www.abc.net.au/news/2025-07-02/qantas-cyber-attack-significant-data-stolen/105484720" TargetMode="External"/><Relationship Id="rId3" Type="http://schemas.openxmlformats.org/officeDocument/2006/relationships/hyperlink" Target="https://www.vice.com/en/article/freedom-convoy-givesendgo-donors-leaked/" TargetMode="External"/><Relationship Id="rId149" Type="http://schemas.openxmlformats.org/officeDocument/2006/relationships/hyperlink" Target="https://www.vice.com/en/article/z3xpm8/company-that-routes-billions-of-text-messages-quietly-says-it-was-hacked" TargetMode="External"/><Relationship Id="rId4" Type="http://schemas.openxmlformats.org/officeDocument/2006/relationships/hyperlink" Target="https://techcrunch.com/2025/07/26/dating-safety-app-tea-breached-exposing-72000-user-images/" TargetMode="External"/><Relationship Id="rId148" Type="http://schemas.openxmlformats.org/officeDocument/2006/relationships/hyperlink" Target="https://www.bbc.co.uk/news/technology-58817658" TargetMode="External"/><Relationship Id="rId269" Type="http://schemas.openxmlformats.org/officeDocument/2006/relationships/hyperlink" Target="https://www.bbc.co.uk/news/technology-44628874" TargetMode="External"/><Relationship Id="rId9" Type="http://schemas.openxmlformats.org/officeDocument/2006/relationships/hyperlink" Target="https://www.bleepingcomputer.com/news/security/adidas-warns-of-data-breach-after-customer-service-provider-hack/" TargetMode="External"/><Relationship Id="rId143" Type="http://schemas.openxmlformats.org/officeDocument/2006/relationships/hyperlink" Target="https://it.slashdot.org/story/22/03/01/1523248/nvidia-says-employee-company-information-leaked-online-after-cyber-attack?utm_source=feedly1.0mainlinkanon&amp;utm_medium=feed" TargetMode="External"/><Relationship Id="rId264" Type="http://schemas.openxmlformats.org/officeDocument/2006/relationships/hyperlink" Target="https://www.theguardian.com/business/2018/sep/06/british-airways-customer-data-stolen-from-its-website" TargetMode="External"/><Relationship Id="rId385" Type="http://schemas.openxmlformats.org/officeDocument/2006/relationships/hyperlink" Target="http://www.buzzfeed.com/tomgara/sony-hack" TargetMode="External"/><Relationship Id="rId142" Type="http://schemas.openxmlformats.org/officeDocument/2006/relationships/hyperlink" Target="https://edition.cnn.com/2022/03/01/tech/nvidia-information-leak/" TargetMode="External"/><Relationship Id="rId263" Type="http://schemas.openxmlformats.org/officeDocument/2006/relationships/hyperlink" Target="https://techcrunch.com/2018/08/23/millions-of-texas-voter-records-exposed-online/" TargetMode="External"/><Relationship Id="rId384" Type="http://schemas.openxmlformats.org/officeDocument/2006/relationships/hyperlink" Target="https://www.poverenik.rs/en/press-releases/1953-povreda-prava-na-zastitu-podataka-o-licnosti-skoro-svih-punoletnih-gradjana-srbije.html" TargetMode="External"/><Relationship Id="rId141" Type="http://schemas.openxmlformats.org/officeDocument/2006/relationships/hyperlink" Target="https://westoahu.hawaii.edu/cyber/global-weekly-exec-summary/experian-security-breach-in-south-africa/" TargetMode="External"/><Relationship Id="rId262" Type="http://schemas.openxmlformats.org/officeDocument/2006/relationships/hyperlink" Target="https://www.khaleejtimes.com/nation/dubai//dubais-careem-admits-to-data-breach-of-14-million-users" TargetMode="External"/><Relationship Id="rId383" Type="http://schemas.openxmlformats.org/officeDocument/2006/relationships/hyperlink" Target="http://money.cnn.com/2014/08/18/technology/security/hospital-chs-hack/" TargetMode="External"/><Relationship Id="rId140" Type="http://schemas.openxmlformats.org/officeDocument/2006/relationships/hyperlink" Target="https://www.techradar.com/news/brewdog-exposes-data-of-200000-customers-and-shareholders" TargetMode="External"/><Relationship Id="rId261" Type="http://schemas.openxmlformats.org/officeDocument/2006/relationships/hyperlink" Target="https://www.nytimes.com/2018/04/01/technology/saks-lord-taylor-credit-cards.html" TargetMode="External"/><Relationship Id="rId382" Type="http://schemas.openxmlformats.org/officeDocument/2006/relationships/hyperlink" Target="https://www.nbcnews.com/tech/security/youve-got-hacked-aol-confirms-significant-number-mail-users-hit-n91701" TargetMode="External"/><Relationship Id="rId5" Type="http://schemas.openxmlformats.org/officeDocument/2006/relationships/hyperlink" Target="https://www.bleepingcomputer.com/news/security/media-giant-lee-enterprises-says-data-breach-affects-39-000-people/" TargetMode="External"/><Relationship Id="rId147" Type="http://schemas.openxmlformats.org/officeDocument/2006/relationships/hyperlink" Target="https://www.troyhunt.com/breach-disclosure-blow-by-blow-heres-why-its-so-hard/" TargetMode="External"/><Relationship Id="rId268" Type="http://schemas.openxmlformats.org/officeDocument/2006/relationships/hyperlink" Target="https://medium.com/@intideceukelaire/this-popular-facebook-app-publicly-exposed-your-data-for-years-12483418eff8" TargetMode="External"/><Relationship Id="rId389" Type="http://schemas.openxmlformats.org/officeDocument/2006/relationships/hyperlink" Target="http://time.com/3151681/ups-hack/" TargetMode="External"/><Relationship Id="rId6" Type="http://schemas.openxmlformats.org/officeDocument/2006/relationships/hyperlink" Target="https://www.bleepingcomputer.com/news/security/cartier-discloses-data-breach-amid-fashion-brand-cyberattacks/" TargetMode="External"/><Relationship Id="rId146" Type="http://schemas.openxmlformats.org/officeDocument/2006/relationships/hyperlink" Target="https://www.thequint.com/news/india/royal-enfield-exposed-database-containing-450000-customer-data-cyber-security-expert" TargetMode="External"/><Relationship Id="rId267" Type="http://schemas.openxmlformats.org/officeDocument/2006/relationships/hyperlink" Target="https://www.itgovernance.eu/blog/en/breach-at-norways-largest-healthcare-authority-was-a-disaster-waiting-to-happen" TargetMode="External"/><Relationship Id="rId388" Type="http://schemas.openxmlformats.org/officeDocument/2006/relationships/hyperlink" Target="https://www.businessinsider.com/cyber-thieves-took-data-on-145-million-ebay-customers-by-hacking-3-corporate-employees-2014-5?r=US&amp;IR=T" TargetMode="External"/><Relationship Id="rId7" Type="http://schemas.openxmlformats.org/officeDocument/2006/relationships/hyperlink" Target="https://www.bleepingcomputer.com/news/security/the-north-face-warns-customers-of-april-credential-stuffing-attack/" TargetMode="External"/><Relationship Id="rId145" Type="http://schemas.openxmlformats.org/officeDocument/2006/relationships/hyperlink" Target="https://twitter.com/BillDemirkapi/status/1508527487655067660/" TargetMode="External"/><Relationship Id="rId266" Type="http://schemas.openxmlformats.org/officeDocument/2006/relationships/hyperlink" Target="https://www.theguardian.com/technology/2018/mar/30/hackers-steal-data-150m-myfitnesspal-app-users-under-armour" TargetMode="External"/><Relationship Id="rId387" Type="http://schemas.openxmlformats.org/officeDocument/2006/relationships/hyperlink" Target="http://www.usatoday.com/story/news/nation/2014/02/26/indiana-university-data-breach/5830685/" TargetMode="External"/><Relationship Id="rId8" Type="http://schemas.openxmlformats.org/officeDocument/2006/relationships/hyperlink" Target="https://www.bleepingcomputer.com/news/security/data-broker-lexisnexis-discloses-data-breach-affecting-364-000-people/" TargetMode="External"/><Relationship Id="rId144" Type="http://schemas.openxmlformats.org/officeDocument/2006/relationships/hyperlink" Target="https://www.theverge.com/2022/4/20/23034360/okta-lapsus-hack-investigation-breach-25-minutes" TargetMode="External"/><Relationship Id="rId265" Type="http://schemas.openxmlformats.org/officeDocument/2006/relationships/hyperlink" Target="https://motherboard.vice.com/en_us/article/a3qpk5/t-mobile-hack-data-breach-api-customer-data" TargetMode="External"/><Relationship Id="rId386" Type="http://schemas.openxmlformats.org/officeDocument/2006/relationships/hyperlink" Target="http://news.iu.edu/releases/iu/2014/02/data-exposure-disclosure.shtml" TargetMode="External"/><Relationship Id="rId260" Type="http://schemas.openxmlformats.org/officeDocument/2006/relationships/hyperlink" Target="https://www.bloombergquint.com/technology/hack-of-dna-website-exposes-data-from-92-million-user-accounts" TargetMode="External"/><Relationship Id="rId381" Type="http://schemas.openxmlformats.org/officeDocument/2006/relationships/hyperlink" Target="http://krebsonsecurity.com/2014/08/stealthy-razor-thin-atm-insert-skimmers/" TargetMode="External"/><Relationship Id="rId380" Type="http://schemas.openxmlformats.org/officeDocument/2006/relationships/hyperlink" Target="http://www.nytimes.com/2014/01/24/business/neiman-marcus-breach-affected-1-1-million-cards.html" TargetMode="External"/><Relationship Id="rId139" Type="http://schemas.openxmlformats.org/officeDocument/2006/relationships/hyperlink" Target="https://www.techradar.com/news/brewdog-exposes-data-of-200000-customers-and-shareholders" TargetMode="External"/><Relationship Id="rId138" Type="http://schemas.openxmlformats.org/officeDocument/2006/relationships/hyperlink" Target="https://hothardware.com/news/acer-confirms-hacked-again-60gb-stolen-customer-data" TargetMode="External"/><Relationship Id="rId259" Type="http://schemas.openxmlformats.org/officeDocument/2006/relationships/hyperlink" Target="https://www.bbc.co.uk/news/business-45016906" TargetMode="External"/><Relationship Id="rId137" Type="http://schemas.openxmlformats.org/officeDocument/2006/relationships/hyperlink" Target="https://www.riskbasedsecurity.com/2021/12/14/dark-web-roundup-november-2021/" TargetMode="External"/><Relationship Id="rId258" Type="http://schemas.openxmlformats.org/officeDocument/2006/relationships/hyperlink" Target="https://medium.com/@djhoulihan/no-panera-bread-doesnt-take-security-seriously-bf078027f815" TargetMode="External"/><Relationship Id="rId379" Type="http://schemas.openxmlformats.org/officeDocument/2006/relationships/hyperlink" Target="https://healthitsecurity.com/news/ucla-health-reaches-7.5m-settlement-over-2015-breach-of-4.5m" TargetMode="External"/><Relationship Id="rId132" Type="http://schemas.openxmlformats.org/officeDocument/2006/relationships/hyperlink" Target="https://forum.opensubtitles.org/viewtopic.php?t=17685" TargetMode="External"/><Relationship Id="rId253" Type="http://schemas.openxmlformats.org/officeDocument/2006/relationships/hyperlink" Target="https://www.nytimes.com/2018/11/30/business/marriott-data-breach.html" TargetMode="External"/><Relationship Id="rId374" Type="http://schemas.openxmlformats.org/officeDocument/2006/relationships/hyperlink" Target="http://www.reuters.com/article/2015/10/02/us-tmobile-dataprotection-idUSKCN0RV5PL20151002" TargetMode="External"/><Relationship Id="rId495" Type="http://schemas.openxmlformats.org/officeDocument/2006/relationships/hyperlink" Target="http://www.pcworld.com/article/229891/Citigroup_Hack_Nets_Over_200k_in_Stolen_Customer_Details.html" TargetMode="External"/><Relationship Id="rId131" Type="http://schemas.openxmlformats.org/officeDocument/2006/relationships/hyperlink" Target="https://arstechnica.com/information-technology/2022/01/red-cross-hack-compromises-the-personal-data-of-515k-highly-vulnerable-people/" TargetMode="External"/><Relationship Id="rId252" Type="http://schemas.openxmlformats.org/officeDocument/2006/relationships/hyperlink" Target="https://www.nytimes.com/2018/12/04/technology/quora-hack-data-breach.html" TargetMode="External"/><Relationship Id="rId373" Type="http://schemas.openxmlformats.org/officeDocument/2006/relationships/hyperlink" Target="http://www.bbc.co.uk/news/uk-34611857" TargetMode="External"/><Relationship Id="rId494" Type="http://schemas.openxmlformats.org/officeDocument/2006/relationships/hyperlink" Target="http://www.zdnet.com/blog/gamification/sega-1-3-million-customer-records-hacked-lulzsec-promises-retribution/481" TargetMode="External"/><Relationship Id="rId130" Type="http://schemas.openxmlformats.org/officeDocument/2006/relationships/hyperlink" Target="https://www.seattletimes.com/business/breach-at-state-licensing-agency-may-have-exposed-data-from-1000s-of-professionals/" TargetMode="External"/><Relationship Id="rId251" Type="http://schemas.openxmlformats.org/officeDocument/2006/relationships/hyperlink" Target="https://www.theverge.com/2018/12/10/18134541/google-plus-privacy-api-data-leak-developers" TargetMode="External"/><Relationship Id="rId372" Type="http://schemas.openxmlformats.org/officeDocument/2006/relationships/hyperlink" Target="https://www.bbc.co.uk/news/business-34743185" TargetMode="External"/><Relationship Id="rId493" Type="http://schemas.openxmlformats.org/officeDocument/2006/relationships/hyperlink" Target="https://venturebeat.com/2011/06/13/lulzsec-bethesda-hack/" TargetMode="External"/><Relationship Id="rId250" Type="http://schemas.openxmlformats.org/officeDocument/2006/relationships/hyperlink" Target="https://blog.hackenproof.com/industry-news/202-million-private-resumes-exposed" TargetMode="External"/><Relationship Id="rId371" Type="http://schemas.openxmlformats.org/officeDocument/2006/relationships/hyperlink" Target="https://theintercept.com/2015/11/11/securus-hack-prison-phone-company-exposes-thousands-of-calls-lawyers-and-clients/" TargetMode="External"/><Relationship Id="rId492" Type="http://schemas.openxmlformats.org/officeDocument/2006/relationships/hyperlink" Target="http://www.pcmag.com/article2/0,2817,2387186,00.asp" TargetMode="External"/><Relationship Id="rId136" Type="http://schemas.openxmlformats.org/officeDocument/2006/relationships/hyperlink" Target="https://techcrunch.com/2021/11/09/robinhood-data-breach/?guccounter=1" TargetMode="External"/><Relationship Id="rId257" Type="http://schemas.openxmlformats.org/officeDocument/2006/relationships/hyperlink" Target="https://krebsonsecurity.com/2018/04/panerabread-com-leaks-millions-of-customer-records/" TargetMode="External"/><Relationship Id="rId378" Type="http://schemas.openxmlformats.org/officeDocument/2006/relationships/hyperlink" Target="https://www.nytimes.com/2015/02/05/business/hackers-breached-data-of-millions-insurer-says.html" TargetMode="External"/><Relationship Id="rId499" Type="http://schemas.openxmlformats.org/officeDocument/2006/relationships/hyperlink" Target="https://spectrum.ieee.org/riskfactor/computing/it/health-net-data-breaches-affects-19-million-people" TargetMode="External"/><Relationship Id="rId135" Type="http://schemas.openxmlformats.org/officeDocument/2006/relationships/hyperlink" Target="https://techcrunch.com/2021/11/09/robinhood-data-breach/?guccounter=1" TargetMode="External"/><Relationship Id="rId256" Type="http://schemas.openxmlformats.org/officeDocument/2006/relationships/hyperlink" Target="https://www.theguardian.com/news/2018/mar/17/cambridge-analytica-facebook-influence-us-election?CMP=twt_gu" TargetMode="External"/><Relationship Id="rId377" Type="http://schemas.openxmlformats.org/officeDocument/2006/relationships/hyperlink" Target="http://www.theguardian.com/business/2015/mar/29/british-airways-frequent-flyer-accounts-hacked" TargetMode="External"/><Relationship Id="rId498" Type="http://schemas.openxmlformats.org/officeDocument/2006/relationships/hyperlink" Target="http://www.pcmag.com/article2/0,2817,2388200,00.asp" TargetMode="External"/><Relationship Id="rId134" Type="http://schemas.openxmlformats.org/officeDocument/2006/relationships/hyperlink" Target="https://www.theregister.com/2021/12/07/line_pay_leaks_around_133000/" TargetMode="External"/><Relationship Id="rId255" Type="http://schemas.openxmlformats.org/officeDocument/2006/relationships/hyperlink" Target="http://www.flanderstoday.eu/business/nmbs-data-leak-was-breach-privacy" TargetMode="External"/><Relationship Id="rId376" Type="http://schemas.openxmlformats.org/officeDocument/2006/relationships/hyperlink" Target="http://www.theguardian.com/technology/2015/aug/10/carphone-warehouse-uk-data-watchdog-investigating-customer-hack" TargetMode="External"/><Relationship Id="rId497" Type="http://schemas.openxmlformats.org/officeDocument/2006/relationships/hyperlink" Target="http://www.databreaches.net/?p=19198" TargetMode="External"/><Relationship Id="rId133" Type="http://schemas.openxmlformats.org/officeDocument/2006/relationships/hyperlink" Target="https://www.bleepingcomputer.com/news/security/flexbooker-discloses-data-breach-over-37-million-accounts-impacted/" TargetMode="External"/><Relationship Id="rId254" Type="http://schemas.openxmlformats.org/officeDocument/2006/relationships/hyperlink" Target="https://www.cnet.com/news/marriott-says-hackers-stole-more-than-5-million-passport-numbers/" TargetMode="External"/><Relationship Id="rId375" Type="http://schemas.openxmlformats.org/officeDocument/2006/relationships/hyperlink" Target="http://techcrunch.com/2015/03/27/slack-got-hacked/" TargetMode="External"/><Relationship Id="rId496" Type="http://schemas.openxmlformats.org/officeDocument/2006/relationships/hyperlink" Target="http://mashable.com/2011/06/02/sony-pictures-hacked/" TargetMode="External"/><Relationship Id="rId172" Type="http://schemas.openxmlformats.org/officeDocument/2006/relationships/hyperlink" Target="https://www.businessinsider.com/stolen-data-of-533-million-facebook-users-leaked-online-2021-4?r=US&amp;IR=T" TargetMode="External"/><Relationship Id="rId293" Type="http://schemas.openxmlformats.org/officeDocument/2006/relationships/hyperlink" Target="https://www.bloomberg.com/news/articles/2017-11-21/uber-concealed-cyberattack-that-exposed-57-million-people-s-data" TargetMode="External"/><Relationship Id="rId171" Type="http://schemas.openxmlformats.org/officeDocument/2006/relationships/hyperlink" Target="https://www.theguardian.com/world/2021/mar/05/airline-data-hack-hundreds-of-thousands-of-star-alliance-passengers-details-stolen" TargetMode="External"/><Relationship Id="rId292" Type="http://schemas.openxmlformats.org/officeDocument/2006/relationships/hyperlink" Target="https://www.cnet.com/news/yahoo-says-forged-cookie-attack-accessed-about-32m-accounts/" TargetMode="External"/><Relationship Id="rId170" Type="http://schemas.openxmlformats.org/officeDocument/2006/relationships/hyperlink" Target="https://www.wired.com/story/gab-hack-data-breach-ddosecrets/" TargetMode="External"/><Relationship Id="rId291" Type="http://schemas.openxmlformats.org/officeDocument/2006/relationships/hyperlink" Target="https://threatpost.com/leaky-rootsweb-server-exposes-some-ancestry-com-user-data/129248/" TargetMode="External"/><Relationship Id="rId290" Type="http://schemas.openxmlformats.org/officeDocument/2006/relationships/hyperlink" Target="http://www.zdnet.com/article/disqus-confirms-comments-tool-hacked/" TargetMode="External"/><Relationship Id="rId165" Type="http://schemas.openxmlformats.org/officeDocument/2006/relationships/hyperlink" Target="https://techcrunch.com/2021/04/28/digitalocean-customer-billing-data-breach/" TargetMode="External"/><Relationship Id="rId286" Type="http://schemas.openxmlformats.org/officeDocument/2006/relationships/hyperlink" Target="https://newsroom.fb.com/news/2018/10/update-on-security-issue/" TargetMode="External"/><Relationship Id="rId164" Type="http://schemas.openxmlformats.org/officeDocument/2006/relationships/hyperlink" Target="https://arstechnica.com/gadgets/2021/05/peloton-takes-3-months-to-fix-flaw-that-exposed-users-private-information/" TargetMode="External"/><Relationship Id="rId285" Type="http://schemas.openxmlformats.org/officeDocument/2006/relationships/hyperlink" Target="https://www.businessinsider.com.au/facebook-thinks-spammers-responsible-hack-stole-info-from-29-million-users-2018-10?r=US&amp;IR=T" TargetMode="External"/><Relationship Id="rId163" Type="http://schemas.openxmlformats.org/officeDocument/2006/relationships/hyperlink" Target="https://www.safetydetectives.com/blog/amazon-reviews-leak-report/" TargetMode="External"/><Relationship Id="rId284" Type="http://schemas.openxmlformats.org/officeDocument/2006/relationships/hyperlink" Target="https://www.hcanews.com/news/update-94k-hit-in-cms-data-breach" TargetMode="External"/><Relationship Id="rId162" Type="http://schemas.openxmlformats.org/officeDocument/2006/relationships/hyperlink" Target="https://www.japantimes.co.jp/news/2021/05/22/business/tech/omiai-dating-app-hack-japan/" TargetMode="External"/><Relationship Id="rId283" Type="http://schemas.openxmlformats.org/officeDocument/2006/relationships/hyperlink" Target="https://www.bbc.co.uk/news/technology-46261209" TargetMode="External"/><Relationship Id="rId169" Type="http://schemas.openxmlformats.org/officeDocument/2006/relationships/hyperlink" Target="https://www.zdnet.com/article/experian-challenged-over-massive-data-leak-in-brazil/" TargetMode="External"/><Relationship Id="rId168" Type="http://schemas.openxmlformats.org/officeDocument/2006/relationships/hyperlink" Target="https://www.zdnet.com/article/hacker-leaks-data-of-2-28-million-dating-site-users/" TargetMode="External"/><Relationship Id="rId289" Type="http://schemas.openxmlformats.org/officeDocument/2006/relationships/hyperlink" Target="https://www.wired.com/story/apollo-breach-linkedin-salesforce-data/" TargetMode="External"/><Relationship Id="rId167" Type="http://schemas.openxmlformats.org/officeDocument/2006/relationships/hyperlink" Target="https://www.zdnet.com/article/ubiquiti-tells-customers-to-change-passwords-after-security-breach/" TargetMode="External"/><Relationship Id="rId288" Type="http://schemas.openxmlformats.org/officeDocument/2006/relationships/hyperlink" Target="https://www.housingwire.com/articles/36597-guaranteed-rate-ordered-to-pay-25m-to-mount-olympus-mortgage-for-data-theft/" TargetMode="External"/><Relationship Id="rId166" Type="http://schemas.openxmlformats.org/officeDocument/2006/relationships/hyperlink" Target="https://krebsonsecurity.com/2021/04/parkmobile-breach-exposes-license-plate-data-mobile-numbers-of-21m-users/" TargetMode="External"/><Relationship Id="rId287" Type="http://schemas.openxmlformats.org/officeDocument/2006/relationships/hyperlink" Target="https://techcrunch.com/2018/09/19/newegg-credit-card-data-breach/" TargetMode="External"/><Relationship Id="rId161" Type="http://schemas.openxmlformats.org/officeDocument/2006/relationships/hyperlink" Target="https://indianexpress.com/article/explained/air-india-sita-data-breach-explained-7325501/" TargetMode="External"/><Relationship Id="rId282" Type="http://schemas.openxmlformats.org/officeDocument/2006/relationships/hyperlink" Target="https://www.bleepingcomputer.com/news/security/sky-brasil-exposes-32-million-customer-records/" TargetMode="External"/><Relationship Id="rId160" Type="http://schemas.openxmlformats.org/officeDocument/2006/relationships/hyperlink" Target="https://www.wsj.com/articles/mcdonalds-hit-by-data-breach-in-south-korea-taiwan-11623412800" TargetMode="External"/><Relationship Id="rId281" Type="http://schemas.openxmlformats.org/officeDocument/2006/relationships/hyperlink" Target="https://www.dailymail.co.uk/sciencetech/article-6415441/Furry-erotica-site-hit-data-breach-exposed-hundreds-thousands-users-information.html" TargetMode="External"/><Relationship Id="rId280" Type="http://schemas.openxmlformats.org/officeDocument/2006/relationships/hyperlink" Target="https://www.zdnet.com/article/dell-announces-security-breach/" TargetMode="External"/><Relationship Id="rId159" Type="http://schemas.openxmlformats.org/officeDocument/2006/relationships/hyperlink" Target="https://www.reuters.com/business/autos-transportation/vw-says-data-breach-vendor-impacted-33-million-people-north-america-2021-06-11/" TargetMode="External"/><Relationship Id="rId154" Type="http://schemas.openxmlformats.org/officeDocument/2006/relationships/hyperlink" Target="https://krebsonsecurity.com/2021/08/t-mobile-breach-exposed-ssn-dob-of-40m-people/" TargetMode="External"/><Relationship Id="rId275" Type="http://schemas.openxmlformats.org/officeDocument/2006/relationships/hyperlink" Target="https://www.upguard.com/breaches/s3-localblox" TargetMode="External"/><Relationship Id="rId396" Type="http://schemas.openxmlformats.org/officeDocument/2006/relationships/hyperlink" Target="http://fortune.com/2014/12/19/staples-cards-affected-breach/" TargetMode="External"/><Relationship Id="rId153" Type="http://schemas.openxmlformats.org/officeDocument/2006/relationships/hyperlink" Target="https://www.scmp.com/news/asia/southeast-asia/article/3149475/details-some-100-million-visitors-thailand-exposed-online" TargetMode="External"/><Relationship Id="rId274" Type="http://schemas.openxmlformats.org/officeDocument/2006/relationships/hyperlink" Target="https://thenextweb.com/security/2018/03/14/jewelry-site-accidentally-leaks-personal-details-plaintext-passwords-1-3m-users/" TargetMode="External"/><Relationship Id="rId395" Type="http://schemas.openxmlformats.org/officeDocument/2006/relationships/hyperlink" Target="http://www.jal.co.jp/en/info/other/140924.html" TargetMode="External"/><Relationship Id="rId152" Type="http://schemas.openxmlformats.org/officeDocument/2006/relationships/hyperlink" Target="https://arstechnica.com/information-technology/2021/09/epik-data-breach-impacts-15-million-users-including-non-customers/" TargetMode="External"/><Relationship Id="rId273" Type="http://schemas.openxmlformats.org/officeDocument/2006/relationships/hyperlink" Target="https://www.usnews.com/news/business/articles/2018-03-20/orbitz-legacy-travel-booking-platform-likely-hacked" TargetMode="External"/><Relationship Id="rId394" Type="http://schemas.openxmlformats.org/officeDocument/2006/relationships/hyperlink" Target="http://online.wsj.com/articles/japan-airlines-reports-hacker-attack-1412053828" TargetMode="External"/><Relationship Id="rId151" Type="http://schemas.openxmlformats.org/officeDocument/2006/relationships/hyperlink" Target="https://arstechnica.com/information-technology/2021/10/neiman-marcus-data-breach-impacts-4-6-million-customers/" TargetMode="External"/><Relationship Id="rId272" Type="http://schemas.openxmlformats.org/officeDocument/2006/relationships/hyperlink" Target="https://www.nbcnews.com/feature/nbc-out/security-flaws-gay-dating-app-grindr-expose-users-location-data-n858446" TargetMode="External"/><Relationship Id="rId393" Type="http://schemas.openxmlformats.org/officeDocument/2006/relationships/hyperlink" Target="http://www.reuters.com/article/us-hsbc-turkey-cybersecurity/hsbc-turkey-says-customer-credit-card-data-stolen-idUSKCN0IW1RR20141112" TargetMode="External"/><Relationship Id="rId158" Type="http://schemas.openxmlformats.org/officeDocument/2006/relationships/hyperlink" Target="https://9to5mac.com/2021/06/29/linkedin-breach/" TargetMode="External"/><Relationship Id="rId279" Type="http://schemas.openxmlformats.org/officeDocument/2006/relationships/hyperlink" Target="https://techcrunch.com/2018/11/27/urban-massage-data-exposed-customers-creepy-clients/?guccounter=1" TargetMode="External"/><Relationship Id="rId157" Type="http://schemas.openxmlformats.org/officeDocument/2006/relationships/hyperlink" Target="https://www.theregister.com/2021/07/23/guntrader_hacked_111k_users_sql_database/" TargetMode="External"/><Relationship Id="rId278" Type="http://schemas.openxmlformats.org/officeDocument/2006/relationships/hyperlink" Target="https://www.theguardian.com/technology/2018/nov/21/amazon-hit-with-major-data-breach-days-before-black-friday" TargetMode="External"/><Relationship Id="rId399" Type="http://schemas.openxmlformats.org/officeDocument/2006/relationships/hyperlink" Target="http://www.securityweek.com/20-million-people-fall-victim-south-korea-data-leak" TargetMode="External"/><Relationship Id="rId156" Type="http://schemas.openxmlformats.org/officeDocument/2006/relationships/hyperlink" Target="https://news.err.ee/1608291072/hacker-downloads-close-to-300-000-personal-id-photos" TargetMode="External"/><Relationship Id="rId277" Type="http://schemas.openxmlformats.org/officeDocument/2006/relationships/hyperlink" Target="https://www.theverge.com/2018/6/7/17438516/ticketfly-hack-personal-information-26-million-customers-leaked" TargetMode="External"/><Relationship Id="rId398" Type="http://schemas.openxmlformats.org/officeDocument/2006/relationships/hyperlink" Target="http://krebsonsecurity.com/2014/09/banks-credit-card-breach-at-home-depot/" TargetMode="External"/><Relationship Id="rId155" Type="http://schemas.openxmlformats.org/officeDocument/2006/relationships/hyperlink" Target="https://www.wired.com/story/microsoft-power-apps-data-exposed/" TargetMode="External"/><Relationship Id="rId276" Type="http://schemas.openxmlformats.org/officeDocument/2006/relationships/hyperlink" Target="https://www.reuters.com/article/us-twitter-passwords/twitter-urges-all-users-to-change-passwords-after-glitch-idUSKBN1I42JG" TargetMode="External"/><Relationship Id="rId397" Type="http://schemas.openxmlformats.org/officeDocument/2006/relationships/hyperlink" Target="http://thenextweb.com/google/2014/09/10/4-93-million-gmail-usernames-passwords-published-google-says-evidence-systems-compromised/" TargetMode="External"/><Relationship Id="rId40" Type="http://schemas.openxmlformats.org/officeDocument/2006/relationships/hyperlink" Target="https://www.bleepingcomputer.com/news/security/banco-santander-warns-of-a-data-breach-exposing-customer-info/" TargetMode="External"/><Relationship Id="rId42" Type="http://schemas.openxmlformats.org/officeDocument/2006/relationships/hyperlink" Target="https://www.bleepingcomputer.com/news/security/bbc-suffers-data-breach-impacting-current-former-employees/" TargetMode="External"/><Relationship Id="rId41" Type="http://schemas.openxmlformats.org/officeDocument/2006/relationships/hyperlink" Target="https://www.bleepingcomputer.com/news/security/everbridge-warns-of-corporate-systems-breach-exposing-business-data/" TargetMode="External"/><Relationship Id="rId44" Type="http://schemas.openxmlformats.org/officeDocument/2006/relationships/hyperlink" Target="https://www.bleepingcomputer.com/news/security/christies-confirms-breach-after-ransomhub-threatens-to-leak-data/" TargetMode="External"/><Relationship Id="rId43" Type="http://schemas.openxmlformats.org/officeDocument/2006/relationships/hyperlink" Target="https://www.bleepingcomputer.com/news/security/first-american-december-data-breach-impacts-44-000-people/" TargetMode="External"/><Relationship Id="rId46" Type="http://schemas.openxmlformats.org/officeDocument/2006/relationships/hyperlink" Target="https://www.bleepingcomputer.com/news/security/cencora-data-breach-exposes-us-patient-info-from-11-drug-companies/" TargetMode="External"/><Relationship Id="rId45" Type="http://schemas.openxmlformats.org/officeDocument/2006/relationships/hyperlink" Target="https://www.bleepingcomputer.com/news/security/sav-rx-discloses-data-breach-impacting-28-million-americans/" TargetMode="External"/><Relationship Id="rId509" Type="http://schemas.openxmlformats.org/officeDocument/2006/relationships/hyperlink" Target="https://www.finextra.com/newsarticle/23243/restaurant-depot-hacked-by-russian-cyber-criminals" TargetMode="External"/><Relationship Id="rId508" Type="http://schemas.openxmlformats.org/officeDocument/2006/relationships/hyperlink" Target="http://www.bbc.co.uk/news/technology-15690187" TargetMode="External"/><Relationship Id="rId503" Type="http://schemas.openxmlformats.org/officeDocument/2006/relationships/hyperlink" Target="http://news.cnet.com/8301-27080_3-20068386-245/sf-utilities-agency-warns-of-potential-breach/" TargetMode="External"/><Relationship Id="rId502" Type="http://schemas.openxmlformats.org/officeDocument/2006/relationships/hyperlink" Target="https://www.alphr.com/news/security/368062/nhs-loses-laptop-holding-8m-patient-records" TargetMode="External"/><Relationship Id="rId501" Type="http://schemas.openxmlformats.org/officeDocument/2006/relationships/hyperlink" Target="https://www.inforisktoday.com/400000-affected-by-stolen-pc-a-3853" TargetMode="External"/><Relationship Id="rId500" Type="http://schemas.openxmlformats.org/officeDocument/2006/relationships/hyperlink" Target="http://databreachinvestigation.blogspot.com/2011/04/thief-gets-away-with-eisenhower-medical.html" TargetMode="External"/><Relationship Id="rId507" Type="http://schemas.openxmlformats.org/officeDocument/2006/relationships/hyperlink" Target="https://www.databreaches.net/or-deputies-man-used-dmv-database-in-id-theft/" TargetMode="External"/><Relationship Id="rId506" Type="http://schemas.openxmlformats.org/officeDocument/2006/relationships/hyperlink" Target="http://www.nbcnews.com/id/43086769/ns/technology_and_science-security/t/huge-data-breach-puts-risk/" TargetMode="External"/><Relationship Id="rId505" Type="http://schemas.openxmlformats.org/officeDocument/2006/relationships/hyperlink" Target="http://www.guelphmercury.com/news-story/2200845-honda-canada-hit-by-online-security-breach-283-000-car-owners-personal-data-stolen/" TargetMode="External"/><Relationship Id="rId504" Type="http://schemas.openxmlformats.org/officeDocument/2006/relationships/hyperlink" Target="https://privacyrights.org/data-breaches/sony-playstation-network-psn-sony-online-entertainment-soe" TargetMode="External"/><Relationship Id="rId48" Type="http://schemas.openxmlformats.org/officeDocument/2006/relationships/hyperlink" Target="https://www.bleepingcomputer.com/news/security/nissan-north-america-data-breach-impacts-over-53-000-employees/" TargetMode="External"/><Relationship Id="rId47" Type="http://schemas.openxmlformats.org/officeDocument/2006/relationships/hyperlink" Target="https://www.bleepingcomputer.com/news/security/webtpa-data-breach-impacts-24-million-insurance-policyholders/" TargetMode="External"/><Relationship Id="rId49" Type="http://schemas.openxmlformats.org/officeDocument/2006/relationships/hyperlink" Target="https://www.bleepingcomputer.com/news/security/singing-river-health-system-data-of-895-000-stolen-in-ransomware-attack/" TargetMode="External"/><Relationship Id="rId31" Type="http://schemas.openxmlformats.org/officeDocument/2006/relationships/hyperlink" Target="https://haveibeenpwned.com/Breach/SamsungGermany" TargetMode="External"/><Relationship Id="rId30" Type="http://schemas.openxmlformats.org/officeDocument/2006/relationships/hyperlink" Target="https://haveibeenpwned.com/Breach/DiskUnion" TargetMode="External"/><Relationship Id="rId33" Type="http://schemas.openxmlformats.org/officeDocument/2006/relationships/hyperlink" Target="https://haveibeenpwned.com/Breach/OrangeRomania" TargetMode="External"/><Relationship Id="rId32" Type="http://schemas.openxmlformats.org/officeDocument/2006/relationships/hyperlink" Target="https://haveibeenpwned.com/Breach/GermanDonerKebab" TargetMode="External"/><Relationship Id="rId35" Type="http://schemas.openxmlformats.org/officeDocument/2006/relationships/hyperlink" Target="https://restoreprivacy.com/data-breach-at-kaiser-permanente-affects-13-4-million-people/" TargetMode="External"/><Relationship Id="rId34" Type="http://schemas.openxmlformats.org/officeDocument/2006/relationships/hyperlink" Target="https://haveibeenpwned.com/Breach/Thermomix" TargetMode="External"/><Relationship Id="rId610" Type="http://schemas.openxmlformats.org/officeDocument/2006/relationships/drawing" Target="../drawings/drawing1.xml"/><Relationship Id="rId37" Type="http://schemas.openxmlformats.org/officeDocument/2006/relationships/hyperlink" Target="https://yro.slashdot.org/story/24/03/13/2053224/stanford-university-failed-to-detect-ransomware-intruders-for-4-months?utm_source=feedly1.0mainlinkanon&amp;utm_medium=feed" TargetMode="External"/><Relationship Id="rId36" Type="http://schemas.openxmlformats.org/officeDocument/2006/relationships/hyperlink" Target="https://www.bbc.co.uk/news/articles/cw99ql0239wo" TargetMode="External"/><Relationship Id="rId39" Type="http://schemas.openxmlformats.org/officeDocument/2006/relationships/hyperlink" Target="https://www.bleepingcomputer.com/news/security/collection-agency-fbcs-ups-data-breach-tally-to-32-million-people/" TargetMode="External"/><Relationship Id="rId38" Type="http://schemas.openxmlformats.org/officeDocument/2006/relationships/hyperlink" Target="https://www.bleepingcomputer.com/news/security/cooler-master-confirms-customer-info-stolen-in-data-breach/" TargetMode="External"/><Relationship Id="rId20" Type="http://schemas.openxmlformats.org/officeDocument/2006/relationships/hyperlink" Target="https://www.bleepingcomputer.com/news/security/hacker-steals-1-million-cockli-user-records-in-webmail-data-breach/" TargetMode="External"/><Relationship Id="rId22" Type="http://schemas.openxmlformats.org/officeDocument/2006/relationships/hyperlink" Target="https://www.bleepingcomputer.com/news/security/internet-archive-hacked-data-breach-impacts-31-million-users/" TargetMode="External"/><Relationship Id="rId21" Type="http://schemas.openxmlformats.org/officeDocument/2006/relationships/hyperlink" Target="https://www.bleepingcomputer.com/news/security/unitedhealth-now-says-190-million-impacted-by-2024-data-breach/" TargetMode="External"/><Relationship Id="rId24" Type="http://schemas.openxmlformats.org/officeDocument/2006/relationships/hyperlink" Target="https://www.bleepingcomputer.com/news/security/verisource-now-says-february-data-breach-impacts-4-million-people/" TargetMode="External"/><Relationship Id="rId23" Type="http://schemas.openxmlformats.org/officeDocument/2006/relationships/hyperlink" Target="https://www.bleepingcomputer.com/news/security/hackers-leak-27-billion-data-records-with-social-security-numbers/" TargetMode="External"/><Relationship Id="rId409" Type="http://schemas.openxmlformats.org/officeDocument/2006/relationships/hyperlink" Target="http://nakedsecurity.sophos.com/2013/04/27/livingsocial-hacked-50-million-affected/" TargetMode="External"/><Relationship Id="rId404" Type="http://schemas.openxmlformats.org/officeDocument/2006/relationships/hyperlink" Target="http://news.softpedia.com/news/Citi-Exposes-Details-of-150-000-Individuals-Who-Went-into-Bankruptcy-369979.shtml" TargetMode="External"/><Relationship Id="rId525" Type="http://schemas.openxmlformats.org/officeDocument/2006/relationships/hyperlink" Target="https://www.pcworld.idg.com.au/article/351659/new_york_hospital_loses_data_130_000_via_fedex/" TargetMode="External"/><Relationship Id="rId403" Type="http://schemas.openxmlformats.org/officeDocument/2006/relationships/hyperlink" Target="https://privacylaw.proskauer.com/2013/08/articles/identity-theft/a-1-2-million-photocopier-mistake-health-plan-settles-with-hhs-in-hipaa-breach-case/" TargetMode="External"/><Relationship Id="rId524" Type="http://schemas.openxmlformats.org/officeDocument/2006/relationships/hyperlink" Target="http://www.guardian.co.uk/technology/2010/jun/10/apple-ipad-security-leak?INTCMP=SRCH" TargetMode="External"/><Relationship Id="rId402" Type="http://schemas.openxmlformats.org/officeDocument/2006/relationships/hyperlink" Target="https://www.technologyreview.com/s/517551/prosecutors-describe-massive-breach-of-credit-card-data/" TargetMode="External"/><Relationship Id="rId523" Type="http://schemas.openxmlformats.org/officeDocument/2006/relationships/hyperlink" Target="http://www.databreaches.net/?p=12611" TargetMode="External"/><Relationship Id="rId401" Type="http://schemas.openxmlformats.org/officeDocument/2006/relationships/hyperlink" Target="http://www.theguardian.com/technology/2014/aug/05/mozilla-leak-developer-email-addresses-passwords-firefox" TargetMode="External"/><Relationship Id="rId522" Type="http://schemas.openxmlformats.org/officeDocument/2006/relationships/hyperlink" Target="http://www.healthcareinfosecurity.com/chicago-breach-affects-180000-a-2496" TargetMode="External"/><Relationship Id="rId408" Type="http://schemas.openxmlformats.org/officeDocument/2006/relationships/hyperlink" Target="http://www.nbcnews.com/technology/scribd-hack-exposes-thousands-users-1B9239618" TargetMode="External"/><Relationship Id="rId529" Type="http://schemas.openxmlformats.org/officeDocument/2006/relationships/hyperlink" Target="https://www.darkreading.com/attacks-and-breaches/heartland-payment-systems-hit-by-data-security-breach/d/d-id/1075770" TargetMode="External"/><Relationship Id="rId407" Type="http://schemas.openxmlformats.org/officeDocument/2006/relationships/hyperlink" Target="http://nakedsecurity.sophos.com/2013/04/05/scribd-worlds-largest-online-library-admits-to-network-intrusion-password-breach/" TargetMode="External"/><Relationship Id="rId528" Type="http://schemas.openxmlformats.org/officeDocument/2006/relationships/hyperlink" Target="http://www.forbes.com/sites/andygreenberg/2010/10/22/wikileaks-reveals-the-biggest-classified-data-breach-in-history/" TargetMode="External"/><Relationship Id="rId406" Type="http://schemas.openxmlformats.org/officeDocument/2006/relationships/hyperlink" Target="https://thehackernews.com/2011/12/tianya-chinas-biggest-online-forum-40.html" TargetMode="External"/><Relationship Id="rId527" Type="http://schemas.openxmlformats.org/officeDocument/2006/relationships/hyperlink" Target="https://www.bankinfosecurity.com/cleveland-federal-reserve-hacked-a-3115" TargetMode="External"/><Relationship Id="rId405" Type="http://schemas.openxmlformats.org/officeDocument/2006/relationships/hyperlink" Target="http://www.scmagazine.com.au/News/349585,28-million-clear-text-passwords-found-after-tianya65279-hack.aspx" TargetMode="External"/><Relationship Id="rId526" Type="http://schemas.openxmlformats.org/officeDocument/2006/relationships/hyperlink" Target="https://www.wsj.com/articles/SB10001424052702304434404575150024174102954" TargetMode="External"/><Relationship Id="rId26" Type="http://schemas.openxmlformats.org/officeDocument/2006/relationships/hyperlink" Target="https://haveibeenpwned.com/Breach/RobinsonsMalls" TargetMode="External"/><Relationship Id="rId25" Type="http://schemas.openxmlformats.org/officeDocument/2006/relationships/hyperlink" Target="https://www.bleepingcomputer.com/news/security/baltimore-city-public-schools-data-breach-affects-over-31-000-people/" TargetMode="External"/><Relationship Id="rId28" Type="http://schemas.openxmlformats.org/officeDocument/2006/relationships/hyperlink" Target="https://haveibeenpwned.com/Breach/Ualabee" TargetMode="External"/><Relationship Id="rId27" Type="http://schemas.openxmlformats.org/officeDocument/2006/relationships/hyperlink" Target="https://haveibeenpwned.com/Breach/HaveFunTeaching" TargetMode="External"/><Relationship Id="rId400" Type="http://schemas.openxmlformats.org/officeDocument/2006/relationships/hyperlink" Target="http://www.theguardian.com/technology/2014/jun/16/dominos-pizza-ransom-hack-data" TargetMode="External"/><Relationship Id="rId521" Type="http://schemas.openxmlformats.org/officeDocument/2006/relationships/hyperlink" Target="https://www.thelantern.com/2010/12/hacked-data-breach-costly-for-ohio-state-victims-of-compromised-info/" TargetMode="External"/><Relationship Id="rId29" Type="http://schemas.openxmlformats.org/officeDocument/2006/relationships/hyperlink" Target="https://haveibeenpwned.com/Breach/WiredBucks" TargetMode="External"/><Relationship Id="rId520" Type="http://schemas.openxmlformats.org/officeDocument/2006/relationships/hyperlink" Target="https://www.databreaches.net/puerto-rico-dept-of-health-reports-breach-affecting-400000-triple-s-salud-fined-100k/" TargetMode="External"/><Relationship Id="rId11" Type="http://schemas.openxmlformats.org/officeDocument/2006/relationships/hyperlink" Target="https://www.bleepingcomputer.com/news/security/uk-legal-aid-agency-confirms-applicant-data-stolen-in-data-breach/" TargetMode="External"/><Relationship Id="rId10" Type="http://schemas.openxmlformats.org/officeDocument/2006/relationships/hyperlink" Target="https://www.bleepingcomputer.com/news/security/coinbase-says-recent-data-breach-impacts-69-461-customers/" TargetMode="External"/><Relationship Id="rId13" Type="http://schemas.openxmlformats.org/officeDocument/2006/relationships/hyperlink" Target="https://haveibeenpwned.com/Breach/ColoCrossing" TargetMode="External"/><Relationship Id="rId12" Type="http://schemas.openxmlformats.org/officeDocument/2006/relationships/hyperlink" Target="https://www.bleepingcomputer.com/news/security/nova-scotia-power-confirms-hackers-stole-customer-data-in-cyberattack/" TargetMode="External"/><Relationship Id="rId519" Type="http://schemas.openxmlformats.org/officeDocument/2006/relationships/hyperlink" Target="http://www.mediaite.com/online/gawker-medias-entire-commenter-database-appears-to-have-been-hacked/" TargetMode="External"/><Relationship Id="rId514" Type="http://schemas.openxmlformats.org/officeDocument/2006/relationships/hyperlink" Target="https://www.databreachtoday.com/avmed-sued-over-laptop-breach-a-3111" TargetMode="External"/><Relationship Id="rId513" Type="http://schemas.openxmlformats.org/officeDocument/2006/relationships/hyperlink" Target="http://www.reuters.com/article/us-data-breach-texas-idUSTRE78S5JG20110929" TargetMode="External"/><Relationship Id="rId512" Type="http://schemas.openxmlformats.org/officeDocument/2006/relationships/hyperlink" Target="https://blog.trendmicro.com/sutter-health-sued-for-1-billion-following-data-breach/" TargetMode="External"/><Relationship Id="rId511" Type="http://schemas.openxmlformats.org/officeDocument/2006/relationships/hyperlink" Target="https://www.law360.com/articles/277961/nemours-says-data-breach-affected-1-6m-patients" TargetMode="External"/><Relationship Id="rId518" Type="http://schemas.openxmlformats.org/officeDocument/2006/relationships/hyperlink" Target="http://www.guardian.co.uk/technology/2010/dec/13/gawker-hackers-passwords-twitter-wikileaks?INTCMP=SRCH" TargetMode="External"/><Relationship Id="rId517" Type="http://schemas.openxmlformats.org/officeDocument/2006/relationships/hyperlink" Target="http://gawker.com" TargetMode="External"/><Relationship Id="rId516" Type="http://schemas.openxmlformats.org/officeDocument/2006/relationships/hyperlink" Target="http://www.guardian.co.uk/news/datablog/2010/nov/29/wikileaks-cables-data" TargetMode="External"/><Relationship Id="rId515" Type="http://schemas.openxmlformats.org/officeDocument/2006/relationships/hyperlink" Target="https://www.databreaches.net/bcbs-of-tenn-breach-lessons-learned/" TargetMode="External"/><Relationship Id="rId15" Type="http://schemas.openxmlformats.org/officeDocument/2006/relationships/hyperlink" Target="https://haveibeenpwned.com/Breach/FFR" TargetMode="External"/><Relationship Id="rId14" Type="http://schemas.openxmlformats.org/officeDocument/2006/relationships/hyperlink" Target="https://haveibeenpwned.com/Breach/FreeMobile" TargetMode="External"/><Relationship Id="rId17" Type="http://schemas.openxmlformats.org/officeDocument/2006/relationships/hyperlink" Target="https://www.bleepingcomputer.com/news/security/krispy-kreme-says-november-data-breach-impacts-over-160-000-people/" TargetMode="External"/><Relationship Id="rId16" Type="http://schemas.openxmlformats.org/officeDocument/2006/relationships/hyperlink" Target="https://haveibeenpwned.com/Breach/TehetsegKapu" TargetMode="External"/><Relationship Id="rId19" Type="http://schemas.openxmlformats.org/officeDocument/2006/relationships/hyperlink" Target="http://cock.li" TargetMode="External"/><Relationship Id="rId510" Type="http://schemas.openxmlformats.org/officeDocument/2006/relationships/hyperlink" Target="https://uk.reuters.com/article/us-korea-hacking-nexon/data-of-13-million-south-korean-online-game-subscribers-hacked-idUSTRE7AP09H20111126" TargetMode="External"/><Relationship Id="rId18" Type="http://schemas.openxmlformats.org/officeDocument/2006/relationships/hyperlink" Target="https://www.bleepingcomputer.com/news/security/episource-says-data-breach-impacts-54-million-patients/" TargetMode="External"/><Relationship Id="rId84" Type="http://schemas.openxmlformats.org/officeDocument/2006/relationships/hyperlink" Target="https://www.bleepingcomputer.com/news/security/ransomware-gang-steals-data-of-58-million-pharmerica-patients/" TargetMode="External"/><Relationship Id="rId83" Type="http://schemas.openxmlformats.org/officeDocument/2006/relationships/hyperlink" Target="https://www.bleepingcomputer.com/news/security/kfc-pizza-hut-owner-discloses-data-breach-after-ransomware-attack/" TargetMode="External"/><Relationship Id="rId86" Type="http://schemas.openxmlformats.org/officeDocument/2006/relationships/hyperlink" Target="https://www.bleepingcomputer.com/news/security/golf-gear-giant-callaway-data-breach-exposes-info-of-11-million/" TargetMode="External"/><Relationship Id="rId85" Type="http://schemas.openxmlformats.org/officeDocument/2006/relationships/hyperlink" Target="https://www.theregister.com/2023/10/04/nato_data_attack/" TargetMode="External"/><Relationship Id="rId88" Type="http://schemas.openxmlformats.org/officeDocument/2006/relationships/hyperlink" Target="https://www.bleepingcomputer.com/news/security/sony-confirms-data-breach-impacting-thousands-in-the-us/" TargetMode="External"/><Relationship Id="rId87" Type="http://schemas.openxmlformats.org/officeDocument/2006/relationships/hyperlink" Target="https://www.theverge.com/2023/10/5/23905370/sony-interactive-entertainment-security-breach-confirmation" TargetMode="External"/><Relationship Id="rId89" Type="http://schemas.openxmlformats.org/officeDocument/2006/relationships/hyperlink" Target="https://arstechnica.com/tech-policy/2023/12/hackers-stole-ancestry-data-of-6-9-million-users-23andme-finally-confirmed/" TargetMode="External"/><Relationship Id="rId80" Type="http://schemas.openxmlformats.org/officeDocument/2006/relationships/hyperlink" Target="https://restoreprivacy.com/uber-data-leak-breach-third-party-vendor-hacked/" TargetMode="External"/><Relationship Id="rId82" Type="http://schemas.openxmlformats.org/officeDocument/2006/relationships/hyperlink" Target="https://www.bleepingcomputer.com/news/security/us-no-fly-list-shared-on-a-hacking-forum-government-investigating/" TargetMode="External"/><Relationship Id="rId81" Type="http://schemas.openxmlformats.org/officeDocument/2006/relationships/hyperlink" Target="https://firewalltimes.com/twitter-data-breach-timeline/" TargetMode="External"/><Relationship Id="rId73" Type="http://schemas.openxmlformats.org/officeDocument/2006/relationships/hyperlink" Target="https://sec.okta.com/harfiles" TargetMode="External"/><Relationship Id="rId72" Type="http://schemas.openxmlformats.org/officeDocument/2006/relationships/hyperlink" Target="https://www.bleepingcomputer.com/news/security/8-million-people-hit-by-data-breach-at-us-govt-contractor-maximus/" TargetMode="External"/><Relationship Id="rId75" Type="http://schemas.openxmlformats.org/officeDocument/2006/relationships/hyperlink" Target="https://techcrunch.com/2023/12/19/comcast-xfinity-hackers-36-million-customers/" TargetMode="External"/><Relationship Id="rId74" Type="http://schemas.openxmlformats.org/officeDocument/2006/relationships/hyperlink" Target="https://www.bleepingcomputer.com/news/security/delta-dental-of-california-data-breach-exposed-info-of-7-million-people/" TargetMode="External"/><Relationship Id="rId77" Type="http://schemas.openxmlformats.org/officeDocument/2006/relationships/hyperlink" Target="https://www.forbes.com/sites/daveywinder/2023/02/10/reddit-confirms-it-was-hacked-recommends-users-set-up-2fa/" TargetMode="External"/><Relationship Id="rId76" Type="http://schemas.openxmlformats.org/officeDocument/2006/relationships/hyperlink" Target="https://cyberscoop.com/atlassian-hack-employee-data-seigedsec/" TargetMode="External"/><Relationship Id="rId79" Type="http://schemas.openxmlformats.org/officeDocument/2006/relationships/hyperlink" Target="https://www.reuters.com/business/mgm-expects-cybersecurity-issue-negatively-impact-third-quarter-earnings-2023-10-05/" TargetMode="External"/><Relationship Id="rId78" Type="http://schemas.openxmlformats.org/officeDocument/2006/relationships/hyperlink" Target="https://www.bleepingcomputer.com/news/security/godaddy-hackers-stole-source-code-installed-malware-in-multi-year-breach/" TargetMode="External"/><Relationship Id="rId71" Type="http://schemas.openxmlformats.org/officeDocument/2006/relationships/hyperlink" Target="https://www.bleepingcomputer.com/news/security/welltok-data-breach-exposes-data-of-85-million-us-patients/" TargetMode="External"/><Relationship Id="rId70" Type="http://schemas.openxmlformats.org/officeDocument/2006/relationships/hyperlink" Target="https://techcrunch.com/2023/11/09/maine-government-data-breach-clop-ransomware/" TargetMode="External"/><Relationship Id="rId62" Type="http://schemas.openxmlformats.org/officeDocument/2006/relationships/hyperlink" Target="https://www.theregister.com/2024/03/14/mega_data_breach_at_french/" TargetMode="External"/><Relationship Id="rId61" Type="http://schemas.openxmlformats.org/officeDocument/2006/relationships/hyperlink" Target="https://www.bleepingcomputer.com/news/security/philadelphia-inquirer-data-of-over-25-000-people-stolen-in-2023-breach/" TargetMode="External"/><Relationship Id="rId64" Type="http://schemas.openxmlformats.org/officeDocument/2006/relationships/hyperlink" Target="https://www.usg.edu/news/release/notice_of_data_breach" TargetMode="External"/><Relationship Id="rId63" Type="http://schemas.openxmlformats.org/officeDocument/2006/relationships/hyperlink" Target="https://www.bleepingcomputer.com/news/security/university-system-of-georgia-800k-exposed-in-2023-moveit-attack/" TargetMode="External"/><Relationship Id="rId66" Type="http://schemas.openxmlformats.org/officeDocument/2006/relationships/hyperlink" Target="https://www.bleepingcomputer.com/news/security/omnivision-discloses-data-breach-after-2023-ransomware-attack/" TargetMode="External"/><Relationship Id="rId65" Type="http://schemas.openxmlformats.org/officeDocument/2006/relationships/hyperlink" Target="https://www.bleepingcomputer.com/news/security/ohio-lottery-ransomware-attack-impacts-over-538-000-individuals/" TargetMode="External"/><Relationship Id="rId68" Type="http://schemas.openxmlformats.org/officeDocument/2006/relationships/hyperlink" Target="https://arstechnica.com/tech-policy/2024/04/att-acknowledges-data-leak-that-hit-73-million-current-and-former-users/" TargetMode="External"/><Relationship Id="rId67" Type="http://schemas.openxmlformats.org/officeDocument/2006/relationships/hyperlink" Target="https://www.bleepingcomputer.com/news/security/western-sydney-university-data-breach-exposed-student-data/" TargetMode="External"/><Relationship Id="rId609" Type="http://schemas.openxmlformats.org/officeDocument/2006/relationships/hyperlink" Target="https://en.wikipedia.org/wiki/2015_Office_of_Personnel_Management_data_breach" TargetMode="External"/><Relationship Id="rId608" Type="http://schemas.openxmlformats.org/officeDocument/2006/relationships/hyperlink" Target="https://techcrunch.com/2023/06/28/uspto-trademark-data-api-leak" TargetMode="External"/><Relationship Id="rId607" Type="http://schemas.openxmlformats.org/officeDocument/2006/relationships/hyperlink" Target="https://yro.slashdot.org/story/23/06/28/1640236/us-patent-and-trademark-office-notifies-filers-of-years-long-data-leak" TargetMode="External"/><Relationship Id="rId60" Type="http://schemas.openxmlformats.org/officeDocument/2006/relationships/hyperlink" Target="https://www.bleepingcomputer.com/news/security/panda-restaurants-discloses-a-data-breach-after-corporate-systems-hack/" TargetMode="External"/><Relationship Id="rId602" Type="http://schemas.openxmlformats.org/officeDocument/2006/relationships/hyperlink" Target="https://www.bleepingcomputer.com/news/security/hca-confirms-breach-after-hacker-steals-data-of-11-million-patients/" TargetMode="External"/><Relationship Id="rId601" Type="http://schemas.openxmlformats.org/officeDocument/2006/relationships/hyperlink" Target="https://qz.com/hackers-heath-data-hospitals-california-ransom-breach-1850942235" TargetMode="External"/><Relationship Id="rId600" Type="http://schemas.openxmlformats.org/officeDocument/2006/relationships/hyperlink" Target="http://qz.com" TargetMode="External"/><Relationship Id="rId606" Type="http://schemas.openxmlformats.org/officeDocument/2006/relationships/hyperlink" Target="https://www.404media.co/hackers-target-kodex-accounts-edrs/" TargetMode="External"/><Relationship Id="rId605" Type="http://schemas.openxmlformats.org/officeDocument/2006/relationships/hyperlink" Target="https://it.slashdot.org/story/23/10/20/002204/hackers-compromise-accounts-of-kodex-company-that-vets-police-data-requests-for-tech-giants" TargetMode="External"/><Relationship Id="rId604" Type="http://schemas.openxmlformats.org/officeDocument/2006/relationships/hyperlink" Target="https://en.wikipedia.org/wiki/Health_Service_Executive_ransomware_attack" TargetMode="External"/><Relationship Id="rId603" Type="http://schemas.openxmlformats.org/officeDocument/2006/relationships/hyperlink" Target="https://abcnews.go.com/International/10-days-ransomware-attack-irish-health-system-struggling/story?id=77876092" TargetMode="External"/><Relationship Id="rId69" Type="http://schemas.openxmlformats.org/officeDocument/2006/relationships/hyperlink" Target="https://www.independent.ie/irish-news/thousands-of-drivers-have-sensitive-data-exposed-to-hackers-in-major-it-breach/a1379036136.html" TargetMode="External"/><Relationship Id="rId51" Type="http://schemas.openxmlformats.org/officeDocument/2006/relationships/hyperlink" Target="https://poliisi.fi/en/-/police-investigate-extensive-data-breach-in-helsinki-city-s-computer-network" TargetMode="External"/><Relationship Id="rId50" Type="http://schemas.openxmlformats.org/officeDocument/2006/relationships/hyperlink" Target="https://www.bleepingcomputer.com/news/security/helsinki-suffers-data-breach-after-hackers-exploit-unpatched-flaw/" TargetMode="External"/><Relationship Id="rId53" Type="http://schemas.openxmlformats.org/officeDocument/2006/relationships/hyperlink" Target="https://www.cyberdaily.au/security/10487-exclusive-aussie-lender-firstmac-falls-victim-to-embargo-ransomware-gang" TargetMode="External"/><Relationship Id="rId52" Type="http://schemas.openxmlformats.org/officeDocument/2006/relationships/hyperlink" Target="https://www.bleepingcomputer.com/news/security/largest-non-bank-lender-in-australia-warns-of-a-data-breach/" TargetMode="External"/><Relationship Id="rId55" Type="http://schemas.openxmlformats.org/officeDocument/2006/relationships/hyperlink" Target="https://www.mediaite.com/politics/conservative-news-websites-hacked-replaced-with-page-leaking-private-information/" TargetMode="External"/><Relationship Id="rId54" Type="http://schemas.openxmlformats.org/officeDocument/2006/relationships/hyperlink" Target="https://www.bleepingcomputer.com/news/security/the-post-millennial-hack-leaked-data-impacting-26-million-people/" TargetMode="External"/><Relationship Id="rId57" Type="http://schemas.openxmlformats.org/officeDocument/2006/relationships/hyperlink" Target="https://www.bleepingcomputer.com/news/security/uk-confirms-ministry-of-defence-payroll-data-exposed-in-data-breach/" TargetMode="External"/><Relationship Id="rId56" Type="http://schemas.openxmlformats.org/officeDocument/2006/relationships/hyperlink" Target="https://www.bleepingcomputer.com/news/security/dell-api-abused-to-steal-49-million-customer-records-in-data-breach/" TargetMode="External"/><Relationship Id="rId59" Type="http://schemas.openxmlformats.org/officeDocument/2006/relationships/hyperlink" Target="https://www.bleepingcomputer.com/news/security/dropbox-says-hackers-stole-customer-data-auth-secrets-from-esignature-service/" TargetMode="External"/><Relationship Id="rId58" Type="http://schemas.openxmlformats.org/officeDocument/2006/relationships/hyperlink" Target="https://www.theguardian.com/technology/article/2024/may/06/uk-military-personnels-data-hacked-in-mod-payroll-breach" TargetMode="External"/><Relationship Id="rId590" Type="http://schemas.openxmlformats.org/officeDocument/2006/relationships/hyperlink" Target="https://www.engadget.com/self-proclaimed-gay-furry-hackers-breach-nuclear-lab-152034192.html" TargetMode="External"/><Relationship Id="rId107" Type="http://schemas.openxmlformats.org/officeDocument/2006/relationships/hyperlink" Target="https://www.theverge.com/2023/7/21/23802742/roblox-data-breach-leak-developer-personal-information-exposed" TargetMode="External"/><Relationship Id="rId228" Type="http://schemas.openxmlformats.org/officeDocument/2006/relationships/hyperlink" Target="http://ge.tt" TargetMode="External"/><Relationship Id="rId349" Type="http://schemas.openxmlformats.org/officeDocument/2006/relationships/hyperlink" Target="https://krebsonsecurity.com/2015/05/carefirst-blue-cross-breach-hits-1-1m/" TargetMode="External"/><Relationship Id="rId106" Type="http://schemas.openxmlformats.org/officeDocument/2006/relationships/hyperlink" Target="https://www.wired.com/story/china-backed-hackers-steal-microsofts-signing-key-post-mortem/" TargetMode="External"/><Relationship Id="rId227" Type="http://schemas.openxmlformats.org/officeDocument/2006/relationships/hyperlink" Target="https://techcrunch.com/2019/01/31/houzz-data-breach/" TargetMode="External"/><Relationship Id="rId348" Type="http://schemas.openxmlformats.org/officeDocument/2006/relationships/hyperlink" Target="http://www.digitaltrends.com/computing/clixsense-hacked/" TargetMode="External"/><Relationship Id="rId469" Type="http://schemas.openxmlformats.org/officeDocument/2006/relationships/hyperlink" Target="http://militarysingles.com" TargetMode="External"/><Relationship Id="rId105" Type="http://schemas.openxmlformats.org/officeDocument/2006/relationships/hyperlink" Target="https://www.nytimes.com/2023/07/11/us/politics/china-hack-us-government-microsoft.html?smid=nytcore-ios-share" TargetMode="External"/><Relationship Id="rId226" Type="http://schemas.openxmlformats.org/officeDocument/2006/relationships/hyperlink" Target="https://techcrunch.com/2019/02/14/hacker-strikes-again/" TargetMode="External"/><Relationship Id="rId347" Type="http://schemas.openxmlformats.org/officeDocument/2006/relationships/hyperlink" Target="https://www.vice.com/en_us/article/vv7pgd/nearly-800000-brazzers-porn-site-accounts-exposed-in-forum-hack" TargetMode="External"/><Relationship Id="rId468" Type="http://schemas.openxmlformats.org/officeDocument/2006/relationships/hyperlink" Target="http://www.forbes.com/sites/andygreenberg/2012/07/23/eight-million-passwords-spilled-from-gaming-site-gamigo-months-after-breach/" TargetMode="External"/><Relationship Id="rId589" Type="http://schemas.openxmlformats.org/officeDocument/2006/relationships/hyperlink" Target="https://www.bleepingcomputer.com/news/security/casio-discloses-data-breach-impacting-customers-in-149-countries/" TargetMode="External"/><Relationship Id="rId104" Type="http://schemas.openxmlformats.org/officeDocument/2006/relationships/hyperlink" Target="https://www.bleepingcomputer.com/news/security/microsoft-denies-data-breach-theft-of-30-million-customer-accounts/" TargetMode="External"/><Relationship Id="rId225" Type="http://schemas.openxmlformats.org/officeDocument/2006/relationships/hyperlink" Target="https://techcrunch.com/2019/02/14/hacker-strikes-again/" TargetMode="External"/><Relationship Id="rId346" Type="http://schemas.openxmlformats.org/officeDocument/2006/relationships/hyperlink" Target="http://www.zdnet.com/article/adultfriendfinder-network-hack-exposes-secrets-of-412-million-users/" TargetMode="External"/><Relationship Id="rId467" Type="http://schemas.openxmlformats.org/officeDocument/2006/relationships/hyperlink" Target="http://news.cnet.com/8301-1009_3-57449325-83/what-the-password-leaks-mean-to-you-faq/?tag=mncol;txt" TargetMode="External"/><Relationship Id="rId588" Type="http://schemas.openxmlformats.org/officeDocument/2006/relationships/hyperlink" Target="https://yro.slashdot.org/story/23/10/20/0031219/casio-keyed-up-after-data-loss-hits-customers-in-149-countries" TargetMode="External"/><Relationship Id="rId109" Type="http://schemas.openxmlformats.org/officeDocument/2006/relationships/hyperlink" Target="https://stackdiary.com/the-data-of-760000-discord-io-users-was-put-up-for-sale-on-the-darknet/" TargetMode="External"/><Relationship Id="rId108" Type="http://schemas.openxmlformats.org/officeDocument/2006/relationships/hyperlink" Target="http://discord.io/" TargetMode="External"/><Relationship Id="rId229" Type="http://schemas.openxmlformats.org/officeDocument/2006/relationships/hyperlink" Target="https://techcrunch.com/2019/02/14/hacker-strikes-again/" TargetMode="External"/><Relationship Id="rId220" Type="http://schemas.openxmlformats.org/officeDocument/2006/relationships/hyperlink" Target="https://www.theregister.co.uk/2019/02/11/620_million_hacked_accounts_dark_web/" TargetMode="External"/><Relationship Id="rId341" Type="http://schemas.openxmlformats.org/officeDocument/2006/relationships/hyperlink" Target="http://venturebeat.com/2016/08/02/hackers-break-into-telegram-revealing-15-million-users-phone-numbers/" TargetMode="External"/><Relationship Id="rId462" Type="http://schemas.openxmlformats.org/officeDocument/2006/relationships/hyperlink" Target="http://news.cnet.com/8301-1009_3-57482215-83/hackers-accused-of-stealing-data-from-9m-korean-mobile-users/" TargetMode="External"/><Relationship Id="rId583" Type="http://schemas.openxmlformats.org/officeDocument/2006/relationships/hyperlink" Target="https://www.bleepingcomputer.com/news/security/hacker-leaks-alleged-activision-employee-data-on-cybercrime-forum/" TargetMode="External"/><Relationship Id="rId340" Type="http://schemas.openxmlformats.org/officeDocument/2006/relationships/hyperlink" Target="http://www.abc.net.au/news/2016-10-28/red-cross-blood-service-admits-to-data-breach/7974036" TargetMode="External"/><Relationship Id="rId461" Type="http://schemas.openxmlformats.org/officeDocument/2006/relationships/hyperlink" Target="http://www.koreatimes.co.kr/www/news/biz/2012/07/113_116143.html" TargetMode="External"/><Relationship Id="rId582" Type="http://schemas.openxmlformats.org/officeDocument/2006/relationships/hyperlink" Target="https://www.ggrecon.com/articles/huge-activision-leak-details-warzone-2-and-mw2-2023-roadmap/" TargetMode="External"/><Relationship Id="rId460" Type="http://schemas.openxmlformats.org/officeDocument/2006/relationships/hyperlink" Target="http://news.cnet.com/8301-1009_3-57469944-83/formspring-disables-user-passwords-in-security-breach/?tag=mncol;txt" TargetMode="External"/><Relationship Id="rId581" Type="http://schemas.openxmlformats.org/officeDocument/2006/relationships/hyperlink" Target="https://arstechnica.com/information-technology/2023/02/conservative-news-corp-empire-says-hackers-were-inside-its-network-for-2-years/" TargetMode="External"/><Relationship Id="rId580" Type="http://schemas.openxmlformats.org/officeDocument/2006/relationships/hyperlink" Target="http://money.cnn.com/2004/06/23/technology/aol_spam/" TargetMode="External"/><Relationship Id="rId103" Type="http://schemas.openxmlformats.org/officeDocument/2006/relationships/hyperlink" Target="https://www.classaction.org/news/teachers-insurance-and-annuity-association-of-america-hit-with-class-action-over-may-2023-data-breach" TargetMode="External"/><Relationship Id="rId224" Type="http://schemas.openxmlformats.org/officeDocument/2006/relationships/hyperlink" Target="https://www.theregister.co.uk/2019/02/11/620_million_hacked_accounts_dark_web/" TargetMode="External"/><Relationship Id="rId345" Type="http://schemas.openxmlformats.org/officeDocument/2006/relationships/hyperlink" Target="http://newsroom.questdiagnostics.com/2016-12-12-Quest-Diagnostics-Provides-Notice-of-Data-Security-Incident" TargetMode="External"/><Relationship Id="rId466" Type="http://schemas.openxmlformats.org/officeDocument/2006/relationships/hyperlink" Target="https://www.zdnet.com/article/last-fm-investigating-security-issue-passwords-leaked/" TargetMode="External"/><Relationship Id="rId587" Type="http://schemas.openxmlformats.org/officeDocument/2006/relationships/hyperlink" Target="https://www.theguardian.com/technology/2023/aug/08/uk-electoral-commission-registers-targeted-by-hostile-hackers" TargetMode="External"/><Relationship Id="rId102" Type="http://schemas.openxmlformats.org/officeDocument/2006/relationships/hyperlink" Target="http://classaction.org/" TargetMode="External"/><Relationship Id="rId223" Type="http://schemas.openxmlformats.org/officeDocument/2006/relationships/hyperlink" Target="https://www.theregister.co.uk/2019/02/11/620_million_hacked_accounts_dark_web/" TargetMode="External"/><Relationship Id="rId344" Type="http://schemas.openxmlformats.org/officeDocument/2006/relationships/hyperlink" Target="http://www.nytimes.com/2016/07/29/world/asia/north-korea-hacking-interpark.html" TargetMode="External"/><Relationship Id="rId465" Type="http://schemas.openxmlformats.org/officeDocument/2006/relationships/hyperlink" Target="http://www.zdnet.com/article/hackers-stole-43-million-last-fm-account-details-in-2012-breach/" TargetMode="External"/><Relationship Id="rId586" Type="http://schemas.openxmlformats.org/officeDocument/2006/relationships/hyperlink" Target="https://www.bleepingcomputer.com/news/security/toyota-car-location-data-of-2-million-customers-exposed-for-ten-years/" TargetMode="External"/><Relationship Id="rId101" Type="http://schemas.openxmlformats.org/officeDocument/2006/relationships/hyperlink" Target="https://www.bleepingcomputer.com/news/security/over-100-000-chatgpt-accounts-stolen-via-info-stealing-malware/" TargetMode="External"/><Relationship Id="rId222" Type="http://schemas.openxmlformats.org/officeDocument/2006/relationships/hyperlink" Target="https://www.theregister.co.uk/2019/02/11/620_million_hacked_accounts_dark_web/" TargetMode="External"/><Relationship Id="rId343" Type="http://schemas.openxmlformats.org/officeDocument/2006/relationships/hyperlink" Target="https://techcrunch.com/2016/10/20/weebly-hacked-43-million-credentials-stolen/" TargetMode="External"/><Relationship Id="rId464" Type="http://schemas.openxmlformats.org/officeDocument/2006/relationships/hyperlink" Target="http://last.fm" TargetMode="External"/><Relationship Id="rId585" Type="http://schemas.openxmlformats.org/officeDocument/2006/relationships/hyperlink" Target="https://techcrunch.com/2023/01/14/circleci-hackers-stole-customer-source-code/" TargetMode="External"/><Relationship Id="rId100" Type="http://schemas.openxmlformats.org/officeDocument/2006/relationships/hyperlink" Target="https://www.bleepingcomputer.com/news/security/t-mobile-discloses-second-data-breach-since-the-start-of-2023/" TargetMode="External"/><Relationship Id="rId221" Type="http://schemas.openxmlformats.org/officeDocument/2006/relationships/hyperlink" Target="https://www.theregister.co.uk/2019/02/11/620_million_hacked_accounts_dark_web/" TargetMode="External"/><Relationship Id="rId342" Type="http://schemas.openxmlformats.org/officeDocument/2006/relationships/hyperlink" Target="http://www.zdnet.com/article/dailymotion-hack-exposes-millions-of-accounts/" TargetMode="External"/><Relationship Id="rId463" Type="http://schemas.openxmlformats.org/officeDocument/2006/relationships/hyperlink" Target="https://www.helpnetsecurity.com/2012/07/12/nearly-half-a-million-yahoo-passwords-leaked-following-hack/" TargetMode="External"/><Relationship Id="rId584" Type="http://schemas.openxmlformats.org/officeDocument/2006/relationships/hyperlink" Target="https://it.slashdot.org/story/23/01/30/2159249/jd-sports-admits-intruder-accessed-10-million-customers-data" TargetMode="External"/><Relationship Id="rId217" Type="http://schemas.openxmlformats.org/officeDocument/2006/relationships/hyperlink" Target="https://www.theregister.co.uk/2019/02/11/620_million_hacked_accounts_dark_web/" TargetMode="External"/><Relationship Id="rId338" Type="http://schemas.openxmlformats.org/officeDocument/2006/relationships/hyperlink" Target="https://www.vice.com/en_us/article/pgkk8v/427-million-myspace-passwords-emails-data-breach" TargetMode="External"/><Relationship Id="rId459" Type="http://schemas.openxmlformats.org/officeDocument/2006/relationships/hyperlink" Target="http://www.forbes.com/sites/andygreenberg/2012/01/15/zappos-says-hackers-accessed-24-million-customers-account-details/" TargetMode="External"/><Relationship Id="rId216" Type="http://schemas.openxmlformats.org/officeDocument/2006/relationships/hyperlink" Target="https://www.theregister.co.uk/2019/02/11/620_million_hacked_accounts_dark_web/" TargetMode="External"/><Relationship Id="rId337" Type="http://schemas.openxmlformats.org/officeDocument/2006/relationships/hyperlink" Target="https://www.ibtimes.co.uk/fling-com-breach-passwords-sexual-preferences-40-million-users-sale-dark-web-1558711" TargetMode="External"/><Relationship Id="rId458" Type="http://schemas.openxmlformats.org/officeDocument/2006/relationships/hyperlink" Target="https://www.databreaches.net/more-breaches-you-may-not-have-known-about/" TargetMode="External"/><Relationship Id="rId579" Type="http://schemas.openxmlformats.org/officeDocument/2006/relationships/hyperlink" Target="https://www.wired.com/2005/06/cardsystems-data-left-unsecured/" TargetMode="External"/><Relationship Id="rId215" Type="http://schemas.openxmlformats.org/officeDocument/2006/relationships/hyperlink" Target="https://www.theregister.co.uk/2019/02/11/620_million_hacked_accounts_dark_web/" TargetMode="External"/><Relationship Id="rId336" Type="http://schemas.openxmlformats.org/officeDocument/2006/relationships/hyperlink" Target="https://motherboard.vice.com/en_us/article/pgkp57/a-teen-hacker-is-targeting-russian-sites-as-revenge-for-the-mh17-crash" TargetMode="External"/><Relationship Id="rId457" Type="http://schemas.openxmlformats.org/officeDocument/2006/relationships/hyperlink" Target="https://www.databreaches.net/nyseg-and-rge-notify-customers-of-unauthorized-access-to-customer-data/" TargetMode="External"/><Relationship Id="rId578" Type="http://schemas.openxmlformats.org/officeDocument/2006/relationships/hyperlink" Target="http://www.nytimes.com/2005/06/07/business/07data.html?pagewanted=all&amp;_moc.semityn.www" TargetMode="External"/><Relationship Id="rId214" Type="http://schemas.openxmlformats.org/officeDocument/2006/relationships/hyperlink" Target="https://www.theregister.co.uk/2019/02/11/620_million_hacked_accounts_dark_web/" TargetMode="External"/><Relationship Id="rId335" Type="http://schemas.openxmlformats.org/officeDocument/2006/relationships/hyperlink" Target="http://motherboard.vice.com/read/another-day-another-hack-100-million-accounts-for-vk-russias-facebook" TargetMode="External"/><Relationship Id="rId456" Type="http://schemas.openxmlformats.org/officeDocument/2006/relationships/hyperlink" Target="https://www.forbes.com/sites/erikkain/2012/08/09/its-official-blizzard-hacked-account-information-stolen/" TargetMode="External"/><Relationship Id="rId577" Type="http://schemas.openxmlformats.org/officeDocument/2006/relationships/hyperlink" Target="http://www.nbcnews.com/id/7561268/" TargetMode="External"/><Relationship Id="rId219" Type="http://schemas.openxmlformats.org/officeDocument/2006/relationships/hyperlink" Target="https://www.theregister.co.uk/2019/02/11/620_million_hacked_accounts_dark_web/" TargetMode="External"/><Relationship Id="rId218" Type="http://schemas.openxmlformats.org/officeDocument/2006/relationships/hyperlink" Target="https://www.theregister.co.uk/2019/02/11/620_million_hacked_accounts_dark_web/" TargetMode="External"/><Relationship Id="rId339" Type="http://schemas.openxmlformats.org/officeDocument/2006/relationships/hyperlink" Target="http://www.threemediacentre.co.uk/news/2017/handsetfraud-update.aspx" TargetMode="External"/><Relationship Id="rId330" Type="http://schemas.openxmlformats.org/officeDocument/2006/relationships/hyperlink" Target="https://www.forbes.com/sites/moneybuilder/2016/07/08/this-week-in-credit-card-news-wendys-data-breach-affects-1000-stores-card-fraud-dropping/" TargetMode="External"/><Relationship Id="rId451" Type="http://schemas.openxmlformats.org/officeDocument/2006/relationships/hyperlink" Target="http://www.zdnet.com/blog/security/3-million-bank-accounts-hacked-in-iran/11577" TargetMode="External"/><Relationship Id="rId572" Type="http://schemas.openxmlformats.org/officeDocument/2006/relationships/hyperlink" Target="http://gcn.com/Articles/2009/02/02/VA-data-breach-suit-settlement.aspx" TargetMode="External"/><Relationship Id="rId450" Type="http://schemas.openxmlformats.org/officeDocument/2006/relationships/hyperlink" Target="https://www.infosecurity-magazine.com/news/data-breach-hits-228000-south-carolina-medicaid/" TargetMode="External"/><Relationship Id="rId571" Type="http://schemas.openxmlformats.org/officeDocument/2006/relationships/hyperlink" Target="http://techcrunch.com/2006/08/06/aol-proudly-releases-massive-amounts-of-user-search-data/" TargetMode="External"/><Relationship Id="rId570" Type="http://schemas.openxmlformats.org/officeDocument/2006/relationships/hyperlink" Target="https://www.cnbc.com/id/20775257" TargetMode="External"/><Relationship Id="rId213" Type="http://schemas.openxmlformats.org/officeDocument/2006/relationships/hyperlink" Target="https://www.theregister.co.uk/2019/02/11/620_million_hacked_accounts_dark_web/" TargetMode="External"/><Relationship Id="rId334" Type="http://schemas.openxmlformats.org/officeDocument/2006/relationships/hyperlink" Target="http://www.bbc.co.uk/news/world-europe-36645519" TargetMode="External"/><Relationship Id="rId455" Type="http://schemas.openxmlformats.org/officeDocument/2006/relationships/hyperlink" Target="https://www.reuters.com/article/us-usa-hackers-utah/european-hackers-suspected-in-utah-medicaid-files-breach-idUSBRE83404G20120405" TargetMode="External"/><Relationship Id="rId576" Type="http://schemas.openxmlformats.org/officeDocument/2006/relationships/hyperlink" Target="https://www.computerweekly.com/news/2240076956/Personal-data-on-200000-HP-employees-stolen" TargetMode="External"/><Relationship Id="rId212" Type="http://schemas.openxmlformats.org/officeDocument/2006/relationships/hyperlink" Target="https://www.theregister.co.uk/2019/02/11/620_million_hacked_accounts_dark_web/" TargetMode="External"/><Relationship Id="rId333" Type="http://schemas.openxmlformats.org/officeDocument/2006/relationships/hyperlink" Target="https://thestack.com/security/2016/06/29/2-million-person-terror-database-leaked-online/" TargetMode="External"/><Relationship Id="rId454" Type="http://schemas.openxmlformats.org/officeDocument/2006/relationships/hyperlink" Target="http://www.rawstory.com/rs/2012/04/26/texas-attorney-general-exposes-millions-of-voters-social-security-numbers/" TargetMode="External"/><Relationship Id="rId575" Type="http://schemas.openxmlformats.org/officeDocument/2006/relationships/hyperlink" Target="http://www.computerworld.com/s/article/9001150/KDDI_suffers_massive_data_breach" TargetMode="External"/><Relationship Id="rId211" Type="http://schemas.openxmlformats.org/officeDocument/2006/relationships/hyperlink" Target="https://thenextweb.com/eu/2019/02/18/2-7-million-patient-calls-to-swedish-healthcare-hotline-left-unprotected-online/" TargetMode="External"/><Relationship Id="rId332" Type="http://schemas.openxmlformats.org/officeDocument/2006/relationships/hyperlink" Target="https://torrentfreak.com/utorrent-forums-hacked-passwords-compromised-160608/" TargetMode="External"/><Relationship Id="rId453" Type="http://schemas.openxmlformats.org/officeDocument/2006/relationships/hyperlink" Target="http://news.emory.edu/stories/2012/04/ehc_missing_data/campus.html" TargetMode="External"/><Relationship Id="rId574" Type="http://schemas.openxmlformats.org/officeDocument/2006/relationships/hyperlink" Target="http://abcnews.go.com/Technology/story?id=2160425&amp;page=1" TargetMode="External"/><Relationship Id="rId210" Type="http://schemas.openxmlformats.org/officeDocument/2006/relationships/hyperlink" Target="https://computersweden.idg.se/2.2683/1.714787/inspelade-samtal-1177-vardguiden-oskyddade-internet" TargetMode="External"/><Relationship Id="rId331" Type="http://schemas.openxmlformats.org/officeDocument/2006/relationships/hyperlink" Target="http://news.trust.org/item/20160729204542-r98dj" TargetMode="External"/><Relationship Id="rId452" Type="http://schemas.openxmlformats.org/officeDocument/2006/relationships/hyperlink" Target="https://www.businessinsider.com/california-child-support-data-breach-2012-4?IR=T" TargetMode="External"/><Relationship Id="rId573" Type="http://schemas.openxmlformats.org/officeDocument/2006/relationships/hyperlink" Target="https://www.va.gov/oig/pubs/VAOIG-06-02238-163.pdf" TargetMode="External"/><Relationship Id="rId370" Type="http://schemas.openxmlformats.org/officeDocument/2006/relationships/hyperlink" Target="http://www.channel4.com/news/adult-friendfinder-dating-hack-internet-dark-web" TargetMode="External"/><Relationship Id="rId491" Type="http://schemas.openxmlformats.org/officeDocument/2006/relationships/hyperlink" Target="http://writerspace.com" TargetMode="External"/><Relationship Id="rId490" Type="http://schemas.openxmlformats.org/officeDocument/2006/relationships/hyperlink" Target="https://www.databreaches.net/southern-california-medical-legal-consultants-reveals-that-300000-workers-compensation-applicants-names-and-social-security-numbers-were-exposed-on-internet/" TargetMode="External"/><Relationship Id="rId129" Type="http://schemas.openxmlformats.org/officeDocument/2006/relationships/hyperlink" Target="https://twitter.com/haveibeenpwned/status/1504343470072549377?lang=en" TargetMode="External"/><Relationship Id="rId128" Type="http://schemas.openxmlformats.org/officeDocument/2006/relationships/hyperlink" Target="https://blog.payhere.lk/ensuring-integrity-on-payhere-cybersecurity-incident/" TargetMode="External"/><Relationship Id="rId249" Type="http://schemas.openxmlformats.org/officeDocument/2006/relationships/hyperlink" Target="https://www.abc.net.au/news/2018-10-25/cathay-pacific-data-breach-affects-9.4-million-customers/10429878" TargetMode="External"/><Relationship Id="rId127" Type="http://schemas.openxmlformats.org/officeDocument/2006/relationships/hyperlink" Target="https://www.bleepingcomputer.com/news/security/hackers-breach-mailchimps-internal-tools-to-target-crypto-customers/" TargetMode="External"/><Relationship Id="rId248" Type="http://schemas.openxmlformats.org/officeDocument/2006/relationships/hyperlink" Target="https://krebsonsecurity.com/2018/09/govpaynow-com-leaks-14m-records/" TargetMode="External"/><Relationship Id="rId369" Type="http://schemas.openxmlformats.org/officeDocument/2006/relationships/hyperlink" Target="http://krebsonsecurity.com/2015/05/mobile-spy-software-maker-mspy-hacked-customer-data-leaked/" TargetMode="External"/><Relationship Id="rId126" Type="http://schemas.openxmlformats.org/officeDocument/2006/relationships/hyperlink" Target="https://www.bleepingcomputer.com/news/security/heroku-admits-that-customer-credentials-were-stolen-in-cyberattack/" TargetMode="External"/><Relationship Id="rId247" Type="http://schemas.openxmlformats.org/officeDocument/2006/relationships/hyperlink" Target="http://govpaynow.com" TargetMode="External"/><Relationship Id="rId368" Type="http://schemas.openxmlformats.org/officeDocument/2006/relationships/hyperlink" Target="http://money.cnn.com/2015/05/26/pf/taxes/irs-website-data-hack/index.html" TargetMode="External"/><Relationship Id="rId489" Type="http://schemas.openxmlformats.org/officeDocument/2006/relationships/hyperlink" Target="http://www.ehackingnews.com/2011/12/hackers-compromised-38-million-chinese.html" TargetMode="External"/><Relationship Id="rId121" Type="http://schemas.openxmlformats.org/officeDocument/2006/relationships/hyperlink" Target="https://www.bbc.co.uk/news/world-asia-61921222" TargetMode="External"/><Relationship Id="rId242" Type="http://schemas.openxmlformats.org/officeDocument/2006/relationships/hyperlink" Target="https://techcrunch.com/2019/09/26/doordash-data-breach/" TargetMode="External"/><Relationship Id="rId363" Type="http://schemas.openxmlformats.org/officeDocument/2006/relationships/hyperlink" Target="http://krebsonsecurity.com/2015/07/online-cheating-site-ashleymadison-hacked/" TargetMode="External"/><Relationship Id="rId484" Type="http://schemas.openxmlformats.org/officeDocument/2006/relationships/hyperlink" Target="https://www.theguardian.com/technology/2011/apr/04/epsilon-email-hack" TargetMode="External"/><Relationship Id="rId120" Type="http://schemas.openxmlformats.org/officeDocument/2006/relationships/hyperlink" Target="https://www.wired.com/story/twitter-leak-200-million-user-email-addresses/" TargetMode="External"/><Relationship Id="rId241" Type="http://schemas.openxmlformats.org/officeDocument/2006/relationships/hyperlink" Target="https://www.fastcompany.com/90399734/the-phone-numbers-of-419-million-facebook-accounts-have-been-leaked" TargetMode="External"/><Relationship Id="rId362" Type="http://schemas.openxmlformats.org/officeDocument/2006/relationships/hyperlink" Target="http://ashleymadison.com" TargetMode="External"/><Relationship Id="rId483" Type="http://schemas.openxmlformats.org/officeDocument/2006/relationships/hyperlink" Target="https://uk.pcmag.com/news/105457/texas-security-breach-exposes-35m-records" TargetMode="External"/><Relationship Id="rId240" Type="http://schemas.openxmlformats.org/officeDocument/2006/relationships/hyperlink" Target="https://www.theguardian.com/technology/2019/aug/14/major-breach-found-in-biometrics-system-used-by-banks-uk-police-and-defence-firms" TargetMode="External"/><Relationship Id="rId361" Type="http://schemas.openxmlformats.org/officeDocument/2006/relationships/hyperlink" Target="http://www.theguardian.com/technology/2015/jul/06/hacking-team-hacked-firm-sold-spying-tools-to-repressive-regimes-documents-claim" TargetMode="External"/><Relationship Id="rId482" Type="http://schemas.openxmlformats.org/officeDocument/2006/relationships/hyperlink" Target="https://abcnews.go.com/Business/morgan-stanley-smith-barney-breach-losing-client-data/story?id=14008632" TargetMode="External"/><Relationship Id="rId360" Type="http://schemas.openxmlformats.org/officeDocument/2006/relationships/hyperlink" Target="http://www.troyhunt.com/2015/11/when-children-are-breached-inside.html" TargetMode="External"/><Relationship Id="rId481" Type="http://schemas.openxmlformats.org/officeDocument/2006/relationships/hyperlink" Target="http://www.nbcnews.com/id/44235153/ns/technology_and_science-security/t/data-breach-hits-yale-university/" TargetMode="External"/><Relationship Id="rId125" Type="http://schemas.openxmlformats.org/officeDocument/2006/relationships/hyperlink" Target="https://e24.no/internasjonal-oekonomi/i/Bj97B0/dubai-uncovered-data-leak-exposes-how-criminals-officials-and-sanctioned-politicians-poured-money-into-dubai-real-estate" TargetMode="External"/><Relationship Id="rId246" Type="http://schemas.openxmlformats.org/officeDocument/2006/relationships/hyperlink" Target="https://www.straitstimes.com/singapore/personal-info-of-15m-singhealth-patients-including-pm-lee-stolen-in-singapores-most" TargetMode="External"/><Relationship Id="rId367" Type="http://schemas.openxmlformats.org/officeDocument/2006/relationships/hyperlink" Target="http://www.theguardian.com/world/2015/mar/30/personal-details-of-world-leaders-accidentally-revealed-by-g20-organisers" TargetMode="External"/><Relationship Id="rId488" Type="http://schemas.openxmlformats.org/officeDocument/2006/relationships/hyperlink" Target="https://www.nytimes.com/2011/12/26/technology/hackers-breach-the-web-site-of-stratfor-global-intelligence.html?ref=technology&amp;mtrref=bits.blogs.nytimes.com&amp;gwh=A41315BCE5C521B2A0D451BEFF0886E9&amp;gwt=pay" TargetMode="External"/><Relationship Id="rId124" Type="http://schemas.openxmlformats.org/officeDocument/2006/relationships/hyperlink" Target="https://arstechnica.com/information-technology/2022/08/plex-imposes-password-reset-after-hackers-steal-data-for-15-million-users/" TargetMode="External"/><Relationship Id="rId245" Type="http://schemas.openxmlformats.org/officeDocument/2006/relationships/hyperlink" Target="http://fortune.com/2018/12/18/click2gov-local-government-portals-hackers-credit-card-breach/" TargetMode="External"/><Relationship Id="rId366" Type="http://schemas.openxmlformats.org/officeDocument/2006/relationships/hyperlink" Target="http://www.washingtonpost.com/world/national-security/chinese-hackers-breach-federal-governments-personnel-office/2015/06/04/889c0e52-0af7-11e5-95fd-d580f1c5d44e_story.html?tid=hpModule_04941f10-8a79-11e2-98d9-3012c1cd8d1e" TargetMode="External"/><Relationship Id="rId487" Type="http://schemas.openxmlformats.org/officeDocument/2006/relationships/hyperlink" Target="https://www.zdnet.com/article/university-of-wisconsin-hacked-75000-social-security-numbers-student-names-exposed/" TargetMode="External"/><Relationship Id="rId123" Type="http://schemas.openxmlformats.org/officeDocument/2006/relationships/hyperlink" Target="https://www.bleepingcomputer.com/news/security/twitter-confirms-zero-day-used-to-expose-data-of-54-million-accounts/" TargetMode="External"/><Relationship Id="rId244" Type="http://schemas.openxmlformats.org/officeDocument/2006/relationships/hyperlink" Target="https://www.dataviper.io/blog/2019/pdl-data-exposure-billion-people/" TargetMode="External"/><Relationship Id="rId365" Type="http://schemas.openxmlformats.org/officeDocument/2006/relationships/hyperlink" Target="http://www.reuters.com/article/2015/07/09/us-cybersecurity-usa-idUSKCN0PJ2M420150709?feedType=RSS&amp;feedName=topNews&amp;utm_source=twitter" TargetMode="External"/><Relationship Id="rId486" Type="http://schemas.openxmlformats.org/officeDocument/2006/relationships/hyperlink" Target="http://www.pcmag.com/article2/0,2817,2390683,00.asp" TargetMode="External"/><Relationship Id="rId122" Type="http://schemas.openxmlformats.org/officeDocument/2006/relationships/hyperlink" Target="https://www.theregister.com/2022/07/05/shanghai_police_database_for_sell/" TargetMode="External"/><Relationship Id="rId243" Type="http://schemas.openxmlformats.org/officeDocument/2006/relationships/hyperlink" Target="https://arstechnica.com/information-technology/2019/10/data-for-a-whopping-26-million-stolen-payment-cards-leaked-in-hack-of-fraud-bazaar/" TargetMode="External"/><Relationship Id="rId364" Type="http://schemas.openxmlformats.org/officeDocument/2006/relationships/hyperlink" Target="http://www.bbc.co.uk/news/world-us-canada-33120405" TargetMode="External"/><Relationship Id="rId485" Type="http://schemas.openxmlformats.org/officeDocument/2006/relationships/hyperlink" Target="https://blog.playstation.com/archive/2011/04/28/playstation-network-and-qriocity-outage-faq/" TargetMode="External"/><Relationship Id="rId95" Type="http://schemas.openxmlformats.org/officeDocument/2006/relationships/hyperlink" Target="https://it.slashdot.org/story/23/03/07/1459230/acer-confirms-breach-after-hacker-offers-to-sell-stolen-data?utm_source=feedly1.0mainlinkanon&amp;utm_medium=feed" TargetMode="External"/><Relationship Id="rId94" Type="http://schemas.openxmlformats.org/officeDocument/2006/relationships/hyperlink" Target="https://www.bleepingcomputer.com/news/security/paypal-accounts-breached-in-large-scale-credential-stuffing-attack/" TargetMode="External"/><Relationship Id="rId97" Type="http://schemas.openxmlformats.org/officeDocument/2006/relationships/hyperlink" Target="https://it.slashdot.org/story/23/04/07/152242/msi-confirms-breach-as-ransomware-gang-claims-responsibility?utm_source=feedly1.0mainlinkanon&amp;utm_medium=feed" TargetMode="External"/><Relationship Id="rId96" Type="http://schemas.openxmlformats.org/officeDocument/2006/relationships/hyperlink" Target="https://www.bleepingcomputer.com/news/security/acer-confirms-breach-after-160gb-of-data-for-sale-on-hacking-forum/" TargetMode="External"/><Relationship Id="rId99" Type="http://schemas.openxmlformats.org/officeDocument/2006/relationships/hyperlink" Target="https://arstechnica.com/information-technology/2023/05/t-mobile-discloses-2nd-data-breach-of-2023-this-one-leaking-account-pins-and-more/" TargetMode="External"/><Relationship Id="rId480" Type="http://schemas.openxmlformats.org/officeDocument/2006/relationships/hyperlink" Target="https://www.databreaches.net/ankle-foot-center-of-tampa-bay-breach-affecting-156000-included-social-security-numbers-as-well-as-phi/" TargetMode="External"/><Relationship Id="rId98" Type="http://schemas.openxmlformats.org/officeDocument/2006/relationships/hyperlink" Target="https://uk.pcmag.com/security/146322/msi-confirms-breach-as-ransomware-gang-claims-responsibility" TargetMode="External"/><Relationship Id="rId91" Type="http://schemas.openxmlformats.org/officeDocument/2006/relationships/hyperlink" Target="https://www.theguardian.com/business/2022/sep/29/optus-data-breach-everything-we-know-so-far-about-what-happened" TargetMode="External"/><Relationship Id="rId90" Type="http://schemas.openxmlformats.org/officeDocument/2006/relationships/hyperlink" Target="https://www.bleepingcomputer.com/news/security/23andme-hit-with-lawsuits-after-hacker-leaks-stolen-genetics-data/" TargetMode="External"/><Relationship Id="rId93" Type="http://schemas.openxmlformats.org/officeDocument/2006/relationships/hyperlink" Target="https://apps.web.maine.gov/online/aeviewer/ME/40/766753f1-f9c7-4dc5-9a5c-fe0f3ff51c06.shtml" TargetMode="External"/><Relationship Id="rId92" Type="http://schemas.openxmlformats.org/officeDocument/2006/relationships/hyperlink" Target="https://www.optus.com.au/about/media-centre/media-releases/2022/09/optus-notifies-customers-of-cyberattack" TargetMode="External"/><Relationship Id="rId118" Type="http://schemas.openxmlformats.org/officeDocument/2006/relationships/hyperlink" Target="https://techcrunch.com/2022/12/14/parsing-lastpass-august-data-breach-notice/" TargetMode="External"/><Relationship Id="rId239" Type="http://schemas.openxmlformats.org/officeDocument/2006/relationships/hyperlink" Target="https://www.forbes.com/sites/rachelsandler/2019/07/29/capital-one-says-hacker-breached-accounts-of-100-million-people-ex-amazon-employee-arrested/" TargetMode="External"/><Relationship Id="rId117" Type="http://schemas.openxmlformats.org/officeDocument/2006/relationships/hyperlink" Target="https://restofworld.org/2022/indonesia-hacked-sim-bjorka/" TargetMode="External"/><Relationship Id="rId238" Type="http://schemas.openxmlformats.org/officeDocument/2006/relationships/hyperlink" Target="https://www.zdnet.com/article/hacker-steals-data-of-millions-of-bulgarians-emails-it-to-local-media/" TargetMode="External"/><Relationship Id="rId359" Type="http://schemas.openxmlformats.org/officeDocument/2006/relationships/hyperlink" Target="http://www.theguardian.com/technology/2015/dec/02/vtech-hack-us-hong-kong-investigate-children-exposed" TargetMode="External"/><Relationship Id="rId116" Type="http://schemas.openxmlformats.org/officeDocument/2006/relationships/hyperlink" Target="https://techlomedia.in/2022/12/data-of-30-million-indian-railways-users-is-up-for-sale-on-a-dark-forum-96589/" TargetMode="External"/><Relationship Id="rId237" Type="http://schemas.openxmlformats.org/officeDocument/2006/relationships/hyperlink" Target="https://www.bleepingcomputer.com/news/security/over-275-million-records-exposed-by-unsecured-mongodb-database/" TargetMode="External"/><Relationship Id="rId358" Type="http://schemas.openxmlformats.org/officeDocument/2006/relationships/hyperlink" Target="https://www.csoonline.com/article/3017171/database-leak-exposes-3-3-million-hello-kitty-fans.html" TargetMode="External"/><Relationship Id="rId479" Type="http://schemas.openxmlformats.org/officeDocument/2006/relationships/hyperlink" Target="https://www-ft-com.libezproxy.open.ac.uk/content/819f5b1c-eb80-11e0-a576-00144feab49a" TargetMode="External"/><Relationship Id="rId115" Type="http://schemas.openxmlformats.org/officeDocument/2006/relationships/hyperlink" Target="https://www.coindesk.com/tech/2022/11/26/major-canadian-crypto-exchange-coinsquare-says-client-data-breached/" TargetMode="External"/><Relationship Id="rId236" Type="http://schemas.openxmlformats.org/officeDocument/2006/relationships/hyperlink" Target="https://www.zdnet.com/article/town-of-salem-game-suffers-data-breach-exposing-7-6-million-user-details/" TargetMode="External"/><Relationship Id="rId357" Type="http://schemas.openxmlformats.org/officeDocument/2006/relationships/hyperlink" Target="https://www.dailydot.com/debug/invest-bank-hacker-buba/" TargetMode="External"/><Relationship Id="rId478" Type="http://schemas.openxmlformats.org/officeDocument/2006/relationships/hyperlink" Target="https://www.infosecurity-magazine.com/news/south-shore-hospital-data-breach-may-affect-up-to/" TargetMode="External"/><Relationship Id="rId599" Type="http://schemas.openxmlformats.org/officeDocument/2006/relationships/hyperlink" Target="https://techcrunch.com/2025/12/01/koreas-coupang-says-data-breach-exposed-nearly-34m-customers-personal-information/" TargetMode="External"/><Relationship Id="rId119" Type="http://schemas.openxmlformats.org/officeDocument/2006/relationships/hyperlink" Target="https://www.forbes.com/sites/daveywinder/2023/03/03/why-you-should-stop-using-lastpass-after-new-hack-method-update/" TargetMode="External"/><Relationship Id="rId110" Type="http://schemas.openxmlformats.org/officeDocument/2006/relationships/hyperlink" Target="https://it.slashdot.org/story/23/10/04/1917217/clorox-security-breach-linked-to-group-behind-casino-hacks?utm_source=feedly1.0mainlinkanon&amp;utm_medium=feed" TargetMode="External"/><Relationship Id="rId231" Type="http://schemas.openxmlformats.org/officeDocument/2006/relationships/hyperlink" Target="https://techcrunch.com/2019/02/14/hacker-strikes-again/" TargetMode="External"/><Relationship Id="rId352" Type="http://schemas.openxmlformats.org/officeDocument/2006/relationships/hyperlink" Target="https://techcrunch.com/2015/02/27/uber-database-breach-exposed-information-of-50000-drivers-company-confirms/" TargetMode="External"/><Relationship Id="rId473" Type="http://schemas.openxmlformats.org/officeDocument/2006/relationships/hyperlink" Target="http://www.wired.co.uk/news/archive/2012-11/22/greece-id-theft" TargetMode="External"/><Relationship Id="rId594" Type="http://schemas.openxmlformats.org/officeDocument/2006/relationships/hyperlink" Target="https://www.techtarget.com/WhatIs/feature/PowerSchool-data-breach-Explaining-how-it-happened" TargetMode="External"/><Relationship Id="rId230" Type="http://schemas.openxmlformats.org/officeDocument/2006/relationships/hyperlink" Target="https://techcrunch.com/2019/02/14/hacker-strikes-again/" TargetMode="External"/><Relationship Id="rId351" Type="http://schemas.openxmlformats.org/officeDocument/2006/relationships/hyperlink" Target="https://www.computerweekly.com/news/2240242508/Premera-hack-exposes-11-million-financial-and-medical-records" TargetMode="External"/><Relationship Id="rId472" Type="http://schemas.openxmlformats.org/officeDocument/2006/relationships/hyperlink" Target="http://news.cnet.com/8301-1009_3-57509595-83/udid-leak-source-idd-bluetoad-mobile-firm-says-it-was-hacked/" TargetMode="External"/><Relationship Id="rId593" Type="http://schemas.openxmlformats.org/officeDocument/2006/relationships/hyperlink" Target="https://en.wikipedia.org/wiki/Vastaamo_data_breach" TargetMode="External"/><Relationship Id="rId350" Type="http://schemas.openxmlformats.org/officeDocument/2006/relationships/hyperlink" Target="http://blog.twitch.tv/2015/03/important-notice-about-your-twitch-account/" TargetMode="External"/><Relationship Id="rId471" Type="http://schemas.openxmlformats.org/officeDocument/2006/relationships/hyperlink" Target="http://news.cnet.com/8301-1009_3-57505330-83/antisec-claims-to-have-snatched-12m-apple-device-ids-from-fbi/" TargetMode="External"/><Relationship Id="rId592" Type="http://schemas.openxmlformats.org/officeDocument/2006/relationships/hyperlink" Target="https://www.theguardian.com/technology/2023/dec/26/hackers-steal-customer-data-europe-parking-app-easypark-ringgo-parkmobile" TargetMode="External"/><Relationship Id="rId470" Type="http://schemas.openxmlformats.org/officeDocument/2006/relationships/hyperlink" Target="http://www.pcworld.com/article/252647/reborn_lulzsec_claims_hack_of_dating_site_for_military_personnel.html" TargetMode="External"/><Relationship Id="rId591" Type="http://schemas.openxmlformats.org/officeDocument/2006/relationships/hyperlink" Target="https://it.slashdot.org/story/23/12/26/2127250/cbs-paramount-owner-national-amusements-says-it-was-hacked" TargetMode="External"/><Relationship Id="rId114" Type="http://schemas.openxmlformats.org/officeDocument/2006/relationships/hyperlink" Target="https://kr-asia.com/shoddy-data-protection-in-indonesia-threatens-personal-security-of-citizens" TargetMode="External"/><Relationship Id="rId235" Type="http://schemas.openxmlformats.org/officeDocument/2006/relationships/hyperlink" Target="https://www.zdnet.com/article/data-of-2-4-million-blur-password-manager-users-left-exposed-online/" TargetMode="External"/><Relationship Id="rId356" Type="http://schemas.openxmlformats.org/officeDocument/2006/relationships/hyperlink" Target="https://www.reddit.com/r/apple/comments/3wq9fc/massive_data_breach/" TargetMode="External"/><Relationship Id="rId477" Type="http://schemas.openxmlformats.org/officeDocument/2006/relationships/hyperlink" Target="http://www.fosters.com/apps/pbcs.dll/article?AID=/20110120/GJNEWS_01/701209744" TargetMode="External"/><Relationship Id="rId598" Type="http://schemas.openxmlformats.org/officeDocument/2006/relationships/hyperlink" Target="https://yro.slashdot.org/story/25/12/01/2158251/koreas-coupang-says-data-breach-exposed-nearly-34-million-customers-personal-information" TargetMode="External"/><Relationship Id="rId113" Type="http://schemas.openxmlformats.org/officeDocument/2006/relationships/hyperlink" Target="https://techcrunch.com/2022/10/13/shein-zoetop-fined-1-9m-data-breach/?guccounter=1" TargetMode="External"/><Relationship Id="rId234" Type="http://schemas.openxmlformats.org/officeDocument/2006/relationships/hyperlink" Target="https://petapixel.com/2019/02/13/500px-hacked-personal-data-stolen-from-all-14-8-million-users/" TargetMode="External"/><Relationship Id="rId355" Type="http://schemas.openxmlformats.org/officeDocument/2006/relationships/hyperlink" Target="https://www.bbc.co.uk/news/technology-35100330" TargetMode="External"/><Relationship Id="rId476" Type="http://schemas.openxmlformats.org/officeDocument/2006/relationships/hyperlink" Target="https://www.inforisktoday.com/new-york-breach-affects-17-million-a-3349" TargetMode="External"/><Relationship Id="rId597" Type="http://schemas.openxmlformats.org/officeDocument/2006/relationships/hyperlink" Target="https://www.bleepingcomputer.com/news/security/have-i-been-pwned-soundcloud-data-breach-impacts-298-million-accounts/" TargetMode="External"/><Relationship Id="rId112" Type="http://schemas.openxmlformats.org/officeDocument/2006/relationships/hyperlink" Target="https://yro.slashdot.org/story/22/10/10/2032250/toyota-discloses-data-leak-after-access-key-exposed-on-github?utm_source=feedly1.0mainlinkanon&amp;utm_medium=feed" TargetMode="External"/><Relationship Id="rId233" Type="http://schemas.openxmlformats.org/officeDocument/2006/relationships/hyperlink" Target="https://techcrunch.com/2019/02/14/hacker-strikes-again/" TargetMode="External"/><Relationship Id="rId354" Type="http://schemas.openxmlformats.org/officeDocument/2006/relationships/hyperlink" Target="https://www.upguard.com/breaches/the-rnc-files" TargetMode="External"/><Relationship Id="rId475" Type="http://schemas.openxmlformats.org/officeDocument/2006/relationships/hyperlink" Target="https://www.bbc.co.uk/news/technology-37232635" TargetMode="External"/><Relationship Id="rId596" Type="http://schemas.openxmlformats.org/officeDocument/2006/relationships/hyperlink" Target="https://haveibeenpwned.com/Breach/SoundCloud" TargetMode="External"/><Relationship Id="rId111" Type="http://schemas.openxmlformats.org/officeDocument/2006/relationships/hyperlink" Target="https://www.privacy.org.nz/publications/statements-media-releases/new-zealands-biggest-data-breach-shows-retention-is-the-sleeping-giant-of-data-security/" TargetMode="External"/><Relationship Id="rId232" Type="http://schemas.openxmlformats.org/officeDocument/2006/relationships/hyperlink" Target="https://techcrunch.com/2019/02/14/hacker-strikes-again/" TargetMode="External"/><Relationship Id="rId353" Type="http://schemas.openxmlformats.org/officeDocument/2006/relationships/hyperlink" Target="http://uk.reuters.com/article/us-usa-voters-breach-idUKKBN0UB1E020151229" TargetMode="External"/><Relationship Id="rId474" Type="http://schemas.openxmlformats.org/officeDocument/2006/relationships/hyperlink" Target="http://www.infoworld.com/article/2615754/cyber-crime/south-carolina-reveals-massive-data-breach-of-social-security-numbers--credit-cards.html" TargetMode="External"/><Relationship Id="rId595" Type="http://schemas.openxmlformats.org/officeDocument/2006/relationships/hyperlink" Target="https://techcrunch.com/2025/03/10/what-powerschool-isnt-saying-about-its-massive-student-data-breach/" TargetMode="External"/><Relationship Id="rId305" Type="http://schemas.openxmlformats.org/officeDocument/2006/relationships/hyperlink" Target="http://www.cbc.ca/beta/news/technology/bell-data-breach-customer-names-phone-numbers-emails-leak-1.4116608" TargetMode="External"/><Relationship Id="rId426" Type="http://schemas.openxmlformats.org/officeDocument/2006/relationships/hyperlink" Target="http://uk.businessinsider.com/snowden-leaks-timeline-2016-9" TargetMode="External"/><Relationship Id="rId547" Type="http://schemas.openxmlformats.org/officeDocument/2006/relationships/hyperlink" Target="http://english.donga.com/srv/service.php3?biid=2008090631088" TargetMode="External"/><Relationship Id="rId304" Type="http://schemas.openxmlformats.org/officeDocument/2006/relationships/hyperlink" Target="http://www.zdnet.com/article/font-sharing-site-dafont-hacked-thousands-of-accounts-stolen/" TargetMode="External"/><Relationship Id="rId425" Type="http://schemas.openxmlformats.org/officeDocument/2006/relationships/hyperlink" Target="https://www.zdnet.com/article/club-nintendo-site-hacked-customer-data-exposed/" TargetMode="External"/><Relationship Id="rId546" Type="http://schemas.openxmlformats.org/officeDocument/2006/relationships/hyperlink" Target="https://www.darkreading.com/attacks-breaches/hacker-steals-data-on-18m-auction-customers-in-south-korea/d/d-id/1129325" TargetMode="External"/><Relationship Id="rId303" Type="http://schemas.openxmlformats.org/officeDocument/2006/relationships/hyperlink" Target="https://www.theguardian.com/technology/2017/mar/06/email-addresses-spam-leak-river-city-media" TargetMode="External"/><Relationship Id="rId424" Type="http://schemas.openxmlformats.org/officeDocument/2006/relationships/hyperlink" Target="http://arstechnica.com/security/2013/07/hack-exposes-e-mail-addresses-password-data-for-2-million-ubuntu-forum-users/" TargetMode="External"/><Relationship Id="rId545" Type="http://schemas.openxmlformats.org/officeDocument/2006/relationships/hyperlink" Target="http://auction.co.kr" TargetMode="External"/><Relationship Id="rId302" Type="http://schemas.openxmlformats.org/officeDocument/2006/relationships/hyperlink" Target="http://www.scmp.com/news/hong-kong/politics/article/2082566/laptops-containing-37-million-hong-kong-voters-data-stolen" TargetMode="External"/><Relationship Id="rId423" Type="http://schemas.openxmlformats.org/officeDocument/2006/relationships/hyperlink" Target="https://www.bbc.co.uk/news/technology-23159997" TargetMode="External"/><Relationship Id="rId544" Type="http://schemas.openxmlformats.org/officeDocument/2006/relationships/hyperlink" Target="http://www.theregister.co.uk/2008/12/29/rbs_worldpay_breach/" TargetMode="External"/><Relationship Id="rId309" Type="http://schemas.openxmlformats.org/officeDocument/2006/relationships/hyperlink" Target="https://www.lowyat.net/2017/146339/46-2-million-mobile-phone-numbers-leaked-from-2014-data-breach/" TargetMode="External"/><Relationship Id="rId308" Type="http://schemas.openxmlformats.org/officeDocument/2006/relationships/hyperlink" Target="https://www.bleepingcomputer.com/news/security/paypal-says-1-6-million-customer-details-stolen-in-breach-at-canadian-subsidiary/" TargetMode="External"/><Relationship Id="rId429" Type="http://schemas.openxmlformats.org/officeDocument/2006/relationships/hyperlink" Target="http://www.digitaltrends.com/mobile/evernote-hack-50-million-users-forced-to-reset-passwords/" TargetMode="External"/><Relationship Id="rId307" Type="http://schemas.openxmlformats.org/officeDocument/2006/relationships/hyperlink" Target="https://blog.imgur.com/2017/11/24/notice-of-data-breach/" TargetMode="External"/><Relationship Id="rId428" Type="http://schemas.openxmlformats.org/officeDocument/2006/relationships/hyperlink" Target="http://www.wired.co.uk/news/archive/2013-03/04/evernote-hacked" TargetMode="External"/><Relationship Id="rId549" Type="http://schemas.openxmlformats.org/officeDocument/2006/relationships/hyperlink" Target="http://www.sfgate.com/bayarea/article/Stanford-employees-data-on-stolen-laptop-3281185.php" TargetMode="External"/><Relationship Id="rId306" Type="http://schemas.openxmlformats.org/officeDocument/2006/relationships/hyperlink" Target="https://www.hackread.com/zomato-hacked-17-million-accounts-sold-on-dark-web/" TargetMode="External"/><Relationship Id="rId427" Type="http://schemas.openxmlformats.org/officeDocument/2006/relationships/hyperlink" Target="https://www.facebook.com/notes/facebook-security/important-message-from-facebooks-white-hat-program/10151437074840766" TargetMode="External"/><Relationship Id="rId548" Type="http://schemas.openxmlformats.org/officeDocument/2006/relationships/hyperlink" Target="https://www.networkworld.com/article/2344552/security/latest--lost--laptop-holds-treasure-trove-of-unencrypted-at-t-payroll-data.html" TargetMode="External"/><Relationship Id="rId301" Type="http://schemas.openxmlformats.org/officeDocument/2006/relationships/hyperlink" Target="https://www.thelocal.se/20170717/swedish-authority-handed-over-keys-to-the-kingdom-in-it-security-slip-up" TargetMode="External"/><Relationship Id="rId422" Type="http://schemas.openxmlformats.org/officeDocument/2006/relationships/hyperlink" Target="https://uk.reuters.com/article/net-us-nasdaq-cybercrime-website/nasdaq-forum-website-hacked-passwords-compromised-idUSBRE96H1F520130718" TargetMode="External"/><Relationship Id="rId543" Type="http://schemas.openxmlformats.org/officeDocument/2006/relationships/hyperlink" Target="http://news.bbc.co.uk/1/hi/uk_politics/7608155.stm" TargetMode="External"/><Relationship Id="rId300" Type="http://schemas.openxmlformats.org/officeDocument/2006/relationships/hyperlink" Target="https://www.databreaches.net/waterly-app-potentially-exposed-up-to-1-million-israelis-details-researcher/" TargetMode="External"/><Relationship Id="rId421" Type="http://schemas.openxmlformats.org/officeDocument/2006/relationships/hyperlink" Target="http://www.guardian.co.uk/technology/2013/jul/22/apple-developer-site-hacked" TargetMode="External"/><Relationship Id="rId542" Type="http://schemas.openxmlformats.org/officeDocument/2006/relationships/hyperlink" Target="https://www.networkworld.com/article/2274502/security-oversight-may-have-enabled-countrywide-breach.html" TargetMode="External"/><Relationship Id="rId420" Type="http://schemas.openxmlformats.org/officeDocument/2006/relationships/hyperlink" Target="http://status.ovh.net/?do=details&amp;id=5070" TargetMode="External"/><Relationship Id="rId541" Type="http://schemas.openxmlformats.org/officeDocument/2006/relationships/hyperlink" Target="https://www.reuters.com/article/us-mellon-breach-idUSN2143343820080521" TargetMode="External"/><Relationship Id="rId540" Type="http://schemas.openxmlformats.org/officeDocument/2006/relationships/hyperlink" Target="https://www.computerworld.com/article/2536837/thieves-pilfer-backup-tapes-holding-2m-medical-records.html" TargetMode="External"/><Relationship Id="rId415" Type="http://schemas.openxmlformats.org/officeDocument/2006/relationships/hyperlink" Target="https://www.esecurityplanet.com/network-security/central-hudson-gas-and-electric-hacked.html" TargetMode="External"/><Relationship Id="rId536" Type="http://schemas.openxmlformats.org/officeDocument/2006/relationships/hyperlink" Target="https://www.computerworld.com/article/2521838/security0/health-net-says-1-5m-medical-records-lost-in-data-breach.html" TargetMode="External"/><Relationship Id="rId414" Type="http://schemas.openxmlformats.org/officeDocument/2006/relationships/hyperlink" Target="http://www1.udel.edu/udaily/2014/jul/resources073013.html" TargetMode="External"/><Relationship Id="rId535" Type="http://schemas.openxmlformats.org/officeDocument/2006/relationships/hyperlink" Target="https://www.cnet.com/news/uc-berkeley-computers-hacked-160000-at-risk/" TargetMode="External"/><Relationship Id="rId413" Type="http://schemas.openxmlformats.org/officeDocument/2006/relationships/hyperlink" Target="https://www.bbc.co.uk/news/technology-25572661" TargetMode="External"/><Relationship Id="rId534" Type="http://schemas.openxmlformats.org/officeDocument/2006/relationships/hyperlink" Target="https://www.digitalhealth.net/2009/05/virginia-department-of-health-hacked/" TargetMode="External"/><Relationship Id="rId412" Type="http://schemas.openxmlformats.org/officeDocument/2006/relationships/hyperlink" Target="https://www.bbc.co.uk/news/business-41493494" TargetMode="External"/><Relationship Id="rId533" Type="http://schemas.openxmlformats.org/officeDocument/2006/relationships/hyperlink" Target="http://voices.washingtonpost.com/securityfix/2009/07/network_solutions_hack_comprom.html" TargetMode="External"/><Relationship Id="rId419" Type="http://schemas.openxmlformats.org/officeDocument/2006/relationships/hyperlink" Target="http://healthitsecurity.com/2013/08/27/advocate-medical-group-endures-massive-data-breach/" TargetMode="External"/><Relationship Id="rId418" Type="http://schemas.openxmlformats.org/officeDocument/2006/relationships/hyperlink" Target="https://www.databreaches.net/stolen-florida-dept-of-juvenile-justice-device-contained-records-of-more-than-100000-youth-and-employees/" TargetMode="External"/><Relationship Id="rId539" Type="http://schemas.openxmlformats.org/officeDocument/2006/relationships/hyperlink" Target="https://www.networkworld.com/article/2284998/lan-wan/details-emerging-on-hannaford-data-breach.html" TargetMode="External"/><Relationship Id="rId417" Type="http://schemas.openxmlformats.org/officeDocument/2006/relationships/hyperlink" Target="https://www.healthcareitnews.com/news/walgreens-company-announces-data-breach" TargetMode="External"/><Relationship Id="rId538" Type="http://schemas.openxmlformats.org/officeDocument/2006/relationships/hyperlink" Target="https://www.computerworld.com/article/2536195/programmer-who-stole-drive-containing-1-million-bank-records-gets-42-months.html" TargetMode="External"/><Relationship Id="rId416" Type="http://schemas.openxmlformats.org/officeDocument/2006/relationships/hyperlink" Target="https://edition.cnn.com/2013/02/01/tech/social-media/twitter-hacked/index.html" TargetMode="External"/><Relationship Id="rId537" Type="http://schemas.openxmlformats.org/officeDocument/2006/relationships/hyperlink" Target="http://www.wired.com/threatlevel/2009/10/probe-targets-archives-handling-of-data-on-70-million-vets/" TargetMode="External"/><Relationship Id="rId411" Type="http://schemas.openxmlformats.org/officeDocument/2006/relationships/hyperlink" Target="http://www.nytimes.com/2016/12/14/technology/yahoo-hack.html?action=Click&amp;contentCollection=BreakingNews&amp;contentID=64651831&amp;pgtype=Homepage&amp;_r=0" TargetMode="External"/><Relationship Id="rId532" Type="http://schemas.openxmlformats.org/officeDocument/2006/relationships/hyperlink" Target="https://www.computerworld.com/article/2530152/checkfree-warns-5-million-customers-after-hack.html" TargetMode="External"/><Relationship Id="rId410" Type="http://schemas.openxmlformats.org/officeDocument/2006/relationships/hyperlink" Target="http://bits.blogs.nytimes.com/2013/04/26/living-social-hack-exposes-data-for-50-million-customers/" TargetMode="External"/><Relationship Id="rId531" Type="http://schemas.openxmlformats.org/officeDocument/2006/relationships/hyperlink" Target="http://techcrunch.com/2009/12/14/rockyou-hack-security-myspace-facebook-passwords/" TargetMode="External"/><Relationship Id="rId530" Type="http://schemas.openxmlformats.org/officeDocument/2006/relationships/hyperlink" Target="http://edition.cnn.com/2009/US/12/17/theft.security.breach/index.html" TargetMode="External"/><Relationship Id="rId206" Type="http://schemas.openxmlformats.org/officeDocument/2006/relationships/hyperlink" Target="https://techcrunch.com/2019/04/22/hotspot-password-leak/" TargetMode="External"/><Relationship Id="rId327" Type="http://schemas.openxmlformats.org/officeDocument/2006/relationships/hyperlink" Target="http://lynda.com" TargetMode="External"/><Relationship Id="rId448" Type="http://schemas.openxmlformats.org/officeDocument/2006/relationships/hyperlink" Target="http://www.zdnet.com/blog/security/chinese-hacker-arrested-for-leaking-6-million-logins/11064" TargetMode="External"/><Relationship Id="rId569" Type="http://schemas.openxmlformats.org/officeDocument/2006/relationships/hyperlink" Target="http://www.wired.com/threatlevel/2008/07/ameritrade-hack/" TargetMode="External"/><Relationship Id="rId205" Type="http://schemas.openxmlformats.org/officeDocument/2006/relationships/hyperlink" Target="https://techcrunch.com/2019/05/20/instagram-influencer-celebrity-accounts-scraped/" TargetMode="External"/><Relationship Id="rId326" Type="http://schemas.openxmlformats.org/officeDocument/2006/relationships/hyperlink" Target="http://www.bbc.co.uk/news/technology-38350987" TargetMode="External"/><Relationship Id="rId447" Type="http://schemas.openxmlformats.org/officeDocument/2006/relationships/hyperlink" Target="http://www.huffingtonpost.com/2013/12/19/target-hacked-customer-credit-card-data-accessed_n_4471672.html?utm_hp_ref=mostpopular" TargetMode="External"/><Relationship Id="rId568" Type="http://schemas.openxmlformats.org/officeDocument/2006/relationships/hyperlink" Target="http://news.bbc.co.uk/2/hi/uk_news/7103911.stm" TargetMode="External"/><Relationship Id="rId204" Type="http://schemas.openxmlformats.org/officeDocument/2006/relationships/hyperlink" Target="https://www.zdnet.com/article/australian-tech-unicorn-canva-suffers-security-breach/" TargetMode="External"/><Relationship Id="rId325" Type="http://schemas.openxmlformats.org/officeDocument/2006/relationships/hyperlink" Target="http://www.zdnet.com/article/over-25-million-accounts-stolen-after-mail-ru-forums-raided-by-hackers/" TargetMode="External"/><Relationship Id="rId446" Type="http://schemas.openxmlformats.org/officeDocument/2006/relationships/hyperlink" Target="http://krebsonsecurity.com/2013/09/data-broker-giants-hacked-by-id-theft-service/" TargetMode="External"/><Relationship Id="rId567" Type="http://schemas.openxmlformats.org/officeDocument/2006/relationships/hyperlink" Target="http://www.pcworld.com/article/131453/article.html" TargetMode="External"/><Relationship Id="rId203" Type="http://schemas.openxmlformats.org/officeDocument/2006/relationships/hyperlink" Target="https://www.theguardian.com/australia-news/2019/jun/04/australian-national-university-hit-by-huge-data-breach" TargetMode="External"/><Relationship Id="rId324" Type="http://schemas.openxmlformats.org/officeDocument/2006/relationships/hyperlink" Target="https://www.healthcare-informatics.com/news-item/cybersecurity/breaking-massive-cyber-attack-banner-health-affects-37m-individuals" TargetMode="External"/><Relationship Id="rId445" Type="http://schemas.openxmlformats.org/officeDocument/2006/relationships/hyperlink" Target="http://ssndob.ms" TargetMode="External"/><Relationship Id="rId566" Type="http://schemas.openxmlformats.org/officeDocument/2006/relationships/hyperlink" Target="http://www.zdnet.com/wi-fi-hack-caused-tk-maxx-security-breach-3039286991/" TargetMode="External"/><Relationship Id="rId209" Type="http://schemas.openxmlformats.org/officeDocument/2006/relationships/hyperlink" Target="https://www.theguardian.com/world/2019/mar/11/china-database-lists-breedready-status-of-18-million-women" TargetMode="External"/><Relationship Id="rId208" Type="http://schemas.openxmlformats.org/officeDocument/2006/relationships/hyperlink" Target="https://global.toyota/jp/newsroom/corporate/27465617.html" TargetMode="External"/><Relationship Id="rId329" Type="http://schemas.openxmlformats.org/officeDocument/2006/relationships/hyperlink" Target="https://www.zdnet.com/article/ubuntu-forums-hack-exposes-two-million-users/" TargetMode="External"/><Relationship Id="rId207" Type="http://schemas.openxmlformats.org/officeDocument/2006/relationships/hyperlink" Target="https://www.bleepingcomputer.com/news/security/toyota-security-breach-exposes-personal-info-of-31-million-clients/" TargetMode="External"/><Relationship Id="rId328" Type="http://schemas.openxmlformats.org/officeDocument/2006/relationships/hyperlink" Target="https://www.neowin.net/news/microsoft-owned-linkedin-is-sending-emails-to-users-about-a-lyndacom-data-breach" TargetMode="External"/><Relationship Id="rId449" Type="http://schemas.openxmlformats.org/officeDocument/2006/relationships/hyperlink" Target="http://www.washingtonpost.com/business/technology/faq-the-global-payments-hack/2012/04/02/gIQAIHLLrS_story.html" TargetMode="External"/><Relationship Id="rId440" Type="http://schemas.openxmlformats.org/officeDocument/2006/relationships/hyperlink" Target="http://www.govtech.com/security/San-Diego-Sues-Experian-Over-Alleged-2010-Breach.html" TargetMode="External"/><Relationship Id="rId561" Type="http://schemas.openxmlformats.org/officeDocument/2006/relationships/hyperlink" Target="http://news.bbc.co.uk/1/hi/uk_politics/7147715.stm" TargetMode="External"/><Relationship Id="rId560" Type="http://schemas.openxmlformats.org/officeDocument/2006/relationships/hyperlink" Target="http://news.bbc.co.uk/1/hi/6956349.stm" TargetMode="External"/><Relationship Id="rId202" Type="http://schemas.openxmlformats.org/officeDocument/2006/relationships/hyperlink" Target="https://www.zdnet.com/article/amca-data-breach-has-now-gone-over-the-20-million-mark/" TargetMode="External"/><Relationship Id="rId323" Type="http://schemas.openxmlformats.org/officeDocument/2006/relationships/hyperlink" Target="http://www.businessinsider.com/turkish-citizenship-database-allegedly-hacked-and-leaked-2016-4?r=UK&amp;IR=T" TargetMode="External"/><Relationship Id="rId444" Type="http://schemas.openxmlformats.org/officeDocument/2006/relationships/hyperlink" Target="http://www.reuters.com/article/2013/09/26/us-cyberattacks-databrokers-idUSBRE98P03220130926" TargetMode="External"/><Relationship Id="rId565" Type="http://schemas.openxmlformats.org/officeDocument/2006/relationships/hyperlink" Target="https://www.comparebusinessproducts.com/fyi/15-most-massive-data-breaches-history" TargetMode="External"/><Relationship Id="rId201" Type="http://schemas.openxmlformats.org/officeDocument/2006/relationships/hyperlink" Target="https://www.washingtonpost.com/technology/2019/06/10/us-customs-border-protection-says-photos-travelers-into-out-country-were-recently-taken-data-breach/?utm_term=.69c66aaf152f" TargetMode="External"/><Relationship Id="rId322" Type="http://schemas.openxmlformats.org/officeDocument/2006/relationships/hyperlink" Target="https://www.bbc.co.uk/news/technology-36168860" TargetMode="External"/><Relationship Id="rId443" Type="http://schemas.openxmlformats.org/officeDocument/2006/relationships/hyperlink" Target="http://www.usatoday.com/story/cybertruth/2013/09/26/lexisnexis-dunn--bradstreet-altegrity-hacked/2878769/" TargetMode="External"/><Relationship Id="rId564" Type="http://schemas.openxmlformats.org/officeDocument/2006/relationships/hyperlink" Target="http://www.pcworld.com/article/137865/article.html" TargetMode="External"/><Relationship Id="rId200" Type="http://schemas.openxmlformats.org/officeDocument/2006/relationships/hyperlink" Target="https://www.cbc.ca/news/canada/montreal/desjardins-data-breach-1.5344216" TargetMode="External"/><Relationship Id="rId321" Type="http://schemas.openxmlformats.org/officeDocument/2006/relationships/hyperlink" Target="http://news.softpedia.com/news/syrian-government-hacked-43-gb-of-data-spilled-online-by-hacktivists-502765.shtml" TargetMode="External"/><Relationship Id="rId442" Type="http://schemas.openxmlformats.org/officeDocument/2006/relationships/hyperlink" Target="https://www.bbc.co.uk/news/technology-24740873" TargetMode="External"/><Relationship Id="rId563" Type="http://schemas.openxmlformats.org/officeDocument/2006/relationships/hyperlink" Target="https://www.computerweekly.com/news/2240104003/Hackney-NHS-trust-encrypts-IT-equipment-following-loss-of-child-data" TargetMode="External"/><Relationship Id="rId320" Type="http://schemas.openxmlformats.org/officeDocument/2006/relationships/hyperlink" Target="http://blog.trendmicro.com/trendlabs-security-intelligence/55m-registered-voters-risk-philippine-commission-elections-hacked/" TargetMode="External"/><Relationship Id="rId441" Type="http://schemas.openxmlformats.org/officeDocument/2006/relationships/hyperlink" Target="http://www.securityweek.com/attacker-steals-data-2-million-vodafone-germany-customers" TargetMode="External"/><Relationship Id="rId562" Type="http://schemas.openxmlformats.org/officeDocument/2006/relationships/hyperlink" Target="http://www.pcworld.com/article/135117/article.html" TargetMode="External"/><Relationship Id="rId316" Type="http://schemas.openxmlformats.org/officeDocument/2006/relationships/hyperlink" Target="https://money.cnn.com/2012/06/06/technology/linkedin-password-hack/?iid=EL" TargetMode="External"/><Relationship Id="rId437" Type="http://schemas.openxmlformats.org/officeDocument/2006/relationships/hyperlink" Target="http://macrumours.com" TargetMode="External"/><Relationship Id="rId558" Type="http://schemas.openxmlformats.org/officeDocument/2006/relationships/hyperlink" Target="http://news.bbc.co.uk/1/hi/england/gloucestershire/7639006.stm" TargetMode="External"/><Relationship Id="rId315" Type="http://schemas.openxmlformats.org/officeDocument/2006/relationships/hyperlink" Target="http://money.cnn.com/2016/05/19/technology/linkedin-hack/" TargetMode="External"/><Relationship Id="rId436" Type="http://schemas.openxmlformats.org/officeDocument/2006/relationships/hyperlink" Target="http://www.privacyrights.org/data-breach" TargetMode="External"/><Relationship Id="rId557" Type="http://schemas.openxmlformats.org/officeDocument/2006/relationships/hyperlink" Target="http://infowatch.com/node/1289" TargetMode="External"/><Relationship Id="rId314" Type="http://schemas.openxmlformats.org/officeDocument/2006/relationships/hyperlink" Target="https://thehackernews.com/2017/09/hacker-track-car.html" TargetMode="External"/><Relationship Id="rId435" Type="http://schemas.openxmlformats.org/officeDocument/2006/relationships/hyperlink" Target="https://www.reuters.com/article/us-usa-hack-washingtonstate-idUSBRE9480YY20130509" TargetMode="External"/><Relationship Id="rId556" Type="http://schemas.openxmlformats.org/officeDocument/2006/relationships/hyperlink" Target="https://www.dw.com/en/telekom-says-data-from-17-million-customers-was-stolen/a-3690132" TargetMode="External"/><Relationship Id="rId313" Type="http://schemas.openxmlformats.org/officeDocument/2006/relationships/hyperlink" Target="https://www.consumer.ftc.gov/blog/2017/09/equifax-data-breach-what-do" TargetMode="External"/><Relationship Id="rId434" Type="http://schemas.openxmlformats.org/officeDocument/2006/relationships/hyperlink" Target="http://www.wired.co.uk/news/archive/2013-05/23/reporter-google-breach-hacker" TargetMode="External"/><Relationship Id="rId555" Type="http://schemas.openxmlformats.org/officeDocument/2006/relationships/hyperlink" Target="http://news.bbc.co.uk/1/hi/uk_politics/7667507.stm" TargetMode="External"/><Relationship Id="rId319" Type="http://schemas.openxmlformats.org/officeDocument/2006/relationships/hyperlink" Target="http://panamapapers.sueddeutsche.de/articles/56febff0a1bb8d3c3495adf4/" TargetMode="External"/><Relationship Id="rId318" Type="http://schemas.openxmlformats.org/officeDocument/2006/relationships/hyperlink" Target="https://www.cnbc.com/2016/09/22/yahoo-data-breach-is-among-the-biggest-in-history.html" TargetMode="External"/><Relationship Id="rId439" Type="http://schemas.openxmlformats.org/officeDocument/2006/relationships/hyperlink" Target="https://krebsonsecurity.com/2014/03/experian-lapse-allowed-id-theft-service-to-access-200-million-consumer-records/" TargetMode="External"/><Relationship Id="rId317" Type="http://schemas.openxmlformats.org/officeDocument/2006/relationships/hyperlink" Target="https://www.vice.com/en_us/article/8q88k5/hackers-stole-68-million-passwords-from-tumblr-new-analysis-reveals" TargetMode="External"/><Relationship Id="rId438" Type="http://schemas.openxmlformats.org/officeDocument/2006/relationships/hyperlink" Target="http://www.wired.co.uk/news/archive/2013-11/13/mac-rumours-forums-hacked" TargetMode="External"/><Relationship Id="rId559" Type="http://schemas.openxmlformats.org/officeDocument/2006/relationships/hyperlink" Target="http://monster.com" TargetMode="External"/><Relationship Id="rId550" Type="http://schemas.openxmlformats.org/officeDocument/2006/relationships/hyperlink" Target="http://archive.sltrib.com/story.php?ref=/ci_9540210" TargetMode="External"/><Relationship Id="rId312" Type="http://schemas.openxmlformats.org/officeDocument/2006/relationships/hyperlink" Target="https://thehackernews.com/2017/09/viacom-amazon-server.html" TargetMode="External"/><Relationship Id="rId433" Type="http://schemas.openxmlformats.org/officeDocument/2006/relationships/hyperlink" Target="http://boingboing.net/2013/05/23/terracom-and-yourtel-threaten.html" TargetMode="External"/><Relationship Id="rId554" Type="http://schemas.openxmlformats.org/officeDocument/2006/relationships/hyperlink" Target="https://infowatch.com/analytics/leaks_monitoring/1304" TargetMode="External"/><Relationship Id="rId311" Type="http://schemas.openxmlformats.org/officeDocument/2006/relationships/hyperlink" Target="https://www.theverge.com/2017/9/1/16244304/instagram-hack-api-bug-doxagram-selena-gomez" TargetMode="External"/><Relationship Id="rId432" Type="http://schemas.openxmlformats.org/officeDocument/2006/relationships/hyperlink" Target="http://arstechnica.com/security/2013/05/drupal-org-resets-login-credentials-after-hack-exposes-password-data/" TargetMode="External"/><Relationship Id="rId553" Type="http://schemas.openxmlformats.org/officeDocument/2006/relationships/hyperlink" Target="https://www.chron.com/news/houston-texas/article/89-000-lottery-winners-affected-by-security-breach-1603025.php" TargetMode="External"/><Relationship Id="rId310" Type="http://schemas.openxmlformats.org/officeDocument/2006/relationships/hyperlink" Target="https://www.silicon.co.uk/cloud/data-breach-mobile-numbers-malaysia-224079" TargetMode="External"/><Relationship Id="rId431" Type="http://schemas.openxmlformats.org/officeDocument/2006/relationships/hyperlink" Target="https://www.reuters.com/article/us-yahoojapan/yahoo-japan-suspects-22-million-user-ids-leaked-kyodo-idUSBRE94G0P620130517" TargetMode="External"/><Relationship Id="rId552" Type="http://schemas.openxmlformats.org/officeDocument/2006/relationships/hyperlink" Target="http://www.geek.com/articles/news/government-servers-in-chile-hacked-6-million-personal-records-made-public-20080514/" TargetMode="External"/><Relationship Id="rId430" Type="http://schemas.openxmlformats.org/officeDocument/2006/relationships/hyperlink" Target="https://www.esecurityplanet.com/hackers/kirkwood-community-college-hacked.html" TargetMode="External"/><Relationship Id="rId551" Type="http://schemas.openxmlformats.org/officeDocument/2006/relationships/hyperlink" Target="http://news.bbc.co.uk/2/hi/americas/7395295.stm"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www.forbes.com/sites/andygreenberg/2012/07/23/eight-million-passwords-spilled-from-gaming-site-gamigo-months-after-breach/" TargetMode="External"/><Relationship Id="rId194" Type="http://schemas.openxmlformats.org/officeDocument/2006/relationships/hyperlink" Target="http://www.mediaite.com/online/gawker-medias-entire-commenter-database-appears-to-have-been-hacked/" TargetMode="External"/><Relationship Id="rId193" Type="http://schemas.openxmlformats.org/officeDocument/2006/relationships/hyperlink" Target="http://www.guardian.co.uk/technology/2010/dec/13/gawker-hackers-passwords-twitter-wikileaks?INTCMP=SRCH" TargetMode="External"/><Relationship Id="rId192" Type="http://schemas.openxmlformats.org/officeDocument/2006/relationships/hyperlink" Target="http://gawker.com" TargetMode="External"/><Relationship Id="rId191" Type="http://schemas.openxmlformats.org/officeDocument/2006/relationships/hyperlink" Target="http://www.pcworld.com/article/137865/article.html" TargetMode="External"/><Relationship Id="rId187" Type="http://schemas.openxmlformats.org/officeDocument/2006/relationships/hyperlink" Target="https://www.theregister.com/2024/03/14/mega_data_breach_at_french/" TargetMode="External"/><Relationship Id="rId186" Type="http://schemas.openxmlformats.org/officeDocument/2006/relationships/hyperlink" Target="https://haveibeenpwned.com/Breach/FreeMobile" TargetMode="External"/><Relationship Id="rId185" Type="http://schemas.openxmlformats.org/officeDocument/2006/relationships/hyperlink" Target="https://www.theregister.co.uk/2019/02/11/620_million_hacked_accounts_dark_web/" TargetMode="External"/><Relationship Id="rId184" Type="http://schemas.openxmlformats.org/officeDocument/2006/relationships/hyperlink" Target="http://news.cnet.com/8301-1009_3-57469944-83/formspring-disables-user-passwords-in-security-breach/?tag=mncol;txt" TargetMode="External"/><Relationship Id="rId189" Type="http://schemas.openxmlformats.org/officeDocument/2006/relationships/hyperlink" Target="https://www.wired.com/story/gab-hack-data-breach-ddosecrets/" TargetMode="External"/><Relationship Id="rId188" Type="http://schemas.openxmlformats.org/officeDocument/2006/relationships/hyperlink" Target="http://www.zdnet.com/article/adultfriendfinder-network-hack-exposes-secrets-of-412-million-users/" TargetMode="External"/><Relationship Id="rId183" Type="http://schemas.openxmlformats.org/officeDocument/2006/relationships/hyperlink" Target="https://www.databreaches.net/stolen-florida-dept-of-juvenile-justice-device-contained-records-of-more-than-100000-youth-and-employees/" TargetMode="External"/><Relationship Id="rId182" Type="http://schemas.openxmlformats.org/officeDocument/2006/relationships/hyperlink" Target="https://www.ibtimes.co.uk/fling-com-breach-passwords-sexual-preferences-40-million-users-sale-dark-web-1558711" TargetMode="External"/><Relationship Id="rId181" Type="http://schemas.openxmlformats.org/officeDocument/2006/relationships/hyperlink" Target="https://www.bleepingcomputer.com/news/security/flexbooker-discloses-data-breach-over-37-million-accounts-impacted/" TargetMode="External"/><Relationship Id="rId180" Type="http://schemas.openxmlformats.org/officeDocument/2006/relationships/hyperlink" Target="https://www.cyberdaily.au/security/10487-exclusive-aussie-lender-firstmac-falls-victim-to-embargo-ransomware-gang" TargetMode="External"/><Relationship Id="rId176" Type="http://schemas.openxmlformats.org/officeDocument/2006/relationships/hyperlink" Target="https://www.bleepingcomputer.com/news/security/collection-agency-fbcs-ups-data-breach-tally-to-32-million-people/" TargetMode="External"/><Relationship Id="rId297" Type="http://schemas.openxmlformats.org/officeDocument/2006/relationships/hyperlink" Target="https://www.reuters.com/business/mgm-expects-cybersecurity-issue-negatively-impact-third-quarter-earnings-2023-10-05/" TargetMode="External"/><Relationship Id="rId175" Type="http://schemas.openxmlformats.org/officeDocument/2006/relationships/hyperlink" Target="http://www.pcworld.com/article/135117/article.html" TargetMode="External"/><Relationship Id="rId296" Type="http://schemas.openxmlformats.org/officeDocument/2006/relationships/hyperlink" Target="https://www.databreaches.net/more-breaches-you-may-not-have-known-about/" TargetMode="External"/><Relationship Id="rId174" Type="http://schemas.openxmlformats.org/officeDocument/2006/relationships/hyperlink" Target="https://haveibeenpwned.com/Breach/FFR" TargetMode="External"/><Relationship Id="rId295" Type="http://schemas.openxmlformats.org/officeDocument/2006/relationships/hyperlink" Target="https://www.zdnet.com/article/hacker-leaks-data-of-2-28-million-dating-site-users/" TargetMode="External"/><Relationship Id="rId173" Type="http://schemas.openxmlformats.org/officeDocument/2006/relationships/hyperlink" Target="https://www.facebook.com/notes/facebook-security/important-message-from-facebooks-white-hat-program/10151437074840766" TargetMode="External"/><Relationship Id="rId294" Type="http://schemas.openxmlformats.org/officeDocument/2006/relationships/hyperlink" Target="https://www.hcanews.com/news/update-94k-hit-in-cms-data-breach" TargetMode="External"/><Relationship Id="rId179" Type="http://schemas.openxmlformats.org/officeDocument/2006/relationships/hyperlink" Target="https://www.bleepingcomputer.com/news/security/largest-non-bank-lender-in-australia-warns-of-a-data-breach/" TargetMode="External"/><Relationship Id="rId178" Type="http://schemas.openxmlformats.org/officeDocument/2006/relationships/hyperlink" Target="https://www.bleepingcomputer.com/news/security/first-american-december-data-breach-impacts-44-000-people/" TargetMode="External"/><Relationship Id="rId299" Type="http://schemas.openxmlformats.org/officeDocument/2006/relationships/hyperlink" Target="https://www.bleepingcomputer.com/news/security/microsoft-denies-data-breach-theft-of-30-million-customer-accounts/" TargetMode="External"/><Relationship Id="rId177" Type="http://schemas.openxmlformats.org/officeDocument/2006/relationships/hyperlink" Target="https://www.bleepingcomputer.com/news/security/thousands-of-apps-leak-sensitive-data-via-misconfigured-firebase-backends/" TargetMode="External"/><Relationship Id="rId298" Type="http://schemas.openxmlformats.org/officeDocument/2006/relationships/hyperlink" Target="https://www.zdnet.com/article/exclusive-details-of-10-6-million-of-mgm-hotel-guests-posted-on-a-hacking-forum/" TargetMode="External"/><Relationship Id="rId198" Type="http://schemas.openxmlformats.org/officeDocument/2006/relationships/hyperlink" Target="https://haveibeenpwned.com/Breach/GermanDonerKebab" TargetMode="External"/><Relationship Id="rId197" Type="http://schemas.openxmlformats.org/officeDocument/2006/relationships/hyperlink" Target="https://www.nytimes.com/2020/08/01/technology/gedmatch-breach-privacy.html?referringSource=articleShare" TargetMode="External"/><Relationship Id="rId196" Type="http://schemas.openxmlformats.org/officeDocument/2006/relationships/hyperlink" Target="https://techcrunch.com/2019/02/14/hacker-strikes-again/" TargetMode="External"/><Relationship Id="rId195" Type="http://schemas.openxmlformats.org/officeDocument/2006/relationships/hyperlink" Target="http://ge.tt" TargetMode="External"/><Relationship Id="rId199" Type="http://schemas.openxmlformats.org/officeDocument/2006/relationships/hyperlink" Target="https://www.vice.com/en/article/freedom-convoy-givesendgo-donors-leaked/" TargetMode="External"/><Relationship Id="rId150" Type="http://schemas.openxmlformats.org/officeDocument/2006/relationships/hyperlink" Target="https://www.businessinsider.com/cyber-thieves-took-data-on-145-million-ebay-customers-by-hacking-3-corporate-employees-2014-5?r=US&amp;IR=T" TargetMode="External"/><Relationship Id="rId271" Type="http://schemas.openxmlformats.org/officeDocument/2006/relationships/hyperlink" Target="http://news.cnet.com/8301-1009_3-57449325-83/what-the-password-leaks-mean-to-you-faq/?tag=mncol;txt" TargetMode="External"/><Relationship Id="rId392" Type="http://schemas.openxmlformats.org/officeDocument/2006/relationships/hyperlink" Target="https://threatpost.com/leaky-rootsweb-server-exposes-some-ancestry-com-user-data/129248/" TargetMode="External"/><Relationship Id="rId270" Type="http://schemas.openxmlformats.org/officeDocument/2006/relationships/hyperlink" Target="https://money.cnn.com/2012/06/06/technology/linkedin-password-hack/?iid=EL" TargetMode="External"/><Relationship Id="rId391" Type="http://schemas.openxmlformats.org/officeDocument/2006/relationships/hyperlink" Target="https://techcrunch.com/2019/02/14/hacker-strikes-again/" TargetMode="External"/><Relationship Id="rId390" Type="http://schemas.openxmlformats.org/officeDocument/2006/relationships/hyperlink" Target="http://techcrunch.com/2009/12/14/rockyou-hack-security-myspace-facebook-passwords/" TargetMode="External"/><Relationship Id="rId1" Type="http://schemas.openxmlformats.org/officeDocument/2006/relationships/hyperlink" Target="http://news.cnet.com/8301-1009_3-57505330-83/antisec-claims-to-have-snatched-12m-apple-device-ids-from-fbi/" TargetMode="External"/><Relationship Id="rId2" Type="http://schemas.openxmlformats.org/officeDocument/2006/relationships/hyperlink" Target="http://news.cnet.com/8301-1009_3-57509595-83/udid-leak-source-idd-bluetoad-mobile-firm-says-it-was-hacked/" TargetMode="External"/><Relationship Id="rId3" Type="http://schemas.openxmlformats.org/officeDocument/2006/relationships/hyperlink" Target="https://arstechnica.com/tech-policy/2023/12/hackers-stole-ancestry-data-of-6-9-million-users-23andme-finally-confirmed/" TargetMode="External"/><Relationship Id="rId149" Type="http://schemas.openxmlformats.org/officeDocument/2006/relationships/hyperlink" Target="https://www.bbc.co.uk/news/technology-52722626" TargetMode="External"/><Relationship Id="rId4" Type="http://schemas.openxmlformats.org/officeDocument/2006/relationships/hyperlink" Target="https://www.bleepingcomputer.com/news/security/23andme-hit-with-lawsuits-after-hacker-leaks-stolen-genetics-data/" TargetMode="External"/><Relationship Id="rId148" Type="http://schemas.openxmlformats.org/officeDocument/2006/relationships/hyperlink" Target="https://www.zdnet.com/article/dutch-government-loses-hard-drives-with-data-of-6-9-million-registered-donors/" TargetMode="External"/><Relationship Id="rId269" Type="http://schemas.openxmlformats.org/officeDocument/2006/relationships/hyperlink" Target="http://money.cnn.com/2016/05/19/technology/linkedin-hack/" TargetMode="External"/><Relationship Id="rId9" Type="http://schemas.openxmlformats.org/officeDocument/2006/relationships/hyperlink" Target="https://it.slashdot.org/story/23/03/07/1459230/acer-confirms-breach-after-hacker-offers-to-sell-stolen-data?utm_source=feedly1.0mainlinkanon&amp;utm_medium=feed" TargetMode="External"/><Relationship Id="rId143" Type="http://schemas.openxmlformats.org/officeDocument/2006/relationships/hyperlink" Target="https://www.bleepingcomputer.com/news/security/dropbox-says-hackers-stole-customer-data-auth-secrets-from-esignature-service/" TargetMode="External"/><Relationship Id="rId264" Type="http://schemas.openxmlformats.org/officeDocument/2006/relationships/hyperlink" Target="https://www.bleepingcomputer.com/news/security/media-giant-lee-enterprises-says-data-breach-affects-39-000-people/" TargetMode="External"/><Relationship Id="rId385" Type="http://schemas.openxmlformats.org/officeDocument/2006/relationships/hyperlink" Target="https://www.finextra.com/newsarticle/23243/restaurant-depot-hacked-by-russian-cyber-criminals" TargetMode="External"/><Relationship Id="rId142" Type="http://schemas.openxmlformats.org/officeDocument/2006/relationships/hyperlink" Target="https://techcrunch.com/2020/07/28/drizly-data-breach/" TargetMode="External"/><Relationship Id="rId263" Type="http://schemas.openxmlformats.org/officeDocument/2006/relationships/hyperlink" Target="https://www.bleepingcomputer.com/news/security/physical-addresses-of-270k-ledger-owners-leaked-on-hacker-forum/" TargetMode="External"/><Relationship Id="rId384" Type="http://schemas.openxmlformats.org/officeDocument/2006/relationships/hyperlink" Target="https://www.forbes.com/sites/daveywinder/2023/02/10/reddit-confirms-it-was-hacked-recommends-users-set-up-2fa/" TargetMode="External"/><Relationship Id="rId141" Type="http://schemas.openxmlformats.org/officeDocument/2006/relationships/hyperlink" Target="http://news.bbc.co.uk/1/hi/uk_politics/7147715.stm" TargetMode="External"/><Relationship Id="rId262" Type="http://schemas.openxmlformats.org/officeDocument/2006/relationships/hyperlink" Target="https://www.privacy.org.nz/publications/statements-media-releases/new-zealands-biggest-data-breach-shows-retention-is-the-sleeping-giant-of-data-security/" TargetMode="External"/><Relationship Id="rId383" Type="http://schemas.openxmlformats.org/officeDocument/2006/relationships/hyperlink" Target="http://www.abc.net.au/news/2016-10-28/red-cross-blood-service-admits-to-data-breach/7974036" TargetMode="External"/><Relationship Id="rId140" Type="http://schemas.openxmlformats.org/officeDocument/2006/relationships/hyperlink" Target="https://techcrunch.com/2019/09/26/doordash-data-breach/" TargetMode="External"/><Relationship Id="rId261" Type="http://schemas.openxmlformats.org/officeDocument/2006/relationships/hyperlink" Target="https://www.forbes.com/sites/daveywinder/2023/03/03/why-you-should-stop-using-lastpass-after-new-hack-method-update/" TargetMode="External"/><Relationship Id="rId382" Type="http://schemas.openxmlformats.org/officeDocument/2006/relationships/hyperlink" Target="https://arstechnica.com/information-technology/2022/01/red-cross-hack-compromises-the-personal-data-of-515k-highly-vulnerable-people/" TargetMode="External"/><Relationship Id="rId5" Type="http://schemas.openxmlformats.org/officeDocument/2006/relationships/hyperlink" Target="https://petapixel.com/2019/02/13/500px-hacked-personal-data-stolen-from-all-14-8-million-users/" TargetMode="External"/><Relationship Id="rId147" Type="http://schemas.openxmlformats.org/officeDocument/2006/relationships/hyperlink" Target="https://www.theregister.co.uk/2019/02/11/620_million_hacked_accounts_dark_web/" TargetMode="External"/><Relationship Id="rId268" Type="http://schemas.openxmlformats.org/officeDocument/2006/relationships/hyperlink" Target="https://9to5mac.com/2021/06/29/linkedin-breach/" TargetMode="External"/><Relationship Id="rId389" Type="http://schemas.openxmlformats.org/officeDocument/2006/relationships/hyperlink" Target="https://www.theverge.com/2023/7/21/23802742/roblox-data-breach-leak-developer-personal-information-exposed" TargetMode="External"/><Relationship Id="rId6" Type="http://schemas.openxmlformats.org/officeDocument/2006/relationships/hyperlink" Target="https://www.theregister.co.uk/2019/02/11/620_million_hacked_accounts_dark_web/" TargetMode="External"/><Relationship Id="rId146" Type="http://schemas.openxmlformats.org/officeDocument/2006/relationships/hyperlink" Target="https://e24.no/internasjonal-oekonomi/i/Bj97B0/dubai-uncovered-data-leak-exposes-how-criminals-officials-and-sanctioned-politicians-poured-money-into-dubai-real-estate" TargetMode="External"/><Relationship Id="rId267" Type="http://schemas.openxmlformats.org/officeDocument/2006/relationships/hyperlink" Target="https://www.theregister.com/2021/12/07/line_pay_leaks_around_133000/" TargetMode="External"/><Relationship Id="rId388" Type="http://schemas.openxmlformats.org/officeDocument/2006/relationships/hyperlink" Target="https://haveibeenpwned.com/Breach/RobinsonsMalls" TargetMode="External"/><Relationship Id="rId7" Type="http://schemas.openxmlformats.org/officeDocument/2006/relationships/hyperlink" Target="http://www.zdnet.com/article/another-data-leak-hits-india-aadhaar-biometric-database/" TargetMode="External"/><Relationship Id="rId145" Type="http://schemas.openxmlformats.org/officeDocument/2006/relationships/hyperlink" Target="http://arstechnica.com/security/2013/05/drupal-org-resets-login-credentials-after-hack-exposes-password-data/" TargetMode="External"/><Relationship Id="rId266" Type="http://schemas.openxmlformats.org/officeDocument/2006/relationships/hyperlink" Target="https://www.pcworld.idg.com.au/article/351659/new_york_hospital_loses_data_130_000_via_fedex/" TargetMode="External"/><Relationship Id="rId387" Type="http://schemas.openxmlformats.org/officeDocument/2006/relationships/hyperlink" Target="https://techcrunch.com/2021/11/09/robinhood-data-breach/?guccounter=1" TargetMode="External"/><Relationship Id="rId8" Type="http://schemas.openxmlformats.org/officeDocument/2006/relationships/hyperlink" Target="http://www.databreaches.net/?p=19198" TargetMode="External"/><Relationship Id="rId144" Type="http://schemas.openxmlformats.org/officeDocument/2006/relationships/hyperlink" Target="https://www.bbc.co.uk/news/technology-37232635" TargetMode="External"/><Relationship Id="rId265" Type="http://schemas.openxmlformats.org/officeDocument/2006/relationships/hyperlink" Target="https://www.bleepingcomputer.com/news/security/data-broker-lexisnexis-discloses-data-breach-affecting-364-000-people/" TargetMode="External"/><Relationship Id="rId386" Type="http://schemas.openxmlformats.org/officeDocument/2006/relationships/hyperlink" Target="https://www.theguardian.com/technology/2017/mar/06/email-addresses-spam-leak-river-city-media" TargetMode="External"/><Relationship Id="rId260" Type="http://schemas.openxmlformats.org/officeDocument/2006/relationships/hyperlink" Target="https://techcrunch.com/2022/12/14/parsing-lastpass-august-data-breach-notice/" TargetMode="External"/><Relationship Id="rId381" Type="http://schemas.openxmlformats.org/officeDocument/2006/relationships/hyperlink" Target="http://www.theregister.co.uk/2008/12/29/rbs_worldpay_breach/" TargetMode="External"/><Relationship Id="rId380" Type="http://schemas.openxmlformats.org/officeDocument/2006/relationships/hyperlink" Target="https://www.nytimes.com/2018/12/04/technology/quora-hack-data-breach.html" TargetMode="External"/><Relationship Id="rId139" Type="http://schemas.openxmlformats.org/officeDocument/2006/relationships/hyperlink" Target="http://www.theguardian.com/technology/2014/jun/16/dominos-pizza-ransom-hack-data" TargetMode="External"/><Relationship Id="rId138" Type="http://schemas.openxmlformats.org/officeDocument/2006/relationships/hyperlink" Target="https://www.bbc.co.uk/news/business-45016906" TargetMode="External"/><Relationship Id="rId259" Type="http://schemas.openxmlformats.org/officeDocument/2006/relationships/hyperlink" Target="https://www.zdnet.com/article/last-fm-investigating-security-issue-passwords-leaked/" TargetMode="External"/><Relationship Id="rId137" Type="http://schemas.openxmlformats.org/officeDocument/2006/relationships/hyperlink" Target="http://www.zdnet.com/article/disqus-confirms-comments-tool-hacked/" TargetMode="External"/><Relationship Id="rId258" Type="http://schemas.openxmlformats.org/officeDocument/2006/relationships/hyperlink" Target="http://www.zdnet.com/article/hackers-stole-43-million-last-fm-account-details-in-2012-breach/" TargetMode="External"/><Relationship Id="rId379" Type="http://schemas.openxmlformats.org/officeDocument/2006/relationships/hyperlink" Target="http://newsroom.questdiagnostics.com/2016-12-12-Quest-Diagnostics-Provides-Notice-of-Data-Security-Incident" TargetMode="External"/><Relationship Id="rId132" Type="http://schemas.openxmlformats.org/officeDocument/2006/relationships/hyperlink" Target="https://www.cbc.ca/news/canada/montreal/desjardins-data-breach-1.5344216" TargetMode="External"/><Relationship Id="rId253" Type="http://schemas.openxmlformats.org/officeDocument/2006/relationships/hyperlink" Target="https://www.bbc.co.uk/news/technology-35100330" TargetMode="External"/><Relationship Id="rId374" Type="http://schemas.openxmlformats.org/officeDocument/2006/relationships/hyperlink" Target="https://arstechnica.com/information-technology/2022/08/plex-imposes-password-reset-after-hackers-steal-data-for-15-million-users/" TargetMode="External"/><Relationship Id="rId495" Type="http://schemas.openxmlformats.org/officeDocument/2006/relationships/hyperlink" Target="https://www.reuters.com/article/us-twitter-passwords/twitter-urges-all-users-to-change-passwords-after-glitch-idUSKBN1I42JG" TargetMode="External"/><Relationship Id="rId131" Type="http://schemas.openxmlformats.org/officeDocument/2006/relationships/hyperlink" Target="https://www.bleepingcomputer.com/news/security/delta-dental-of-california-data-breach-exposed-info-of-7-million-people/" TargetMode="External"/><Relationship Id="rId252" Type="http://schemas.openxmlformats.org/officeDocument/2006/relationships/hyperlink" Target="https://www.bleepingcomputer.com/news/security/krispy-kreme-says-november-data-breach-impacts-over-160-000-people/" TargetMode="External"/><Relationship Id="rId373" Type="http://schemas.openxmlformats.org/officeDocument/2006/relationships/hyperlink" Target="http://blog.trendmicro.com/trendlabs-security-intelligence/55m-registered-voters-risk-philippine-commission-elections-hacked/" TargetMode="External"/><Relationship Id="rId494" Type="http://schemas.openxmlformats.org/officeDocument/2006/relationships/hyperlink" Target="https://www.bleepingcomputer.com/news/security/twitter-confirms-zero-day-used-to-expose-data-of-54-million-accounts/" TargetMode="External"/><Relationship Id="rId130" Type="http://schemas.openxmlformats.org/officeDocument/2006/relationships/hyperlink" Target="https://www.zdnet.com/article/dell-announces-security-breach/" TargetMode="External"/><Relationship Id="rId251" Type="http://schemas.openxmlformats.org/officeDocument/2006/relationships/hyperlink" Target="http://www.securityweek.com/20-million-people-fall-victim-south-korea-data-leak" TargetMode="External"/><Relationship Id="rId372" Type="http://schemas.openxmlformats.org/officeDocument/2006/relationships/hyperlink" Target="https://www.bleepingcomputer.com/news/security/philadelphia-inquirer-data-of-over-25-000-people-stolen-in-2023-breach/" TargetMode="External"/><Relationship Id="rId493" Type="http://schemas.openxmlformats.org/officeDocument/2006/relationships/hyperlink" Target="https://www.wired.com/story/twitter-leak-200-million-user-email-addresses/" TargetMode="External"/><Relationship Id="rId250" Type="http://schemas.openxmlformats.org/officeDocument/2006/relationships/hyperlink" Target="https://motherboard.vice.com/en_us/article/pgkp57/a-teen-hacker-is-targeting-russian-sites-as-revenge-for-the-mh17-crash" TargetMode="External"/><Relationship Id="rId371" Type="http://schemas.openxmlformats.org/officeDocument/2006/relationships/hyperlink" Target="https://www.bleepingcomputer.com/news/security/ransomware-gang-steals-data-of-58-million-pharmerica-patients/" TargetMode="External"/><Relationship Id="rId492" Type="http://schemas.openxmlformats.org/officeDocument/2006/relationships/hyperlink" Target="http://blog.twitch.tv/2015/03/important-notice-about-your-twitch-account/" TargetMode="External"/><Relationship Id="rId136" Type="http://schemas.openxmlformats.org/officeDocument/2006/relationships/hyperlink" Target="https://haveibeenpwned.com/Breach/DiskUnion" TargetMode="External"/><Relationship Id="rId257" Type="http://schemas.openxmlformats.org/officeDocument/2006/relationships/hyperlink" Target="http://last.fm" TargetMode="External"/><Relationship Id="rId378" Type="http://schemas.openxmlformats.org/officeDocument/2006/relationships/hyperlink" Target="https://www.zdnet.com/article/amca-data-breach-has-now-gone-over-the-20-million-mark/" TargetMode="External"/><Relationship Id="rId499" Type="http://schemas.openxmlformats.org/officeDocument/2006/relationships/hyperlink" Target="https://www.bloomberg.com/news/articles/2017-11-21/uber-concealed-cyberattack-that-exposed-57-million-people-s-data" TargetMode="External"/><Relationship Id="rId135" Type="http://schemas.openxmlformats.org/officeDocument/2006/relationships/hyperlink" Target="https://stackdiary.com/the-data-of-760000-discord-io-users-was-put-up-for-sale-on-the-darknet/" TargetMode="External"/><Relationship Id="rId256" Type="http://schemas.openxmlformats.org/officeDocument/2006/relationships/hyperlink" Target="http://news.cnet.com/8301-1009_3-57482215-83/hackers-accused-of-stealing-data-from-9m-korean-mobile-users/" TargetMode="External"/><Relationship Id="rId377" Type="http://schemas.openxmlformats.org/officeDocument/2006/relationships/hyperlink" Target="https://www.abc.net.au/news/2025-07-02/qantas-cyber-attack-significant-data-stolen/105484720" TargetMode="External"/><Relationship Id="rId498" Type="http://schemas.openxmlformats.org/officeDocument/2006/relationships/hyperlink" Target="https://restoreprivacy.com/uber-data-leak-breach-third-party-vendor-hacked/" TargetMode="External"/><Relationship Id="rId134" Type="http://schemas.openxmlformats.org/officeDocument/2006/relationships/hyperlink" Target="http://discord.io/" TargetMode="External"/><Relationship Id="rId255" Type="http://schemas.openxmlformats.org/officeDocument/2006/relationships/hyperlink" Target="http://www.koreatimes.co.kr/www/news/biz/2012/07/113_116143.html" TargetMode="External"/><Relationship Id="rId376" Type="http://schemas.openxmlformats.org/officeDocument/2006/relationships/hyperlink" Target="https://www.poverenik.rs/en/press-releases/1953-povreda-prava-na-zastitu-podataka-o-licnosti-skoro-svih-punoletnih-gradjana-srbije.html" TargetMode="External"/><Relationship Id="rId497" Type="http://schemas.openxmlformats.org/officeDocument/2006/relationships/hyperlink" Target="https://haveibeenpwned.com/Breach/Ualabee" TargetMode="External"/><Relationship Id="rId133" Type="http://schemas.openxmlformats.org/officeDocument/2006/relationships/hyperlink" Target="https://techcrunch.com/2021/04/28/digitalocean-customer-billing-data-breach/" TargetMode="External"/><Relationship Id="rId254" Type="http://schemas.openxmlformats.org/officeDocument/2006/relationships/hyperlink" Target="https://www.reddit.com/r/apple/comments/3wq9fc/massive_data_breach/" TargetMode="External"/><Relationship Id="rId375" Type="http://schemas.openxmlformats.org/officeDocument/2006/relationships/hyperlink" Target="https://www.computerweekly.com/news/2240242508/Premera-hack-exposes-11-million-financial-and-medical-records" TargetMode="External"/><Relationship Id="rId496" Type="http://schemas.openxmlformats.org/officeDocument/2006/relationships/hyperlink" Target="https://edition.cnn.com/2013/02/01/tech/social-media/twitter-hacked/index.html" TargetMode="External"/><Relationship Id="rId172" Type="http://schemas.openxmlformats.org/officeDocument/2006/relationships/hyperlink" Target="https://newsroom.fb.com/news/2018/10/update-on-security-issue/" TargetMode="External"/><Relationship Id="rId293" Type="http://schemas.openxmlformats.org/officeDocument/2006/relationships/hyperlink" Target="https://www.reuters.com/article/us-usa-hackers-utah/european-hackers-suspected-in-utah-medicaid-files-breach-idUSBRE83404G20120405" TargetMode="External"/><Relationship Id="rId171" Type="http://schemas.openxmlformats.org/officeDocument/2006/relationships/hyperlink" Target="https://www.businessinsider.com.au/facebook-thinks-spammers-responsible-hack-stole-info-from-29-million-users-2018-10?r=US&amp;IR=T" TargetMode="External"/><Relationship Id="rId292" Type="http://schemas.openxmlformats.org/officeDocument/2006/relationships/hyperlink" Target="https://thenextweb.com/security/2018/03/14/jewelry-site-accidentally-leaks-personal-details-plaintext-passwords-1-3m-users/" TargetMode="External"/><Relationship Id="rId170" Type="http://schemas.openxmlformats.org/officeDocument/2006/relationships/hyperlink" Target="https://www.theguardian.com/news/2018/mar/17/cambridge-analytica-facebook-influence-us-election?CMP=twt_gu" TargetMode="External"/><Relationship Id="rId291" Type="http://schemas.openxmlformats.org/officeDocument/2006/relationships/hyperlink" Target="https://www.bleepingcomputer.com/news/security/8-million-people-hit-by-data-breach-at-us-govt-contractor-maximus/" TargetMode="External"/><Relationship Id="rId290" Type="http://schemas.openxmlformats.org/officeDocument/2006/relationships/hyperlink" Target="https://www.technologyreview.com/s/517551/prosecutors-describe-massive-breach-of-credit-card-data/" TargetMode="External"/><Relationship Id="rId165" Type="http://schemas.openxmlformats.org/officeDocument/2006/relationships/hyperlink" Target="https://www.zdnet.com/article/experian-challenged-over-massive-data-leak-in-brazil/" TargetMode="External"/><Relationship Id="rId286" Type="http://schemas.openxmlformats.org/officeDocument/2006/relationships/hyperlink" Target="https://news.marriott.com/news/2020/03/31/marriott-international-notifies-guests-of-property-system-incident" TargetMode="External"/><Relationship Id="rId164" Type="http://schemas.openxmlformats.org/officeDocument/2006/relationships/hyperlink" Target="http://www.reuters.com/article/2015/10/02/us-tmobile-dataprotection-idUSKCN0RV5PL20151002" TargetMode="External"/><Relationship Id="rId285" Type="http://schemas.openxmlformats.org/officeDocument/2006/relationships/hyperlink" Target="https://www.lowyat.net/2017/146339/46-2-million-mobile-phone-numbers-leaked-from-2014-data-breach/" TargetMode="External"/><Relationship Id="rId163" Type="http://schemas.openxmlformats.org/officeDocument/2006/relationships/hyperlink" Target="http://www.digitaltrends.com/mobile/evernote-hack-50-million-users-forced-to-reset-passwords/" TargetMode="External"/><Relationship Id="rId284" Type="http://schemas.openxmlformats.org/officeDocument/2006/relationships/hyperlink" Target="https://www.silicon.co.uk/cloud/data-breach-mobile-numbers-malaysia-224079" TargetMode="External"/><Relationship Id="rId162" Type="http://schemas.openxmlformats.org/officeDocument/2006/relationships/hyperlink" Target="http://www.wired.co.uk/news/archive/2013-03/04/evernote-hacked" TargetMode="External"/><Relationship Id="rId283" Type="http://schemas.openxmlformats.org/officeDocument/2006/relationships/hyperlink" Target="https://techcrunch.com/2023/11/09/maine-government-data-breach-clop-ransomware/" TargetMode="External"/><Relationship Id="rId169" Type="http://schemas.openxmlformats.org/officeDocument/2006/relationships/hyperlink" Target="https://www.fastcompany.com/90399734/the-phone-numbers-of-419-million-facebook-accounts-have-been-leaked" TargetMode="External"/><Relationship Id="rId168" Type="http://schemas.openxmlformats.org/officeDocument/2006/relationships/hyperlink" Target="https://www.businessinsider.com/stolen-data-of-533-million-facebook-users-leaked-online-2021-4?r=US&amp;IR=T" TargetMode="External"/><Relationship Id="rId289" Type="http://schemas.openxmlformats.org/officeDocument/2006/relationships/hyperlink" Target="http://www.nbcnews.com/id/43086769/ns/technology_and_science-security/t/huge-data-breach-puts-risk/" TargetMode="External"/><Relationship Id="rId167" Type="http://schemas.openxmlformats.org/officeDocument/2006/relationships/hyperlink" Target="https://www.theregister.co.uk/2019/02/11/620_million_hacked_accounts_dark_web/" TargetMode="External"/><Relationship Id="rId288" Type="http://schemas.openxmlformats.org/officeDocument/2006/relationships/hyperlink" Target="https://www.cnet.com/news/marriott-says-hackers-stole-more-than-5-million-passport-numbers/" TargetMode="External"/><Relationship Id="rId166" Type="http://schemas.openxmlformats.org/officeDocument/2006/relationships/hyperlink" Target="https://westoahu.hawaii.edu/cyber/global-weekly-exec-summary/experian-security-breach-in-south-africa/" TargetMode="External"/><Relationship Id="rId287" Type="http://schemas.openxmlformats.org/officeDocument/2006/relationships/hyperlink" Target="https://www.nytimes.com/2018/11/30/business/marriott-data-breach.html" TargetMode="External"/><Relationship Id="rId161" Type="http://schemas.openxmlformats.org/officeDocument/2006/relationships/hyperlink" Target="https://www.bleepingcomputer.com/news/security/everbridge-warns-of-corporate-systems-breach-exposing-business-data/" TargetMode="External"/><Relationship Id="rId282" Type="http://schemas.openxmlformats.org/officeDocument/2006/relationships/hyperlink" Target="https://www.bleepingcomputer.com/news/security/hackers-breach-mailchimps-internal-tools-to-target-crypto-customers/" TargetMode="External"/><Relationship Id="rId160" Type="http://schemas.openxmlformats.org/officeDocument/2006/relationships/hyperlink" Target="http://www.cityam.com/1406190300/ecb-website-hacked" TargetMode="External"/><Relationship Id="rId281" Type="http://schemas.openxmlformats.org/officeDocument/2006/relationships/hyperlink" Target="http://www.zdnet.com/article/over-25-million-accounts-stolen-after-mail-ru-forums-raided-by-hackers/" TargetMode="External"/><Relationship Id="rId280" Type="http://schemas.openxmlformats.org/officeDocument/2006/relationships/hyperlink" Target="http://www.wired.co.uk/news/archive/2013-11/13/mac-rumours-forums-hacked" TargetMode="External"/><Relationship Id="rId159" Type="http://schemas.openxmlformats.org/officeDocument/2006/relationships/hyperlink" Target="https://news.err.ee/1608291072/hacker-downloads-close-to-300-000-personal-id-photos" TargetMode="External"/><Relationship Id="rId154" Type="http://schemas.openxmlformats.org/officeDocument/2006/relationships/hyperlink" Target="http://news.emory.edu/stories/2012/04/ehc_missing_data/campus.html" TargetMode="External"/><Relationship Id="rId275" Type="http://schemas.openxmlformats.org/officeDocument/2006/relationships/hyperlink" Target="https://www.upguard.com/breaches/s3-localblox" TargetMode="External"/><Relationship Id="rId396" Type="http://schemas.openxmlformats.org/officeDocument/2006/relationships/hyperlink" Target="https://www.csoonline.com/article/3017171/database-leak-exposes-3-3-million-hello-kitty-fans.html" TargetMode="External"/><Relationship Id="rId153" Type="http://schemas.openxmlformats.org/officeDocument/2006/relationships/hyperlink" Target="http://www.healthcareinfosecurity.com/chicago-breach-affects-180000-a-2496" TargetMode="External"/><Relationship Id="rId274" Type="http://schemas.openxmlformats.org/officeDocument/2006/relationships/hyperlink" Target="http://bits.blogs.nytimes.com/2013/04/26/living-social-hack-exposes-data-for-50-million-customers/" TargetMode="External"/><Relationship Id="rId395" Type="http://schemas.openxmlformats.org/officeDocument/2006/relationships/hyperlink" Target="http://news.cnet.com/8301-27080_3-20068386-245/sf-utilities-agency-warns-of-potential-breach/" TargetMode="External"/><Relationship Id="rId152" Type="http://schemas.openxmlformats.org/officeDocument/2006/relationships/hyperlink" Target="http://databreachinvestigation.blogspot.com/2011/04/thief-gets-away-with-eisenhower-medical.html" TargetMode="External"/><Relationship Id="rId273" Type="http://schemas.openxmlformats.org/officeDocument/2006/relationships/hyperlink" Target="http://nakedsecurity.sophos.com/2013/04/27/livingsocial-hacked-50-million-affected/" TargetMode="External"/><Relationship Id="rId394" Type="http://schemas.openxmlformats.org/officeDocument/2006/relationships/hyperlink" Target="https://www.nytimes.com/2018/04/01/technology/saks-lord-taylor-credit-cards.html" TargetMode="External"/><Relationship Id="rId151" Type="http://schemas.openxmlformats.org/officeDocument/2006/relationships/hyperlink" Target="https://www.wsj.com/articles/SB10001424052702304434404575150024174102954" TargetMode="External"/><Relationship Id="rId272" Type="http://schemas.openxmlformats.org/officeDocument/2006/relationships/hyperlink" Target="https://www.zdnet.com/article/ubuntu-forums-hack-exposes-two-million-users/" TargetMode="External"/><Relationship Id="rId393" Type="http://schemas.openxmlformats.org/officeDocument/2006/relationships/hyperlink" Target="https://www.thequint.com/news/india/royal-enfield-exposed-database-containing-450000-customer-data-cyber-security-expert" TargetMode="External"/><Relationship Id="rId158" Type="http://schemas.openxmlformats.org/officeDocument/2006/relationships/hyperlink" Target="https://www.consumer.ftc.gov/blog/2017/09/equifax-data-breach-what-do" TargetMode="External"/><Relationship Id="rId279" Type="http://schemas.openxmlformats.org/officeDocument/2006/relationships/hyperlink" Target="http://macrumours.com" TargetMode="External"/><Relationship Id="rId157" Type="http://schemas.openxmlformats.org/officeDocument/2006/relationships/hyperlink" Target="https://www.theguardian.com/technology/2011/apr/04/epsilon-email-hack" TargetMode="External"/><Relationship Id="rId278" Type="http://schemas.openxmlformats.org/officeDocument/2006/relationships/hyperlink" Target="https://www.wsj.com/articles/mcdonalds-hit-by-data-breach-in-south-korea-taiwan-11623412800" TargetMode="External"/><Relationship Id="rId399" Type="http://schemas.openxmlformats.org/officeDocument/2006/relationships/hyperlink" Target="http://nakedsecurity.sophos.com/2013/04/05/scribd-worlds-largest-online-library-admits-to-network-intrusion-password-breach/" TargetMode="External"/><Relationship Id="rId156" Type="http://schemas.openxmlformats.org/officeDocument/2006/relationships/hyperlink" Target="https://www.bleepingcomputer.com/news/security/episource-says-data-breach-impacts-54-million-patients/" TargetMode="External"/><Relationship Id="rId277" Type="http://schemas.openxmlformats.org/officeDocument/2006/relationships/hyperlink" Target="https://www.neowin.net/news/microsoft-owned-linkedin-is-sending-emails-to-users-about-a-lyndacom-data-breach" TargetMode="External"/><Relationship Id="rId398" Type="http://schemas.openxmlformats.org/officeDocument/2006/relationships/hyperlink" Target="https://www.bleepingcomputer.com/news/security/sav-rx-discloses-data-breach-impacting-28-million-americans/" TargetMode="External"/><Relationship Id="rId155" Type="http://schemas.openxmlformats.org/officeDocument/2006/relationships/hyperlink" Target="https://arstechnica.com/information-technology/2021/09/epik-data-breach-impacts-15-million-users-including-non-customers/" TargetMode="External"/><Relationship Id="rId276" Type="http://schemas.openxmlformats.org/officeDocument/2006/relationships/hyperlink" Target="http://lynda.com" TargetMode="External"/><Relationship Id="rId397" Type="http://schemas.openxmlformats.org/officeDocument/2006/relationships/hyperlink" Target="https://www.bleepingcomputer.com/news/security/banco-santander-warns-of-a-data-breach-exposing-customer-info/" TargetMode="External"/><Relationship Id="rId40" Type="http://schemas.openxmlformats.org/officeDocument/2006/relationships/hyperlink" Target="http://www.theguardian.com/world/2015/mar/30/personal-details-of-world-leaders-accidentally-revealed-by-g20-organisers" TargetMode="External"/><Relationship Id="rId42" Type="http://schemas.openxmlformats.org/officeDocument/2006/relationships/hyperlink" Target="http://abcnews.go.com/Technology/story?id=2160425&amp;page=1" TargetMode="External"/><Relationship Id="rId41" Type="http://schemas.openxmlformats.org/officeDocument/2006/relationships/hyperlink" Target="https://www.theguardian.com/australia-news/2019/jun/04/australian-national-university-hit-by-huge-data-breach" TargetMode="External"/><Relationship Id="rId44" Type="http://schemas.openxmlformats.org/officeDocument/2006/relationships/hyperlink" Target="https://www.troyhunt.com/breach-disclosure-blow-by-blow-heres-why-its-so-hard/" TargetMode="External"/><Relationship Id="rId43" Type="http://schemas.openxmlformats.org/officeDocument/2006/relationships/hyperlink" Target="https://www.databreachtoday.com/avmed-sued-over-laptop-breach-a-3111" TargetMode="External"/><Relationship Id="rId46" Type="http://schemas.openxmlformats.org/officeDocument/2006/relationships/hyperlink" Target="https://www.healthcare-informatics.com/news-item/cybersecurity/breaking-massive-cyber-attack-banner-health-affects-37m-individuals" TargetMode="External"/><Relationship Id="rId45" Type="http://schemas.openxmlformats.org/officeDocument/2006/relationships/hyperlink" Target="https://www.bleepingcomputer.com/news/security/baltimore-city-public-schools-data-breach-affects-over-31-000-people/" TargetMode="External"/><Relationship Id="rId509" Type="http://schemas.openxmlformats.org/officeDocument/2006/relationships/hyperlink" Target="http://news.bbc.co.uk/2/hi/uk_news/7103911.stm" TargetMode="External"/><Relationship Id="rId508" Type="http://schemas.openxmlformats.org/officeDocument/2006/relationships/hyperlink" Target="https://www.theguardian.com/technology/article/2024/may/06/uk-military-personnels-data-hacked-in-mod-payroll-breach" TargetMode="External"/><Relationship Id="rId503" Type="http://schemas.openxmlformats.org/officeDocument/2006/relationships/hyperlink" Target="http://arstechnica.com/security/2013/07/hack-exposes-e-mail-addresses-password-data-for-2-million-ubuntu-forum-users/" TargetMode="External"/><Relationship Id="rId502" Type="http://schemas.openxmlformats.org/officeDocument/2006/relationships/hyperlink" Target="https://www.bbc.co.uk/news/technology-23159997" TargetMode="External"/><Relationship Id="rId501" Type="http://schemas.openxmlformats.org/officeDocument/2006/relationships/hyperlink" Target="https://www.zdnet.com/article/ubiquiti-tells-customers-to-change-passwords-after-security-breach/" TargetMode="External"/><Relationship Id="rId500" Type="http://schemas.openxmlformats.org/officeDocument/2006/relationships/hyperlink" Target="https://techcrunch.com/2015/02/27/uber-database-breach-exposed-information-of-50000-drivers-company-confirms/" TargetMode="External"/><Relationship Id="rId507" Type="http://schemas.openxmlformats.org/officeDocument/2006/relationships/hyperlink" Target="https://www.bleepingcomputer.com/news/security/uk-confirms-ministry-of-defence-payroll-data-exposed-in-data-breach/" TargetMode="External"/><Relationship Id="rId506" Type="http://schemas.openxmlformats.org/officeDocument/2006/relationships/hyperlink" Target="http://news.bbc.co.uk/1/hi/uk_politics/7667507.stm" TargetMode="External"/><Relationship Id="rId505" Type="http://schemas.openxmlformats.org/officeDocument/2006/relationships/hyperlink" Target="http://news.bbc.co.uk/1/hi/uk_politics/7608155.stm" TargetMode="External"/><Relationship Id="rId504" Type="http://schemas.openxmlformats.org/officeDocument/2006/relationships/hyperlink" Target="https://healthitsecurity.com/news/ucla-health-reaches-7.5m-settlement-over-2015-breach-of-4.5m" TargetMode="External"/><Relationship Id="rId48" Type="http://schemas.openxmlformats.org/officeDocument/2006/relationships/hyperlink" Target="http://www.cbc.ca/beta/news/technology/bell-data-breach-customer-names-phone-numbers-emails-leak-1.4116608" TargetMode="External"/><Relationship Id="rId47" Type="http://schemas.openxmlformats.org/officeDocument/2006/relationships/hyperlink" Target="https://www.bleepingcomputer.com/news/security/bbc-suffers-data-breach-impacting-current-former-employees/" TargetMode="External"/><Relationship Id="rId49" Type="http://schemas.openxmlformats.org/officeDocument/2006/relationships/hyperlink" Target="https://www-ft-com.libezproxy.open.ac.uk/content/819f5b1c-eb80-11e0-a576-00144feab49a" TargetMode="External"/><Relationship Id="rId31" Type="http://schemas.openxmlformats.org/officeDocument/2006/relationships/hyperlink" Target="https://www.theregister.co.uk/2019/02/11/620_million_hacked_accounts_dark_web/" TargetMode="External"/><Relationship Id="rId30" Type="http://schemas.openxmlformats.org/officeDocument/2006/relationships/hyperlink" Target="https://www.theregister.co.uk/2019/02/11/620_million_hacked_accounts_dark_web/" TargetMode="External"/><Relationship Id="rId33" Type="http://schemas.openxmlformats.org/officeDocument/2006/relationships/hyperlink" Target="http://krebsonsecurity.com/2015/07/online-cheating-site-ashleymadison-hacked/" TargetMode="External"/><Relationship Id="rId32" Type="http://schemas.openxmlformats.org/officeDocument/2006/relationships/hyperlink" Target="http://ashleymadison.com" TargetMode="External"/><Relationship Id="rId35" Type="http://schemas.openxmlformats.org/officeDocument/2006/relationships/hyperlink" Target="http://www.guardian.co.uk/technology/2010/jun/10/apple-ipad-security-leak?INTCMP=SRCH" TargetMode="External"/><Relationship Id="rId34" Type="http://schemas.openxmlformats.org/officeDocument/2006/relationships/hyperlink" Target="https://arstechnica.com/tech-policy/2024/04/att-acknowledges-data-leak-that-hit-73-million-current-and-former-users/" TargetMode="External"/><Relationship Id="rId37" Type="http://schemas.openxmlformats.org/officeDocument/2006/relationships/hyperlink" Target="https://cyberscoop.com/atlassian-hack-employee-data-seigedsec/" TargetMode="External"/><Relationship Id="rId36" Type="http://schemas.openxmlformats.org/officeDocument/2006/relationships/hyperlink" Target="https://www.networkworld.com/article/2344552/security/latest--lost--laptop-holds-treasure-trove-of-unencrypted-at-t-payroll-data.html" TargetMode="External"/><Relationship Id="rId39" Type="http://schemas.openxmlformats.org/officeDocument/2006/relationships/hyperlink" Target="https://www.darkreading.com/attacks-breaches/hacker-steals-data-on-18m-auction-customers-in-south-korea/d/d-id/1129325" TargetMode="External"/><Relationship Id="rId38" Type="http://schemas.openxmlformats.org/officeDocument/2006/relationships/hyperlink" Target="http://auction.co.kr" TargetMode="External"/><Relationship Id="rId20" Type="http://schemas.openxmlformats.org/officeDocument/2006/relationships/hyperlink" Target="https://www.safetydetectives.com/blog/amazon-reviews-leak-report/" TargetMode="External"/><Relationship Id="rId22" Type="http://schemas.openxmlformats.org/officeDocument/2006/relationships/hyperlink" Target="https://www.theregister.co.uk/2019/02/11/620_million_hacked_accounts_dark_web/" TargetMode="External"/><Relationship Id="rId21" Type="http://schemas.openxmlformats.org/officeDocument/2006/relationships/hyperlink" Target="http://www.nbcnews.com/id/7561268/" TargetMode="External"/><Relationship Id="rId24" Type="http://schemas.openxmlformats.org/officeDocument/2006/relationships/hyperlink" Target="https://www.nytimes.com/2015/02/05/business/hackers-breached-data-of-millions-insurer-says.html" TargetMode="External"/><Relationship Id="rId23" Type="http://schemas.openxmlformats.org/officeDocument/2006/relationships/hyperlink" Target="https://www.databreaches.net/ankle-foot-center-of-tampa-bay-breach-affecting-156000-included-social-security-numbers-as-well-as-phi/" TargetMode="External"/><Relationship Id="rId409" Type="http://schemas.openxmlformats.org/officeDocument/2006/relationships/hyperlink" Target="https://www.bleepingcomputer.com/news/security/singing-river-health-system-data-of-895-000-stolen-in-ransomware-attack/" TargetMode="External"/><Relationship Id="rId404" Type="http://schemas.openxmlformats.org/officeDocument/2006/relationships/hyperlink" Target="http://news.bbc.co.uk/1/hi/england/gloucestershire/7639006.stm" TargetMode="External"/><Relationship Id="rId525" Type="http://schemas.openxmlformats.org/officeDocument/2006/relationships/hyperlink" Target="https://www.nextgov.com/cybersecurity/2020/05/us-marshals-service-breach-exposed-personal-data-387000-prisoners/165305/" TargetMode="External"/><Relationship Id="rId403" Type="http://schemas.openxmlformats.org/officeDocument/2006/relationships/hyperlink" Target="http://www.zdnet.com/blog/gamification/sega-1-3-million-customer-records-hacked-lulzsec-promises-retribution/481" TargetMode="External"/><Relationship Id="rId524" Type="http://schemas.openxmlformats.org/officeDocument/2006/relationships/hyperlink" Target="http://www.pcmag.com/article2/0,2817,2390683,00.asp" TargetMode="External"/><Relationship Id="rId402" Type="http://schemas.openxmlformats.org/officeDocument/2006/relationships/hyperlink" Target="https://theintercept.com/2015/11/11/securus-hack-prison-phone-company-exposes-thousands-of-calls-lawyers-and-clients/" TargetMode="External"/><Relationship Id="rId523" Type="http://schemas.openxmlformats.org/officeDocument/2006/relationships/hyperlink" Target="https://www.bankinfosecurity.com/cleveland-federal-reserve-hacked-a-3115" TargetMode="External"/><Relationship Id="rId401" Type="http://schemas.openxmlformats.org/officeDocument/2006/relationships/hyperlink" Target="http://www.fosters.com/apps/pbcs.dll/article?AID=/20110120/GJNEWS_01/701209744" TargetMode="External"/><Relationship Id="rId522" Type="http://schemas.openxmlformats.org/officeDocument/2006/relationships/hyperlink" Target="https://www.va.gov/oig/pubs/VAOIG-06-02238-163.pdf" TargetMode="External"/><Relationship Id="rId408" Type="http://schemas.openxmlformats.org/officeDocument/2006/relationships/hyperlink" Target="https://www.straitstimes.com/singapore/personal-info-of-15m-singhealth-patients-including-pm-lee-stolen-in-singapores-most" TargetMode="External"/><Relationship Id="rId529" Type="http://schemas.openxmlformats.org/officeDocument/2006/relationships/hyperlink" Target="http://www.washingtonpost.com/world/national-security/chinese-hackers-breach-federal-governments-personnel-office/2015/06/04/889c0e52-0af7-11e5-95fd-d580f1c5d44e_story.html?tid=hpModule_04941f10-8a79-11e2-98d9-3012c1cd8d1e" TargetMode="External"/><Relationship Id="rId407" Type="http://schemas.openxmlformats.org/officeDocument/2006/relationships/hyperlink" Target="https://techcrunch.com/2022/10/13/shein-zoetop-fined-1-9m-data-breach/?guccounter=1" TargetMode="External"/><Relationship Id="rId528" Type="http://schemas.openxmlformats.org/officeDocument/2006/relationships/hyperlink" Target="http://edition.cnn.com/2009/US/12/17/theft.security.breach/index.html" TargetMode="External"/><Relationship Id="rId406" Type="http://schemas.openxmlformats.org/officeDocument/2006/relationships/hyperlink" Target="https://www.theregister.co.uk/2019/02/11/620_million_hacked_accounts_dark_web/" TargetMode="External"/><Relationship Id="rId527" Type="http://schemas.openxmlformats.org/officeDocument/2006/relationships/hyperlink" Target="http://www.wired.com/threatlevel/2009/10/probe-targets-archives-handling-of-data-on-70-million-vets/" TargetMode="External"/><Relationship Id="rId405" Type="http://schemas.openxmlformats.org/officeDocument/2006/relationships/hyperlink" Target="https://www.theregister.com/2022/07/05/shanghai_police_database_for_sell/" TargetMode="External"/><Relationship Id="rId526" Type="http://schemas.openxmlformats.org/officeDocument/2006/relationships/hyperlink" Target="http://www.guardian.co.uk/news/datablog/2010/nov/29/wikileaks-cables-data" TargetMode="External"/><Relationship Id="rId26" Type="http://schemas.openxmlformats.org/officeDocument/2006/relationships/hyperlink" Target="http://techcrunch.com/2006/08/06/aol-proudly-releases-massive-amounts-of-user-search-data/" TargetMode="External"/><Relationship Id="rId25" Type="http://schemas.openxmlformats.org/officeDocument/2006/relationships/hyperlink" Target="https://www.nbcnews.com/tech/security/youve-got-hacked-aol-confirms-significant-number-mail-users-hit-n91701" TargetMode="External"/><Relationship Id="rId28" Type="http://schemas.openxmlformats.org/officeDocument/2006/relationships/hyperlink" Target="https://www.wired.com/story/apollo-breach-linkedin-salesforce-data/" TargetMode="External"/><Relationship Id="rId27" Type="http://schemas.openxmlformats.org/officeDocument/2006/relationships/hyperlink" Target="http://money.cnn.com/2004/06/23/technology/aol_spam/" TargetMode="External"/><Relationship Id="rId400" Type="http://schemas.openxmlformats.org/officeDocument/2006/relationships/hyperlink" Target="http://www.nbcnews.com/technology/scribd-hack-exposes-thousands-users-1B9239618" TargetMode="External"/><Relationship Id="rId521" Type="http://schemas.openxmlformats.org/officeDocument/2006/relationships/hyperlink" Target="http://gcn.com/Articles/2009/02/02/VA-data-breach-suit-settlement.aspx" TargetMode="External"/><Relationship Id="rId29" Type="http://schemas.openxmlformats.org/officeDocument/2006/relationships/hyperlink" Target="http://www.guardian.co.uk/technology/2013/jul/22/apple-developer-site-hacked" TargetMode="External"/><Relationship Id="rId520" Type="http://schemas.openxmlformats.org/officeDocument/2006/relationships/hyperlink" Target="https://www.washingtonpost.com/technology/2019/06/10/us-customs-border-protection-says-photos-travelers-into-out-country-were-recently-taken-data-breach/?utm_term=.69c66aaf152f" TargetMode="External"/><Relationship Id="rId11" Type="http://schemas.openxmlformats.org/officeDocument/2006/relationships/hyperlink" Target="https://hothardware.com/news/acer-confirms-hacked-again-60gb-stolen-customer-data" TargetMode="External"/><Relationship Id="rId10" Type="http://schemas.openxmlformats.org/officeDocument/2006/relationships/hyperlink" Target="https://www.bleepingcomputer.com/news/security/acer-confirms-breach-after-160gb-of-data-for-sale-on-hacking-forum/" TargetMode="External"/><Relationship Id="rId13" Type="http://schemas.openxmlformats.org/officeDocument/2006/relationships/hyperlink" Target="https://www.bbc.co.uk/news/technology-24740873" TargetMode="External"/><Relationship Id="rId12" Type="http://schemas.openxmlformats.org/officeDocument/2006/relationships/hyperlink" Target="https://www.bleepingcomputer.com/news/security/adidas-warns-of-data-breach-after-customer-service-provider-hack/" TargetMode="External"/><Relationship Id="rId519" Type="http://schemas.openxmlformats.org/officeDocument/2006/relationships/hyperlink" Target="https://techcrunch.com/2018/11/27/urban-massage-data-exposed-customers-creepy-clients/?guccounter=1" TargetMode="External"/><Relationship Id="rId514" Type="http://schemas.openxmlformats.org/officeDocument/2006/relationships/hyperlink" Target="https://www.computerworld.com/article/2536837/thieves-pilfer-backup-tapes-holding-2m-medical-records.html" TargetMode="External"/><Relationship Id="rId513" Type="http://schemas.openxmlformats.org/officeDocument/2006/relationships/hyperlink" Target="http://www1.udel.edu/udaily/2014/jul/resources073013.html" TargetMode="External"/><Relationship Id="rId512" Type="http://schemas.openxmlformats.org/officeDocument/2006/relationships/hyperlink" Target="https://www.cnet.com/news/uc-berkeley-computers-hacked-160000-at-risk/" TargetMode="External"/><Relationship Id="rId511" Type="http://schemas.openxmlformats.org/officeDocument/2006/relationships/hyperlink" Target="https://www.bleepingcomputer.com/news/security/unitedhealth-now-says-190-million-impacted-by-2024-data-breach/" TargetMode="External"/><Relationship Id="rId518" Type="http://schemas.openxmlformats.org/officeDocument/2006/relationships/hyperlink" Target="http://time.com/3151681/ups-hack/" TargetMode="External"/><Relationship Id="rId517" Type="http://schemas.openxmlformats.org/officeDocument/2006/relationships/hyperlink" Target="https://www.theguardian.com/world/2019/mar/11/china-database-lists-breedready-status-of-18-million-women" TargetMode="External"/><Relationship Id="rId516" Type="http://schemas.openxmlformats.org/officeDocument/2006/relationships/hyperlink" Target="https://www.zdnet.com/article/university-of-wisconsin-hacked-75000-social-security-numbers-student-names-exposed/" TargetMode="External"/><Relationship Id="rId515" Type="http://schemas.openxmlformats.org/officeDocument/2006/relationships/hyperlink" Target="http://archive.sltrib.com/story.php?ref=/ci_9540210" TargetMode="External"/><Relationship Id="rId15" Type="http://schemas.openxmlformats.org/officeDocument/2006/relationships/hyperlink" Target="http://healthitsecurity.com/2013/08/27/advocate-medical-group-endures-massive-data-breach/" TargetMode="External"/><Relationship Id="rId14" Type="http://schemas.openxmlformats.org/officeDocument/2006/relationships/hyperlink" Target="http://www.channel4.com/news/adult-friendfinder-dating-hack-internet-dark-web" TargetMode="External"/><Relationship Id="rId17" Type="http://schemas.openxmlformats.org/officeDocument/2006/relationships/hyperlink" Target="https://indianexpress.com/article/explained/air-india-sita-data-breach-explained-7325501/" TargetMode="External"/><Relationship Id="rId16" Type="http://schemas.openxmlformats.org/officeDocument/2006/relationships/hyperlink" Target="https://privacylaw.proskauer.com/2013/08/articles/identity-theft/a-1-2-million-photocopier-mistake-health-plan-settles-with-hhs-in-hipaa-breach-case/" TargetMode="External"/><Relationship Id="rId19" Type="http://schemas.openxmlformats.org/officeDocument/2006/relationships/hyperlink" Target="https://www.theguardian.com/technology/2018/nov/21/amazon-hit-with-major-data-breach-days-before-black-friday" TargetMode="External"/><Relationship Id="rId510" Type="http://schemas.openxmlformats.org/officeDocument/2006/relationships/hyperlink" Target="https://www.bleepingcomputer.com/news/security/uk-legal-aid-agency-confirms-applicant-data-stolen-in-data-breach/" TargetMode="External"/><Relationship Id="rId18" Type="http://schemas.openxmlformats.org/officeDocument/2006/relationships/hyperlink" Target="http://www.zdnet.com/article/popular-virtual-keyboard-leaks-31-million-user-data/" TargetMode="External"/><Relationship Id="rId84" Type="http://schemas.openxmlformats.org/officeDocument/2006/relationships/hyperlink" Target="http://news.bbc.co.uk/2/hi/americas/7395295.stm" TargetMode="External"/><Relationship Id="rId83" Type="http://schemas.openxmlformats.org/officeDocument/2006/relationships/hyperlink" Target="https://www.computerworld.com/article/2530152/checkfree-warns-5-million-customers-after-hack.html" TargetMode="External"/><Relationship Id="rId86" Type="http://schemas.openxmlformats.org/officeDocument/2006/relationships/hyperlink" Target="http://www.zdnet.com/blog/security/chinese-hacker-arrested-for-leaking-6-million-logins/11064" TargetMode="External"/><Relationship Id="rId85" Type="http://schemas.openxmlformats.org/officeDocument/2006/relationships/hyperlink" Target="http://www.geek.com/articles/news/government-servers-in-chile-hacked-6-million-personal-records-made-public-20080514/" TargetMode="External"/><Relationship Id="rId88" Type="http://schemas.openxmlformats.org/officeDocument/2006/relationships/hyperlink" Target="https://blog.hackenproof.com/industry-news/202-million-private-resumes-exposed" TargetMode="External"/><Relationship Id="rId87" Type="http://schemas.openxmlformats.org/officeDocument/2006/relationships/hyperlink" Target="http://www.ehackingnews.com/2011/12/hackers-compromised-38-million-chinese.html" TargetMode="External"/><Relationship Id="rId89" Type="http://schemas.openxmlformats.org/officeDocument/2006/relationships/hyperlink" Target="https://www.bleepingcomputer.com/news/security/christies-confirms-breach-after-ransomhub-threatens-to-leak-data/" TargetMode="External"/><Relationship Id="rId80" Type="http://schemas.openxmlformats.org/officeDocument/2006/relationships/hyperlink" Target="https://www.esecurityplanet.com/network-security/central-hudson-gas-and-electric-hacked.html" TargetMode="External"/><Relationship Id="rId82" Type="http://schemas.openxmlformats.org/officeDocument/2006/relationships/hyperlink" Target="https://www.bleepingcomputer.com/news/security/over-100-000-chatgpt-accounts-stolen-via-info-stealing-malware/" TargetMode="External"/><Relationship Id="rId81" Type="http://schemas.openxmlformats.org/officeDocument/2006/relationships/hyperlink" Target="https://uk.pcmag.com/cex/90937/cex-hack-up-to-2m-customers-potentially-affected" TargetMode="External"/><Relationship Id="rId73" Type="http://schemas.openxmlformats.org/officeDocument/2006/relationships/hyperlink" Target="http://www.theguardian.com/technology/2015/aug/10/carphone-warehouse-uk-data-watchdog-investigating-customer-hack" TargetMode="External"/><Relationship Id="rId72" Type="http://schemas.openxmlformats.org/officeDocument/2006/relationships/hyperlink" Target="https://krebsonsecurity.com/2015/05/carefirst-blue-cross-breach-hits-1-1m/" TargetMode="External"/><Relationship Id="rId75" Type="http://schemas.openxmlformats.org/officeDocument/2006/relationships/hyperlink" Target="https://www.abc.net.au/news/2018-10-25/cathay-pacific-data-breach-affects-9.4-million-customers/10429878" TargetMode="External"/><Relationship Id="rId74" Type="http://schemas.openxmlformats.org/officeDocument/2006/relationships/hyperlink" Target="https://www.bleepingcomputer.com/news/security/cartier-discloses-data-breach-amid-fashion-brand-cyberattacks/" TargetMode="External"/><Relationship Id="rId77" Type="http://schemas.openxmlformats.org/officeDocument/2006/relationships/hyperlink" Target="https://www.vice.com/en_us/article/3daywj/hacker-steals-900-gb-of-cellebrite-data" TargetMode="External"/><Relationship Id="rId76" Type="http://schemas.openxmlformats.org/officeDocument/2006/relationships/hyperlink" Target="https://twitter.com/haveibeenpwned/status/1504343470072549377?lang=en" TargetMode="External"/><Relationship Id="rId79" Type="http://schemas.openxmlformats.org/officeDocument/2006/relationships/hyperlink" Target="https://uk.pcmag.com/encryption/128228/report-ai-company-leaks-over-25m-medical-records" TargetMode="External"/><Relationship Id="rId78" Type="http://schemas.openxmlformats.org/officeDocument/2006/relationships/hyperlink" Target="https://www.bleepingcomputer.com/news/security/cencora-data-breach-exposes-us-patient-info-from-11-drug-companies/" TargetMode="External"/><Relationship Id="rId71" Type="http://schemas.openxmlformats.org/officeDocument/2006/relationships/hyperlink" Target="https://www.khaleejtimes.com/nation/dubai//dubais-careem-admits-to-data-breach-of-14-million-users" TargetMode="External"/><Relationship Id="rId70" Type="http://schemas.openxmlformats.org/officeDocument/2006/relationships/hyperlink" Target="https://www.wired.com/2005/06/cardsystems-data-left-unsecured/" TargetMode="External"/><Relationship Id="rId62" Type="http://schemas.openxmlformats.org/officeDocument/2006/relationships/hyperlink" Target="https://www.theguardian.com/business/2018/sep/06/british-airways-customer-data-stolen-from-its-website" TargetMode="External"/><Relationship Id="rId61" Type="http://schemas.openxmlformats.org/officeDocument/2006/relationships/hyperlink" Target="https://arstechnica.com/information-technology/2019/10/data-for-a-whopping-26-million-stolen-payment-cards-leaked-in-hack-of-fraud-bazaar/" TargetMode="External"/><Relationship Id="rId64" Type="http://schemas.openxmlformats.org/officeDocument/2006/relationships/hyperlink" Target="https://www.tellerreport.com/news/2020-01-22---big-data-leak--media--at-buchbinder-car-rental-company--customer-data-was-open-.BJ-S5Jk8Z8.html" TargetMode="External"/><Relationship Id="rId63" Type="http://schemas.openxmlformats.org/officeDocument/2006/relationships/hyperlink" Target="http://www.theguardian.com/business/2015/mar/29/british-airways-frequent-flyer-accounts-hacked" TargetMode="External"/><Relationship Id="rId66" Type="http://schemas.openxmlformats.org/officeDocument/2006/relationships/hyperlink" Target="https://www.businessinsider.com/california-child-support-data-breach-2012-4?IR=T" TargetMode="External"/><Relationship Id="rId65" Type="http://schemas.openxmlformats.org/officeDocument/2006/relationships/hyperlink" Target="https://www.zdnet.com/article/hacker-steals-data-of-millions-of-bulgarians-emails-it-to-local-media/" TargetMode="External"/><Relationship Id="rId68" Type="http://schemas.openxmlformats.org/officeDocument/2006/relationships/hyperlink" Target="https://www.zdnet.com/article/australian-tech-unicorn-canva-suffers-security-breach/" TargetMode="External"/><Relationship Id="rId67" Type="http://schemas.openxmlformats.org/officeDocument/2006/relationships/hyperlink" Target="https://www.forbes.com/sites/daveywinder/2020/09/21/activision-accounts-hacked-500000-call-of-duty-players-could-be-affected-report/?sh=7ca04e0f7bbe" TargetMode="External"/><Relationship Id="rId60" Type="http://schemas.openxmlformats.org/officeDocument/2006/relationships/hyperlink" Target="https://www.techradar.com/news/brewdog-exposes-data-of-200000-customers-and-shareholders" TargetMode="External"/><Relationship Id="rId69" Type="http://schemas.openxmlformats.org/officeDocument/2006/relationships/hyperlink" Target="https://www.forbes.com/sites/rachelsandler/2019/07/29/capital-one-says-hacker-breached-accounts-of-100-million-people-ex-amazon-employee-arrested/" TargetMode="External"/><Relationship Id="rId51" Type="http://schemas.openxmlformats.org/officeDocument/2006/relationships/hyperlink" Target="https://www.zdnet.com/article/town-of-salem-game-suffers-data-breach-exposing-7-6-million-user-details/" TargetMode="External"/><Relationship Id="rId50" Type="http://schemas.openxmlformats.org/officeDocument/2006/relationships/hyperlink" Target="https://venturebeat.com/2011/06/13/lulzsec-bethesda-hack/" TargetMode="External"/><Relationship Id="rId53" Type="http://schemas.openxmlformats.org/officeDocument/2006/relationships/hyperlink" Target="https://www.databreaches.net/bcbs-of-tenn-breach-lessons-learned/" TargetMode="External"/><Relationship Id="rId52" Type="http://schemas.openxmlformats.org/officeDocument/2006/relationships/hyperlink" Target="https://www.forbes.com/sites/erikkain/2012/08/09/its-official-blizzard-hacked-account-information-stolen/" TargetMode="External"/><Relationship Id="rId55" Type="http://schemas.openxmlformats.org/officeDocument/2006/relationships/hyperlink" Target="https://www.reuters.com/article/us-mellon-breach-idUSN2143343820080521" TargetMode="External"/><Relationship Id="rId54" Type="http://schemas.openxmlformats.org/officeDocument/2006/relationships/hyperlink" Target="https://www.zdnet.com/article/data-of-2-4-million-blur-password-manager-users-left-exposed-online/" TargetMode="External"/><Relationship Id="rId57" Type="http://schemas.openxmlformats.org/officeDocument/2006/relationships/hyperlink" Target="https://www.which.co.uk/news/2020/03/boots-advantage-card-tesco-clubcard-both-suffer-data-breaches-in-same-week/" TargetMode="External"/><Relationship Id="rId56" Type="http://schemas.openxmlformats.org/officeDocument/2006/relationships/hyperlink" Target="https://www.theregister.co.uk/2019/02/11/620_million_hacked_accounts_dark_web/" TargetMode="External"/><Relationship Id="rId59" Type="http://schemas.openxmlformats.org/officeDocument/2006/relationships/hyperlink" Target="https://www.techradar.com/news/brewdog-exposes-data-of-200000-customers-and-shareholders" TargetMode="External"/><Relationship Id="rId58" Type="http://schemas.openxmlformats.org/officeDocument/2006/relationships/hyperlink" Target="https://www.vice.com/en_us/article/vv7pgd/nearly-800000-brazzers-porn-site-accounts-exposed-in-forum-hack" TargetMode="External"/><Relationship Id="rId107" Type="http://schemas.openxmlformats.org/officeDocument/2006/relationships/hyperlink" Target="https://techcrunch.com/2019/02/14/hacker-strikes-again/" TargetMode="External"/><Relationship Id="rId228" Type="http://schemas.openxmlformats.org/officeDocument/2006/relationships/hyperlink" Target="https://blog.imgur.com/2017/11/24/notice-of-data-breach/" TargetMode="External"/><Relationship Id="rId349" Type="http://schemas.openxmlformats.org/officeDocument/2006/relationships/hyperlink" Target="https://www.japantimes.co.jp/news/2021/05/22/business/tech/omiai-dating-app-hack-japan/" TargetMode="External"/><Relationship Id="rId106" Type="http://schemas.openxmlformats.org/officeDocument/2006/relationships/hyperlink" Target="https://www.bleepingcomputer.com/news/security/coinbase-says-recent-data-breach-impacts-69-461-customers/" TargetMode="External"/><Relationship Id="rId227" Type="http://schemas.openxmlformats.org/officeDocument/2006/relationships/hyperlink" Target="http://www.reuters.com/article/us-hsbc-turkey-cybersecurity/hsbc-turkey-says-customer-credit-card-data-stolen-idUSKCN0IW1RR20141112" TargetMode="External"/><Relationship Id="rId348" Type="http://schemas.openxmlformats.org/officeDocument/2006/relationships/hyperlink" Target="https://twitter.com/BillDemirkapi/status/1508527487655067660/" TargetMode="External"/><Relationship Id="rId469" Type="http://schemas.openxmlformats.org/officeDocument/2006/relationships/hyperlink" Target="https://www.mediaite.com/politics/conservative-news-websites-hacked-replaced-with-page-leaking-private-information/" TargetMode="External"/><Relationship Id="rId105" Type="http://schemas.openxmlformats.org/officeDocument/2006/relationships/hyperlink" Target="https://www.theregister.co.uk/2019/02/11/620_million_hacked_accounts_dark_web/" TargetMode="External"/><Relationship Id="rId226" Type="http://schemas.openxmlformats.org/officeDocument/2006/relationships/hyperlink" Target="https://techcrunch.com/2019/01/31/houzz-data-breach/" TargetMode="External"/><Relationship Id="rId347" Type="http://schemas.openxmlformats.org/officeDocument/2006/relationships/hyperlink" Target="https://www.theverge.com/2022/4/20/23034360/okta-lapsus-hack-investigation-breach-25-minutes" TargetMode="External"/><Relationship Id="rId468" Type="http://schemas.openxmlformats.org/officeDocument/2006/relationships/hyperlink" Target="https://www.bleepingcomputer.com/news/security/the-post-millennial-hack-leaked-data-impacting-26-million-people/" TargetMode="External"/><Relationship Id="rId104" Type="http://schemas.openxmlformats.org/officeDocument/2006/relationships/hyperlink" Target="https://www.bleepingcomputer.com/news/security/hacker-steals-1-million-cockli-user-records-in-webmail-data-breach/" TargetMode="External"/><Relationship Id="rId225" Type="http://schemas.openxmlformats.org/officeDocument/2006/relationships/hyperlink" Target="http://www.scmp.com/news/hong-kong/politics/article/2082566/laptops-containing-37-million-hong-kong-voters-data-stolen" TargetMode="External"/><Relationship Id="rId346" Type="http://schemas.openxmlformats.org/officeDocument/2006/relationships/hyperlink" Target="https://sec.okta.com/harfiles" TargetMode="External"/><Relationship Id="rId467" Type="http://schemas.openxmlformats.org/officeDocument/2006/relationships/hyperlink" Target="https://www.bleepingcomputer.com/news/security/the-north-face-warns-customers-of-april-credential-stuffing-attack/" TargetMode="External"/><Relationship Id="rId109" Type="http://schemas.openxmlformats.org/officeDocument/2006/relationships/hyperlink" Target="https://haveibeenpwned.com/Breach/ColoCrossing" TargetMode="External"/><Relationship Id="rId108" Type="http://schemas.openxmlformats.org/officeDocument/2006/relationships/hyperlink" Target="https://www.coindesk.com/tech/2022/11/26/major-canadian-crypto-exchange-coinsquare-says-client-data-breached/" TargetMode="External"/><Relationship Id="rId229" Type="http://schemas.openxmlformats.org/officeDocument/2006/relationships/hyperlink" Target="https://www.bleepingcomputer.com/news/security/over-275-million-records-exposed-by-unsecured-mongodb-database/" TargetMode="External"/><Relationship Id="rId220" Type="http://schemas.openxmlformats.org/officeDocument/2006/relationships/hyperlink" Target="https://www.computerweekly.com/news/2240076956/Personal-data-on-200000-HP-employees-stolen" TargetMode="External"/><Relationship Id="rId341" Type="http://schemas.openxmlformats.org/officeDocument/2006/relationships/hyperlink" Target="https://edition.cnn.com/2022/03/01/tech/nvidia-information-leak/" TargetMode="External"/><Relationship Id="rId462" Type="http://schemas.openxmlformats.org/officeDocument/2006/relationships/hyperlink" Target="https://www.techradar.com/uk/news/tesco-clubcard-holders-warned-of-major-security-issue" TargetMode="External"/><Relationship Id="rId340" Type="http://schemas.openxmlformats.org/officeDocument/2006/relationships/hyperlink" Target="https://www.bleepingcomputer.com/news/security/nova-scotia-power-confirms-hackers-stole-customer-data-in-cyberattack/" TargetMode="External"/><Relationship Id="rId461" Type="http://schemas.openxmlformats.org/officeDocument/2006/relationships/hyperlink" Target="http://www.wired.co.uk/news/archive/2013-05/23/reporter-google-breach-hacker" TargetMode="External"/><Relationship Id="rId460" Type="http://schemas.openxmlformats.org/officeDocument/2006/relationships/hyperlink" Target="http://boingboing.net/2013/05/23/terracom-and-yourtel-threaten.html" TargetMode="External"/><Relationship Id="rId580" Type="http://schemas.openxmlformats.org/officeDocument/2006/relationships/drawing" Target="../drawings/drawing2.xml"/><Relationship Id="rId103" Type="http://schemas.openxmlformats.org/officeDocument/2006/relationships/hyperlink" Target="http://cock.li" TargetMode="External"/><Relationship Id="rId224" Type="http://schemas.openxmlformats.org/officeDocument/2006/relationships/hyperlink" Target="http://www.guelphmercury.com/news-story/2200845-honda-canada-hit-by-online-security-breach-283-000-car-owners-personal-data-stolen/" TargetMode="External"/><Relationship Id="rId345" Type="http://schemas.openxmlformats.org/officeDocument/2006/relationships/hyperlink" Target="https://www.thelantern.com/2010/12/hacked-data-breach-costly-for-ohio-state-victims-of-compromised-info/" TargetMode="External"/><Relationship Id="rId466" Type="http://schemas.openxmlformats.org/officeDocument/2006/relationships/hyperlink" Target="https://www.bbc.co.uk/news/technology-55439190" TargetMode="External"/><Relationship Id="rId102" Type="http://schemas.openxmlformats.org/officeDocument/2006/relationships/hyperlink" Target="https://it.slashdot.org/story/23/10/04/1917217/clorox-security-breach-linked-to-group-behind-casino-hacks?utm_source=feedly1.0mainlinkanon&amp;utm_medium=feed" TargetMode="External"/><Relationship Id="rId223" Type="http://schemas.openxmlformats.org/officeDocument/2006/relationships/hyperlink" Target="http://krebsonsecurity.com/2014/09/banks-credit-card-breach-at-home-depot/" TargetMode="External"/><Relationship Id="rId344" Type="http://schemas.openxmlformats.org/officeDocument/2006/relationships/hyperlink" Target="https://www.bleepingcomputer.com/news/security/ohio-lottery-ransomware-attack-impacts-over-538-000-individuals/" TargetMode="External"/><Relationship Id="rId465" Type="http://schemas.openxmlformats.org/officeDocument/2006/relationships/hyperlink" Target="https://www.scmp.com/news/asia/southeast-asia/article/3149475/details-some-100-million-visitors-thailand-exposed-online" TargetMode="External"/><Relationship Id="rId101" Type="http://schemas.openxmlformats.org/officeDocument/2006/relationships/hyperlink" Target="http://www.digitaltrends.com/computing/clixsense-hacked/" TargetMode="External"/><Relationship Id="rId222" Type="http://schemas.openxmlformats.org/officeDocument/2006/relationships/hyperlink" Target="https://www.zdnet.com/article/italian-mobile-operator-offers-to-replace-sim-cards-after-massive-data-breach/" TargetMode="External"/><Relationship Id="rId343" Type="http://schemas.openxmlformats.org/officeDocument/2006/relationships/hyperlink" Target="http://www.rawstory.com/rs/2012/04/26/texas-attorney-general-exposes-millions-of-voters-social-security-numbers/" TargetMode="External"/><Relationship Id="rId464" Type="http://schemas.openxmlformats.org/officeDocument/2006/relationships/hyperlink" Target="https://techcrunch.com/2018/08/23/millions-of-texas-voter-records-exposed-online/" TargetMode="External"/><Relationship Id="rId100" Type="http://schemas.openxmlformats.org/officeDocument/2006/relationships/hyperlink" Target="http://news.trust.org/item/20160729204542-r98dj" TargetMode="External"/><Relationship Id="rId221" Type="http://schemas.openxmlformats.org/officeDocument/2006/relationships/hyperlink" Target="https://www.dailymail.co.uk/sciencetech/article-6415441/Furry-erotica-site-hit-data-breach-exposed-hundreds-thousands-users-information.html" TargetMode="External"/><Relationship Id="rId342" Type="http://schemas.openxmlformats.org/officeDocument/2006/relationships/hyperlink" Target="https://it.slashdot.org/story/22/03/01/1523248/nvidia-says-employee-company-information-leaked-online-after-cyber-attack?utm_source=feedly1.0mainlinkanon&amp;utm_medium=feed" TargetMode="External"/><Relationship Id="rId463" Type="http://schemas.openxmlformats.org/officeDocument/2006/relationships/hyperlink" Target="https://www.chron.com/news/houston-texas/article/89-000-lottery-winners-affected-by-security-breach-1603025.php" TargetMode="External"/><Relationship Id="rId217" Type="http://schemas.openxmlformats.org/officeDocument/2006/relationships/hyperlink" Target="https://www.darkreading.com/attacks-and-breaches/heartland-payment-systems-hit-by-data-security-breach/d/d-id/1075770" TargetMode="External"/><Relationship Id="rId338" Type="http://schemas.openxmlformats.org/officeDocument/2006/relationships/hyperlink" Target="http://www.flanderstoday.eu/business/nmbs-data-leak-was-breach-privacy" TargetMode="External"/><Relationship Id="rId459" Type="http://schemas.openxmlformats.org/officeDocument/2006/relationships/hyperlink" Target="http://venturebeat.com/2016/08/02/hackers-break-into-telegram-revealing-15-million-users-phone-numbers/" TargetMode="External"/><Relationship Id="rId216" Type="http://schemas.openxmlformats.org/officeDocument/2006/relationships/hyperlink" Target="https://spectrum.ieee.org/riskfactor/computing/it/health-net-data-breaches-affects-19-million-people" TargetMode="External"/><Relationship Id="rId337" Type="http://schemas.openxmlformats.org/officeDocument/2006/relationships/hyperlink" Target="https://www.bleepingcomputer.com/news/security/nissan-north-america-data-breach-impacts-over-53-000-employees/" TargetMode="External"/><Relationship Id="rId458" Type="http://schemas.openxmlformats.org/officeDocument/2006/relationships/hyperlink" Target="https://haveibeenpwned.com/Breach/TehetsegKapu" TargetMode="External"/><Relationship Id="rId579" Type="http://schemas.openxmlformats.org/officeDocument/2006/relationships/hyperlink" Target="https://www.welivesecurity.com/2020/04/16/half-million-zoom-accounts-sale-dark-web/" TargetMode="External"/><Relationship Id="rId215" Type="http://schemas.openxmlformats.org/officeDocument/2006/relationships/hyperlink" Target="https://www.computerworld.com/article/2521838/security0/health-net-says-1-5m-medical-records-lost-in-data-breach.html" TargetMode="External"/><Relationship Id="rId336" Type="http://schemas.openxmlformats.org/officeDocument/2006/relationships/hyperlink" Target="https://www.zdnet.com/article/club-nintendo-site-hacked-customer-data-exposed/" TargetMode="External"/><Relationship Id="rId457" Type="http://schemas.openxmlformats.org/officeDocument/2006/relationships/hyperlink" Target="https://techcrunch.com/2025/07/26/dating-safety-app-tea-breached-exposing-72000-user-images/" TargetMode="External"/><Relationship Id="rId578" Type="http://schemas.openxmlformats.org/officeDocument/2006/relationships/hyperlink" Target="https://www.hackread.com/zomato-hacked-17-million-accounts-sold-on-dark-web/" TargetMode="External"/><Relationship Id="rId214" Type="http://schemas.openxmlformats.org/officeDocument/2006/relationships/hyperlink" Target="https://haveibeenpwned.com/Breach/HaveFunTeaching" TargetMode="External"/><Relationship Id="rId335" Type="http://schemas.openxmlformats.org/officeDocument/2006/relationships/hyperlink" Target="https://techcrunch.com/2020/06/09/nintendo-accounts-affected-breach/?guccounter=1&amp;guce_referrer=aHR0cHM6Ly9nYW1lcy5zbGFzaGRvdC5vcmcvc3RvcnkvMjAvMDYvMDkvMTg0MjIzNy9uaW50ZW5kby1ub3ctc2F5cy0zMDAwMDAtYWNjb3VudHMtYnJlYWNoZWQtYnktaGFja2Vycz91dG1fc291cmNlPXJzczEuMG1haW5saW5rYW5vbiZ1dG1fbWVkaXVtPWZlZWQ&amp;guce_referrer_sig=AQAAAIXC8IvaFgPdt5t-CUm7yPEhKblsmme4097SUtEWdSkjyrdsxVYiQBfbdpekm_Y29T7evb-5zNNl2-ZHfNSmVkKFnE5vClvpvsaPYykOO8WtAX76dZoL2EUkVL8XfmMQBVlNF43T5MATGNeSnwn6Ta6ELVBXnf_ZTsmVaemjk1Vf" TargetMode="External"/><Relationship Id="rId456" Type="http://schemas.openxmlformats.org/officeDocument/2006/relationships/hyperlink" Target="https://www.cnbc.com/id/20775257" TargetMode="External"/><Relationship Id="rId577" Type="http://schemas.openxmlformats.org/officeDocument/2006/relationships/hyperlink" Target="https://www.theguardian.com/world/2020/sep/14/zhenhua-data-full-list-leak-database-personal-details-millions-china-tech-company" TargetMode="External"/><Relationship Id="rId219" Type="http://schemas.openxmlformats.org/officeDocument/2006/relationships/hyperlink" Target="https://www.bleepingcomputer.com/news/security/heroku-admits-that-customer-credentials-were-stolen-in-cyberattack/" TargetMode="External"/><Relationship Id="rId218" Type="http://schemas.openxmlformats.org/officeDocument/2006/relationships/hyperlink" Target="https://www.itgovernance.eu/blog/en/breach-at-norways-largest-healthcare-authority-was-a-disaster-waiting-to-happen" TargetMode="External"/><Relationship Id="rId339" Type="http://schemas.openxmlformats.org/officeDocument/2006/relationships/hyperlink" Target="http://infowatch.com/node/1289" TargetMode="External"/><Relationship Id="rId330" Type="http://schemas.openxmlformats.org/officeDocument/2006/relationships/hyperlink" Target="https://www.databreaches.net/nyseg-and-rge-notify-customers-of-unauthorized-access-to-customer-data/" TargetMode="External"/><Relationship Id="rId451" Type="http://schemas.openxmlformats.org/officeDocument/2006/relationships/hyperlink" Target="https://www.dw.com/en/telekom-says-data-from-17-million-customers-was-stolen/a-3690132" TargetMode="External"/><Relationship Id="rId572" Type="http://schemas.openxmlformats.org/officeDocument/2006/relationships/hyperlink" Target="https://www.helpnetsecurity.com/2012/07/12/nearly-half-a-million-yahoo-passwords-leaked-following-hack/" TargetMode="External"/><Relationship Id="rId450" Type="http://schemas.openxmlformats.org/officeDocument/2006/relationships/hyperlink" Target="https://krebsonsecurity.com/2021/08/t-mobile-breach-exposed-ssn-dob-of-40m-people/" TargetMode="External"/><Relationship Id="rId571" Type="http://schemas.openxmlformats.org/officeDocument/2006/relationships/hyperlink" Target="https://www.reuters.com/article/us-yahoojapan/yahoo-japan-suspects-22-million-user-ids-leaked-kyodo-idUSBRE94G0P620130517" TargetMode="External"/><Relationship Id="rId570" Type="http://schemas.openxmlformats.org/officeDocument/2006/relationships/hyperlink" Target="https://www.bbc.co.uk/news/business-41493494" TargetMode="External"/><Relationship Id="rId213" Type="http://schemas.openxmlformats.org/officeDocument/2006/relationships/hyperlink" Target="https://www.theregister.co.uk/2019/02/11/620_million_hacked_accounts_dark_web/" TargetMode="External"/><Relationship Id="rId334" Type="http://schemas.openxmlformats.org/officeDocument/2006/relationships/hyperlink" Target="https://www.alphr.com/news/security/368062/nhs-loses-laptop-holding-8m-patient-records" TargetMode="External"/><Relationship Id="rId455" Type="http://schemas.openxmlformats.org/officeDocument/2006/relationships/hyperlink" Target="http://www.wired.com/threatlevel/2008/07/ameritrade-hack/" TargetMode="External"/><Relationship Id="rId576" Type="http://schemas.openxmlformats.org/officeDocument/2006/relationships/hyperlink" Target="http://www.forbes.com/sites/andygreenberg/2012/01/15/zappos-says-hackers-accessed-24-million-customers-account-details/" TargetMode="External"/><Relationship Id="rId212" Type="http://schemas.openxmlformats.org/officeDocument/2006/relationships/hyperlink" Target="https://www.networkworld.com/article/2284998/lan-wan/details-emerging-on-hannaford-data-breach.html" TargetMode="External"/><Relationship Id="rId333" Type="http://schemas.openxmlformats.org/officeDocument/2006/relationships/hyperlink" Target="https://uk.reuters.com/article/us-korea-hacking-nexon/data-of-13-million-south-korean-online-game-subscribers-hacked-idUSTRE7AP09H20111126" TargetMode="External"/><Relationship Id="rId454" Type="http://schemas.openxmlformats.org/officeDocument/2006/relationships/hyperlink" Target="http://www.huffingtonpost.com/2013/12/19/target-hacked-customer-credit-card-data-accessed_n_4471672.html?utm_hp_ref=mostpopular" TargetMode="External"/><Relationship Id="rId575" Type="http://schemas.openxmlformats.org/officeDocument/2006/relationships/hyperlink" Target="https://www.bleepingcomputer.com/news/security/kfc-pizza-hut-owner-discloses-data-breach-after-ransomware-attack/" TargetMode="External"/><Relationship Id="rId211" Type="http://schemas.openxmlformats.org/officeDocument/2006/relationships/hyperlink" Target="http://www.theguardian.com/technology/2015/jul/06/hacking-team-hacked-firm-sold-spying-tools-to-repressive-regimes-documents-claim" TargetMode="External"/><Relationship Id="rId332" Type="http://schemas.openxmlformats.org/officeDocument/2006/relationships/hyperlink" Target="https://techcrunch.com/2018/09/19/newegg-credit-card-data-breach/" TargetMode="External"/><Relationship Id="rId453" Type="http://schemas.openxmlformats.org/officeDocument/2006/relationships/hyperlink" Target="http://www.bbc.co.uk/news/uk-34611857" TargetMode="External"/><Relationship Id="rId574" Type="http://schemas.openxmlformats.org/officeDocument/2006/relationships/hyperlink" Target="https://techcrunch.com/2019/02/14/hacker-strikes-again/" TargetMode="External"/><Relationship Id="rId210" Type="http://schemas.openxmlformats.org/officeDocument/2006/relationships/hyperlink" Target="https://www.theregister.com/2021/07/23/guntrader_hacked_111k_users_sql_database/" TargetMode="External"/><Relationship Id="rId331" Type="http://schemas.openxmlformats.org/officeDocument/2006/relationships/hyperlink" Target="https://medium.com/@vijayp/f6bc289679a1" TargetMode="External"/><Relationship Id="rId452" Type="http://schemas.openxmlformats.org/officeDocument/2006/relationships/hyperlink" Target="https://www.bbc.co.uk/news/business-34743185" TargetMode="External"/><Relationship Id="rId573" Type="http://schemas.openxmlformats.org/officeDocument/2006/relationships/hyperlink" Target="http://www.nbcnews.com/id/44235153/ns/technology_and_science-security/t/data-breach-hits-yale-university/" TargetMode="External"/><Relationship Id="rId370" Type="http://schemas.openxmlformats.org/officeDocument/2006/relationships/hyperlink" Target="https://techcrunch.com/2019/02/14/hacker-strikes-again/" TargetMode="External"/><Relationship Id="rId491" Type="http://schemas.openxmlformats.org/officeDocument/2006/relationships/hyperlink" Target="https://www.bbc.co.uk/news/technology-58817658" TargetMode="External"/><Relationship Id="rId490" Type="http://schemas.openxmlformats.org/officeDocument/2006/relationships/hyperlink" Target="http://www.businessinsider.com/turkish-citizenship-database-allegedly-hacked-and-leaked-2016-4?r=UK&amp;IR=T" TargetMode="External"/><Relationship Id="rId129" Type="http://schemas.openxmlformats.org/officeDocument/2006/relationships/hyperlink" Target="https://www.bleepingcomputer.com/news/security/dell-api-abused-to-steal-49-million-customer-records-in-data-breach/" TargetMode="External"/><Relationship Id="rId128" Type="http://schemas.openxmlformats.org/officeDocument/2006/relationships/hyperlink" Target="https://www.upguard.com/breaches/the-rnc-files" TargetMode="External"/><Relationship Id="rId249" Type="http://schemas.openxmlformats.org/officeDocument/2006/relationships/hyperlink" Target="https://www.esecurityplanet.com/hackers/kirkwood-community-college-hacked.html" TargetMode="External"/><Relationship Id="rId127" Type="http://schemas.openxmlformats.org/officeDocument/2006/relationships/hyperlink" Target="http://uk.reuters.com/article/us-usa-voters-breach-idUKKBN0UB1E020151229" TargetMode="External"/><Relationship Id="rId248" Type="http://schemas.openxmlformats.org/officeDocument/2006/relationships/hyperlink" Target="http://www.computerworld.com/s/article/9001150/KDDI_suffers_massive_data_breach" TargetMode="External"/><Relationship Id="rId369" Type="http://schemas.openxmlformats.org/officeDocument/2006/relationships/hyperlink" Target="https://arstechnica.com/gadgets/2021/05/peloton-takes-3-months-to-fix-flaw-that-exposed-users-private-information/" TargetMode="External"/><Relationship Id="rId126" Type="http://schemas.openxmlformats.org/officeDocument/2006/relationships/hyperlink" Target="https://9to5mac.com/2020/05/15/db8151dd/" TargetMode="External"/><Relationship Id="rId247" Type="http://schemas.openxmlformats.org/officeDocument/2006/relationships/hyperlink" Target="https://restoreprivacy.com/data-breach-at-kaiser-permanente-affects-13-4-million-people/" TargetMode="External"/><Relationship Id="rId368" Type="http://schemas.openxmlformats.org/officeDocument/2006/relationships/hyperlink" Target="https://www.bleepingcomputer.com/news/security/paypal-accounts-breached-in-large-scale-credential-stuffing-attack/" TargetMode="External"/><Relationship Id="rId489" Type="http://schemas.openxmlformats.org/officeDocument/2006/relationships/hyperlink" Target="https://www.vice.com/en_us/article/8q88k5/hackers-stole-68-million-passwords-from-tumblr-new-analysis-reveals" TargetMode="External"/><Relationship Id="rId121" Type="http://schemas.openxmlformats.org/officeDocument/2006/relationships/hyperlink" Target="http://www.reuters.com/article/2013/09/26/us-cyberattacks-databrokers-idUSBRE98P03220130926" TargetMode="External"/><Relationship Id="rId242" Type="http://schemas.openxmlformats.org/officeDocument/2006/relationships/hyperlink" Target="https://techcrunch.com/2019/02/14/hacker-strikes-again/" TargetMode="External"/><Relationship Id="rId363" Type="http://schemas.openxmlformats.org/officeDocument/2006/relationships/hyperlink" Target="https://medium.com/@djhoulihan/no-panera-bread-doesnt-take-security-seriously-bf078027f815" TargetMode="External"/><Relationship Id="rId484" Type="http://schemas.openxmlformats.org/officeDocument/2006/relationships/hyperlink" Target="https://www.bleepingcomputer.com/news/security/toyota-security-breach-exposes-personal-info-of-31-million-clients/" TargetMode="External"/><Relationship Id="rId120" Type="http://schemas.openxmlformats.org/officeDocument/2006/relationships/hyperlink" Target="http://www.usatoday.com/story/cybertruth/2013/09/26/lexisnexis-dunn--bradstreet-altegrity-hacked/2878769/" TargetMode="External"/><Relationship Id="rId241" Type="http://schemas.openxmlformats.org/officeDocument/2006/relationships/hyperlink" Target="https://www.nytimes.com/2020/02/10/world/middleeast/israeli-voters-leak.html?action=click&amp;module=News&amp;pgtype=Homepage" TargetMode="External"/><Relationship Id="rId362" Type="http://schemas.openxmlformats.org/officeDocument/2006/relationships/hyperlink" Target="https://krebsonsecurity.com/2018/04/panerabread-com-leaks-millions-of-customer-records/" TargetMode="External"/><Relationship Id="rId483" Type="http://schemas.openxmlformats.org/officeDocument/2006/relationships/hyperlink" Target="https://yro.slashdot.org/story/22/10/10/2032250/toyota-discloses-data-leak-after-access-key-exposed-on-github?utm_source=feedly1.0mainlinkanon&amp;utm_medium=feed" TargetMode="External"/><Relationship Id="rId240" Type="http://schemas.openxmlformats.org/officeDocument/2006/relationships/hyperlink" Target="http://money.cnn.com/2015/05/26/pf/taxes/irs-website-data-hack/index.html" TargetMode="External"/><Relationship Id="rId361" Type="http://schemas.openxmlformats.org/officeDocument/2006/relationships/hyperlink" Target="https://www.theguardian.com/news/2021/oct/03/pandora-papers-biggest-ever-leak-of-offshore-data-exposes-financial-secrets-of-rich-and-powerful" TargetMode="External"/><Relationship Id="rId482" Type="http://schemas.openxmlformats.org/officeDocument/2006/relationships/hyperlink" Target="https://www.bleepingcomputer.com/news/security/golf-gear-giant-callaway-data-breach-exposes-info-of-11-million/" TargetMode="External"/><Relationship Id="rId360" Type="http://schemas.openxmlformats.org/officeDocument/2006/relationships/hyperlink" Target="https://www.bleepingcomputer.com/news/security/panda-restaurants-discloses-a-data-breach-after-corporate-systems-hack/" TargetMode="External"/><Relationship Id="rId481" Type="http://schemas.openxmlformats.org/officeDocument/2006/relationships/hyperlink" Target="http://www.zdnet.com/wi-fi-hack-caused-tk-maxx-security-breach-3039286991/" TargetMode="External"/><Relationship Id="rId125" Type="http://schemas.openxmlformats.org/officeDocument/2006/relationships/hyperlink" Target="https://www.theregister.co.uk/2019/02/11/620_million_hacked_accounts_dark_web/" TargetMode="External"/><Relationship Id="rId246" Type="http://schemas.openxmlformats.org/officeDocument/2006/relationships/hyperlink" Target="http://www.pcworld.com/article/131453/article.html" TargetMode="External"/><Relationship Id="rId367" Type="http://schemas.openxmlformats.org/officeDocument/2006/relationships/hyperlink" Target="https://apps.web.maine.gov/online/aeviewer/ME/40/766753f1-f9c7-4dc5-9a5c-fe0f3ff51c06.shtml" TargetMode="External"/><Relationship Id="rId488" Type="http://schemas.openxmlformats.org/officeDocument/2006/relationships/hyperlink" Target="https://www.databreaches.net/puerto-rico-dept-of-health-reports-breach-affecting-400000-triple-s-salud-fined-100k/" TargetMode="External"/><Relationship Id="rId124" Type="http://schemas.openxmlformats.org/officeDocument/2006/relationships/hyperlink" Target="http://www.zdnet.com/article/dailymotion-hack-exposes-millions-of-accounts/" TargetMode="External"/><Relationship Id="rId245" Type="http://schemas.openxmlformats.org/officeDocument/2006/relationships/hyperlink" Target="http://dealbook.nytimes.com/2014/10/02/jpmorgan-discovers-further-cyber-security-issues/?_php=true&amp;_type=blogs&amp;_r=0" TargetMode="External"/><Relationship Id="rId366" Type="http://schemas.openxmlformats.org/officeDocument/2006/relationships/hyperlink" Target="https://blog.payhere.lk/ensuring-integrity-on-payhere-cybersecurity-incident/" TargetMode="External"/><Relationship Id="rId487" Type="http://schemas.openxmlformats.org/officeDocument/2006/relationships/hyperlink" Target="http://www.reuters.com/article/us-data-breach-texas-idUSTRE78S5JG20110929" TargetMode="External"/><Relationship Id="rId123" Type="http://schemas.openxmlformats.org/officeDocument/2006/relationships/hyperlink" Target="https://www.comparebusinessproducts.com/fyi/15-most-massive-data-breaches-history" TargetMode="External"/><Relationship Id="rId244" Type="http://schemas.openxmlformats.org/officeDocument/2006/relationships/hyperlink" Target="http://www.jal.co.jp/en/info/other/140924.html" TargetMode="External"/><Relationship Id="rId365" Type="http://schemas.openxmlformats.org/officeDocument/2006/relationships/hyperlink" Target="http://www.bbc.co.uk/news/technology-38350987" TargetMode="External"/><Relationship Id="rId486" Type="http://schemas.openxmlformats.org/officeDocument/2006/relationships/hyperlink" Target="https://www.riskbasedsecurity.com/2021/12/14/dark-web-roundup-november-2021/" TargetMode="External"/><Relationship Id="rId122" Type="http://schemas.openxmlformats.org/officeDocument/2006/relationships/hyperlink" Target="http://www.zdnet.com/article/font-sharing-site-dafont-hacked-thousands-of-accounts-stolen/" TargetMode="External"/><Relationship Id="rId243" Type="http://schemas.openxmlformats.org/officeDocument/2006/relationships/hyperlink" Target="http://online.wsj.com/articles/japan-airlines-reports-hacker-attack-1412053828" TargetMode="External"/><Relationship Id="rId364" Type="http://schemas.openxmlformats.org/officeDocument/2006/relationships/hyperlink" Target="https://krebsonsecurity.com/2021/04/parkmobile-breach-exposes-license-plate-data-mobile-numbers-of-21m-users/" TargetMode="External"/><Relationship Id="rId485" Type="http://schemas.openxmlformats.org/officeDocument/2006/relationships/hyperlink" Target="https://global.toyota/jp/newsroom/corporate/27465617.html" TargetMode="External"/><Relationship Id="rId95" Type="http://schemas.openxmlformats.org/officeDocument/2006/relationships/hyperlink" Target="https://www.bbc.co.uk/news/world-asia-61921222" TargetMode="External"/><Relationship Id="rId94" Type="http://schemas.openxmlformats.org/officeDocument/2006/relationships/hyperlink" Target="https://www.computerweekly.com/news/2240104003/Hackney-NHS-trust-encrypts-IT-equipment-following-loss-of-child-data" TargetMode="External"/><Relationship Id="rId97" Type="http://schemas.openxmlformats.org/officeDocument/2006/relationships/hyperlink" Target="https://poliisi.fi/en/-/police-investigate-extensive-data-breach-in-helsinki-city-s-computer-network" TargetMode="External"/><Relationship Id="rId96" Type="http://schemas.openxmlformats.org/officeDocument/2006/relationships/hyperlink" Target="https://www.bleepingcomputer.com/news/security/helsinki-suffers-data-breach-after-hackers-exploit-unpatched-flaw/" TargetMode="External"/><Relationship Id="rId99" Type="http://schemas.openxmlformats.org/officeDocument/2006/relationships/hyperlink" Target="http://fortune.com/2018/12/18/click2gov-local-government-portals-hackers-credit-card-breach/" TargetMode="External"/><Relationship Id="rId480" Type="http://schemas.openxmlformats.org/officeDocument/2006/relationships/hyperlink" Target="https://www.bleepingcomputer.com/news/security/paypal-says-1-6-million-customer-details-stolen-in-breach-at-canadian-subsidiary/" TargetMode="External"/><Relationship Id="rId98" Type="http://schemas.openxmlformats.org/officeDocument/2006/relationships/hyperlink" Target="http://www.forbes.com/sites/andygreenberg/2010/10/22/wikileaks-reveals-the-biggest-classified-data-breach-in-history/" TargetMode="External"/><Relationship Id="rId91" Type="http://schemas.openxmlformats.org/officeDocument/2006/relationships/hyperlink" Target="http://news.softpedia.com/news/Citi-Exposes-Details-of-150-000-Individuals-Who-Went-into-Bankruptcy-369979.shtml" TargetMode="External"/><Relationship Id="rId90" Type="http://schemas.openxmlformats.org/officeDocument/2006/relationships/hyperlink" Target="https://techcrunch.com/2019/05/20/instagram-influencer-celebrity-accounts-scraped/" TargetMode="External"/><Relationship Id="rId93" Type="http://schemas.openxmlformats.org/officeDocument/2006/relationships/hyperlink" Target="http://www.nytimes.com/2005/06/07/business/07data.html?pagewanted=all&amp;_moc.semityn.www" TargetMode="External"/><Relationship Id="rId92" Type="http://schemas.openxmlformats.org/officeDocument/2006/relationships/hyperlink" Target="http://www.pcworld.com/article/229891/Citigroup_Hack_Nets_Over_200k_in_Stolen_Customer_Details.html" TargetMode="External"/><Relationship Id="rId118" Type="http://schemas.openxmlformats.org/officeDocument/2006/relationships/hyperlink" Target="http://www.govtech.com/security/San-Diego-Sues-Experian-Over-Alleged-2010-Breach.html" TargetMode="External"/><Relationship Id="rId239" Type="http://schemas.openxmlformats.org/officeDocument/2006/relationships/hyperlink" Target="https://www.independent.ie/irish-news/thousands-of-drivers-have-sensitive-data-exposed-to-hackers-in-major-it-breach/a1379036136.html" TargetMode="External"/><Relationship Id="rId117" Type="http://schemas.openxmlformats.org/officeDocument/2006/relationships/hyperlink" Target="https://krebsonsecurity.com/2014/03/experian-lapse-allowed-id-theft-service-to-access-200-million-consumer-records/" TargetMode="External"/><Relationship Id="rId238" Type="http://schemas.openxmlformats.org/officeDocument/2006/relationships/hyperlink" Target="https://www.dailydot.com/debug/invest-bank-hacker-buba/" TargetMode="External"/><Relationship Id="rId359" Type="http://schemas.openxmlformats.org/officeDocument/2006/relationships/hyperlink" Target="https://www.zdnet.com/article/details-of-44m-pakistani-mobile-users-leaked-online-part-of-bigger-115m-cache/" TargetMode="External"/><Relationship Id="rId116" Type="http://schemas.openxmlformats.org/officeDocument/2006/relationships/hyperlink" Target="https://www.networkworld.com/article/2274502/security-oversight-may-have-enabled-countrywide-breach.html" TargetMode="External"/><Relationship Id="rId237" Type="http://schemas.openxmlformats.org/officeDocument/2006/relationships/hyperlink" Target="http://www.nytimes.com/2016/07/29/world/asia/north-korea-hacking-interpark.html" TargetMode="External"/><Relationship Id="rId358" Type="http://schemas.openxmlformats.org/officeDocument/2006/relationships/hyperlink" Target="https://www.dataviper.io/blog/2019/pdl-data-exposure-billion-people/" TargetMode="External"/><Relationship Id="rId479" Type="http://schemas.openxmlformats.org/officeDocument/2006/relationships/hyperlink" Target="https://www.bbc.co.uk/news/technology-44628874" TargetMode="External"/><Relationship Id="rId115" Type="http://schemas.openxmlformats.org/officeDocument/2006/relationships/hyperlink" Target="https://www.bleepingcomputer.com/news/security/cooler-master-confirms-customer-info-stolen-in-data-breach/" TargetMode="External"/><Relationship Id="rId236" Type="http://schemas.openxmlformats.org/officeDocument/2006/relationships/hyperlink" Target="https://www.bleepingcomputer.com/news/security/internet-archive-hacked-data-breach-impacts-31-million-users/" TargetMode="External"/><Relationship Id="rId357" Type="http://schemas.openxmlformats.org/officeDocument/2006/relationships/hyperlink" Target="http://status.ovh.net/?do=details&amp;id=5070" TargetMode="External"/><Relationship Id="rId478" Type="http://schemas.openxmlformats.org/officeDocument/2006/relationships/hyperlink" Target="https://www.bbc.co.uk/news/articles/cw99ql0239wo" TargetMode="External"/><Relationship Id="rId119" Type="http://schemas.openxmlformats.org/officeDocument/2006/relationships/hyperlink" Target="https://www.healthcareitnews.com/news/walgreens-company-announces-data-breach" TargetMode="External"/><Relationship Id="rId110" Type="http://schemas.openxmlformats.org/officeDocument/2006/relationships/hyperlink" Target="http://www.databreaches.net/?p=12611" TargetMode="External"/><Relationship Id="rId231" Type="http://schemas.openxmlformats.org/officeDocument/2006/relationships/hyperlink" Target="http://news.iu.edu/releases/iu/2014/02/data-exposure-disclosure.shtml" TargetMode="External"/><Relationship Id="rId352" Type="http://schemas.openxmlformats.org/officeDocument/2006/relationships/hyperlink" Target="https://www.theguardian.com/business/2022/sep/29/optus-data-breach-everything-we-know-so-far-about-what-happened" TargetMode="External"/><Relationship Id="rId473" Type="http://schemas.openxmlformats.org/officeDocument/2006/relationships/hyperlink" Target="http://classaction.org/" TargetMode="External"/><Relationship Id="rId230" Type="http://schemas.openxmlformats.org/officeDocument/2006/relationships/hyperlink" Target="https://techlomedia.in/2022/12/data-of-30-million-indian-railways-users-is-up-for-sale-on-a-dark-forum-96589/" TargetMode="External"/><Relationship Id="rId351" Type="http://schemas.openxmlformats.org/officeDocument/2006/relationships/hyperlink" Target="https://forum.opensubtitles.org/viewtopic.php?t=17685" TargetMode="External"/><Relationship Id="rId472" Type="http://schemas.openxmlformats.org/officeDocument/2006/relationships/hyperlink" Target="http://www.zdnet.com/blog/security/3-million-bank-accounts-hacked-in-iran/11577" TargetMode="External"/><Relationship Id="rId350" Type="http://schemas.openxmlformats.org/officeDocument/2006/relationships/hyperlink" Target="https://www.bleepingcomputer.com/news/security/omnivision-discloses-data-breach-after-2023-ransomware-attack/" TargetMode="External"/><Relationship Id="rId471" Type="http://schemas.openxmlformats.org/officeDocument/2006/relationships/hyperlink" Target="http://www.threemediacentre.co.uk/news/2017/handsetfraud-update.aspx" TargetMode="External"/><Relationship Id="rId470" Type="http://schemas.openxmlformats.org/officeDocument/2006/relationships/hyperlink" Target="https://haveibeenpwned.com/Breach/Thermomix" TargetMode="External"/><Relationship Id="rId114" Type="http://schemas.openxmlformats.org/officeDocument/2006/relationships/hyperlink" Target="https://www.wired.com/story/microsoft-power-apps-data-exposed/" TargetMode="External"/><Relationship Id="rId235" Type="http://schemas.openxmlformats.org/officeDocument/2006/relationships/hyperlink" Target="https://www.theverge.com/2017/9/1/16244304/instagram-hack-api-bug-doxagram-selena-gomez" TargetMode="External"/><Relationship Id="rId356" Type="http://schemas.openxmlformats.org/officeDocument/2006/relationships/hyperlink" Target="https://www.databreaches.net/or-deputies-man-used-dmv-database-in-id-theft/" TargetMode="External"/><Relationship Id="rId477" Type="http://schemas.openxmlformats.org/officeDocument/2006/relationships/hyperlink" Target="https://www.theverge.com/2018/6/7/17438516/ticketfly-hack-personal-information-26-million-customers-leaked" TargetMode="External"/><Relationship Id="rId113" Type="http://schemas.openxmlformats.org/officeDocument/2006/relationships/hyperlink" Target="https://www.computerworld.com/article/2536195/programmer-who-stole-drive-containing-1-million-bank-records-gets-42-months.html" TargetMode="External"/><Relationship Id="rId234" Type="http://schemas.openxmlformats.org/officeDocument/2006/relationships/hyperlink" Target="https://restofworld.org/2022/indonesia-hacked-sim-bjorka/" TargetMode="External"/><Relationship Id="rId355" Type="http://schemas.openxmlformats.org/officeDocument/2006/relationships/hyperlink" Target="https://www.usnews.com/news/business/articles/2018-03-20/orbitz-legacy-travel-booking-platform-likely-hacked" TargetMode="External"/><Relationship Id="rId476" Type="http://schemas.openxmlformats.org/officeDocument/2006/relationships/hyperlink" Target="https://thehackernews.com/2011/12/tianya-chinas-biggest-online-forum-40.html" TargetMode="External"/><Relationship Id="rId112" Type="http://schemas.openxmlformats.org/officeDocument/2006/relationships/hyperlink" Target="https://www.bleepingcomputer.com/news/security/us-no-fly-list-shared-on-a-hacking-forum-government-investigating/" TargetMode="External"/><Relationship Id="rId233" Type="http://schemas.openxmlformats.org/officeDocument/2006/relationships/hyperlink" Target="https://kr-asia.com/shoddy-data-protection-in-indonesia-threatens-personal-security-of-citizens" TargetMode="External"/><Relationship Id="rId354" Type="http://schemas.openxmlformats.org/officeDocument/2006/relationships/hyperlink" Target="https://haveibeenpwned.com/Breach/OrangeRomania" TargetMode="External"/><Relationship Id="rId475" Type="http://schemas.openxmlformats.org/officeDocument/2006/relationships/hyperlink" Target="http://www.scmagazine.com.au/News/349585,28-million-clear-text-passwords-found-after-tianya65279-hack.aspx" TargetMode="External"/><Relationship Id="rId111" Type="http://schemas.openxmlformats.org/officeDocument/2006/relationships/hyperlink" Target="http://money.cnn.com/2014/08/18/technology/security/hospital-chs-hack/" TargetMode="External"/><Relationship Id="rId232" Type="http://schemas.openxmlformats.org/officeDocument/2006/relationships/hyperlink" Target="http://www.usatoday.com/story/news/nation/2014/02/26/indiana-university-data-breach/5830685/" TargetMode="External"/><Relationship Id="rId353" Type="http://schemas.openxmlformats.org/officeDocument/2006/relationships/hyperlink" Target="https://www.optus.com.au/about/media-centre/media-releases/2022/09/optus-notifies-customers-of-cyberattack" TargetMode="External"/><Relationship Id="rId474" Type="http://schemas.openxmlformats.org/officeDocument/2006/relationships/hyperlink" Target="https://www.classaction.org/news/teachers-insurance-and-annuity-association-of-america-hit-with-class-action-over-may-2023-data-breach" TargetMode="External"/><Relationship Id="rId305" Type="http://schemas.openxmlformats.org/officeDocument/2006/relationships/hyperlink" Target="https://www.bbc.co.uk/news/technology-36168860" TargetMode="External"/><Relationship Id="rId426" Type="http://schemas.openxmlformats.org/officeDocument/2006/relationships/hyperlink" Target="https://www.inforisktoday.com/400000-affected-by-stolen-pc-a-3853" TargetMode="External"/><Relationship Id="rId547" Type="http://schemas.openxmlformats.org/officeDocument/2006/relationships/hyperlink" Target="http://www.pcmag.com/article2/0,2817,2388200,00.asp" TargetMode="External"/><Relationship Id="rId304" Type="http://schemas.openxmlformats.org/officeDocument/2006/relationships/hyperlink" Target="http://www.pcworld.com/article/252647/reborn_lulzsec_claims_hack_of_dating_site_for_military_personnel.html" TargetMode="External"/><Relationship Id="rId425" Type="http://schemas.openxmlformats.org/officeDocument/2006/relationships/hyperlink" Target="https://www.theguardian.com/technology/2017/aug/30/spambot-leaks-700m-email-addresses-huge-data-breach-passwords" TargetMode="External"/><Relationship Id="rId546" Type="http://schemas.openxmlformats.org/officeDocument/2006/relationships/hyperlink" Target="https://www.reuters.com/business/autos-transportation/vw-says-data-breach-vendor-impacted-33-million-people-north-america-2021-06-11/" TargetMode="External"/><Relationship Id="rId303" Type="http://schemas.openxmlformats.org/officeDocument/2006/relationships/hyperlink" Target="http://militarysingles.com" TargetMode="External"/><Relationship Id="rId424" Type="http://schemas.openxmlformats.org/officeDocument/2006/relationships/hyperlink" Target="https://www.databreaches.net/southern-california-medical-legal-consultants-reveals-that-300000-workers-compensation-applicants-names-and-social-security-numbers-were-exposed-on-internet/" TargetMode="External"/><Relationship Id="rId545" Type="http://schemas.openxmlformats.org/officeDocument/2006/relationships/hyperlink" Target="http://www.troyhunt.com/2015/11/when-children-are-breached-inside.html" TargetMode="External"/><Relationship Id="rId302" Type="http://schemas.openxmlformats.org/officeDocument/2006/relationships/hyperlink" Target="https://www.forbes.com/sites/daveywinder/2020/01/22/microsoft-security-shocker-as-250-million-customer-records-exposed-online/" TargetMode="External"/><Relationship Id="rId423" Type="http://schemas.openxmlformats.org/officeDocument/2006/relationships/hyperlink" Target="https://www.infosecurity-magazine.com/news/south-shore-hospital-data-breach-may-affect-up-to/" TargetMode="External"/><Relationship Id="rId544" Type="http://schemas.openxmlformats.org/officeDocument/2006/relationships/hyperlink" Target="http://www.theguardian.com/technology/2015/dec/02/vtech-hack-us-hong-kong-investigate-children-exposed" TargetMode="External"/><Relationship Id="rId309" Type="http://schemas.openxmlformats.org/officeDocument/2006/relationships/hyperlink" Target="http://panamapapers.sueddeutsche.de/articles/56febff0a1bb8d3c3495adf4/" TargetMode="External"/><Relationship Id="rId308" Type="http://schemas.openxmlformats.org/officeDocument/2006/relationships/hyperlink" Target="https://abcnews.go.com/Business/morgan-stanley-smith-barney-breach-losing-client-data/story?id=14008632" TargetMode="External"/><Relationship Id="rId429" Type="http://schemas.openxmlformats.org/officeDocument/2006/relationships/hyperlink" Target="http://ssndob.ms" TargetMode="External"/><Relationship Id="rId307" Type="http://schemas.openxmlformats.org/officeDocument/2006/relationships/hyperlink" Target="http://news.bbc.co.uk/1/hi/6956349.stm" TargetMode="External"/><Relationship Id="rId428" Type="http://schemas.openxmlformats.org/officeDocument/2006/relationships/hyperlink" Target="https://techcrunch.com/2020/12/10/spotify-resets-user-passwords-after-a-bug-exposed-private-account-information/?guccounter=1&amp;guce_referrer=aHR0cHM6Ly9pdC5zbGFzaGRvdC5vcmcv&amp;guce_referrer_sig=AQAAAMGNMpm00iWQgE4Zhw1q6_5FoeBsJUbWyKEniavHxaZR-X1oBrnXuFtvr9B4IYBK1C6x9AfEqEZwzfJaZhhINvaBZltXd-DF036LVwwnAhWAMQpD98Lahw3sni-Z2bS6qEIjPgodPdZHV3DRJWLrNt0bOoohuh_DWM8-IngVnCl6" TargetMode="External"/><Relationship Id="rId549" Type="http://schemas.openxmlformats.org/officeDocument/2006/relationships/hyperlink" Target="http://www.privacyrights.org/data-breach" TargetMode="External"/><Relationship Id="rId306" Type="http://schemas.openxmlformats.org/officeDocument/2006/relationships/hyperlink" Target="http://monster.com" TargetMode="External"/><Relationship Id="rId427" Type="http://schemas.openxmlformats.org/officeDocument/2006/relationships/hyperlink" Target="https://haveibeenpwned.com/Breach/SamsungGermany" TargetMode="External"/><Relationship Id="rId548" Type="http://schemas.openxmlformats.org/officeDocument/2006/relationships/hyperlink" Target="https://www.reuters.com/article/us-usa-hack-washingtonstate-idUSBRE9480YY20130509" TargetMode="External"/><Relationship Id="rId301" Type="http://schemas.openxmlformats.org/officeDocument/2006/relationships/hyperlink" Target="https://www.wired.com/story/china-backed-hackers-steal-microsofts-signing-key-post-mortem/" TargetMode="External"/><Relationship Id="rId422" Type="http://schemas.openxmlformats.org/officeDocument/2006/relationships/hyperlink" Target="http://www.infoworld.com/article/2615754/cyber-crime/south-carolina-reveals-massive-data-breach-of-social-security-numbers--credit-cards.html" TargetMode="External"/><Relationship Id="rId543" Type="http://schemas.openxmlformats.org/officeDocument/2006/relationships/hyperlink" Target="http://www.securityweek.com/attacker-steals-data-2-million-vodafone-germany-customers" TargetMode="External"/><Relationship Id="rId300" Type="http://schemas.openxmlformats.org/officeDocument/2006/relationships/hyperlink" Target="https://www.nytimes.com/2023/07/11/us/politics/china-hack-us-government-microsoft.html?smid=nytcore-ios-share" TargetMode="External"/><Relationship Id="rId421" Type="http://schemas.openxmlformats.org/officeDocument/2006/relationships/hyperlink" Target="https://www.infosecurity-magazine.com/news/data-breach-hits-228000-south-carolina-medicaid/" TargetMode="External"/><Relationship Id="rId542" Type="http://schemas.openxmlformats.org/officeDocument/2006/relationships/hyperlink" Target="http://motherboard.vice.com/read/another-day-another-hack-100-million-accounts-for-vk-russias-facebook" TargetMode="External"/><Relationship Id="rId420" Type="http://schemas.openxmlformats.org/officeDocument/2006/relationships/hyperlink" Target="https://blog.playstation.com/archive/2011/04/28/playstation-network-and-qriocity-outage-faq/" TargetMode="External"/><Relationship Id="rId541" Type="http://schemas.openxmlformats.org/officeDocument/2006/relationships/hyperlink" Target="https://www.bbc.co.uk/news/technology-46261209" TargetMode="External"/><Relationship Id="rId540" Type="http://schemas.openxmlformats.org/officeDocument/2006/relationships/hyperlink" Target="https://www.digitalhealth.net/2009/05/virginia-department-of-health-hacked/" TargetMode="External"/><Relationship Id="rId415" Type="http://schemas.openxmlformats.org/officeDocument/2006/relationships/hyperlink" Target="https://www.theverge.com/2023/10/5/23905370/sony-interactive-entertainment-security-breach-confirmation" TargetMode="External"/><Relationship Id="rId536" Type="http://schemas.openxmlformats.org/officeDocument/2006/relationships/hyperlink" Target="https://thenextweb.com/eu/2019/02/18/2-7-million-patient-calls-to-swedish-healthcare-hotline-left-unprotected-online/" TargetMode="External"/><Relationship Id="rId414" Type="http://schemas.openxmlformats.org/officeDocument/2006/relationships/hyperlink" Target="https://www.nytimes.com/2020/12/14/us/politics/russia-hack-nsa-homeland-security-pentagon.html" TargetMode="External"/><Relationship Id="rId535" Type="http://schemas.openxmlformats.org/officeDocument/2006/relationships/hyperlink" Target="https://computersweden.idg.se/2.2683/1.714787/inspelade-samtal-1177-vardguiden-oskyddade-internet" TargetMode="External"/><Relationship Id="rId413" Type="http://schemas.openxmlformats.org/officeDocument/2006/relationships/hyperlink" Target="https://www.bbc.co.uk/news/technology-25572661" TargetMode="External"/><Relationship Id="rId534" Type="http://schemas.openxmlformats.org/officeDocument/2006/relationships/hyperlink" Target="https://torrentfreak.com/utorrent-forums-hacked-passwords-compromised-160608/" TargetMode="External"/><Relationship Id="rId412" Type="http://schemas.openxmlformats.org/officeDocument/2006/relationships/hyperlink" Target="http://www.bgr.in/news/indian-hacker-group-leaks-data-of-1-7-million-snapchat-users-after-ceos-poor-country-comments-report/" TargetMode="External"/><Relationship Id="rId533" Type="http://schemas.openxmlformats.org/officeDocument/2006/relationships/hyperlink" Target="https://www.usg.edu/news/release/notice_of_data_breach" TargetMode="External"/><Relationship Id="rId419" Type="http://schemas.openxmlformats.org/officeDocument/2006/relationships/hyperlink" Target="http://mashable.com/2011/06/02/sony-pictures-hacked/" TargetMode="External"/><Relationship Id="rId418" Type="http://schemas.openxmlformats.org/officeDocument/2006/relationships/hyperlink" Target="http://www.buzzfeed.com/tomgara/sony-hack" TargetMode="External"/><Relationship Id="rId539" Type="http://schemas.openxmlformats.org/officeDocument/2006/relationships/hyperlink" Target="https://www.bbc.co.uk/news/business-51760510" TargetMode="External"/><Relationship Id="rId417" Type="http://schemas.openxmlformats.org/officeDocument/2006/relationships/hyperlink" Target="https://privacyrights.org/data-breaches/sony-playstation-network-psn-sony-online-entertainment-soe" TargetMode="External"/><Relationship Id="rId538" Type="http://schemas.openxmlformats.org/officeDocument/2006/relationships/hyperlink" Target="https://thehackernews.com/2017/09/viacom-amazon-server.html" TargetMode="External"/><Relationship Id="rId416" Type="http://schemas.openxmlformats.org/officeDocument/2006/relationships/hyperlink" Target="https://www.bleepingcomputer.com/news/security/sony-confirms-data-breach-impacting-thousands-in-the-us/" TargetMode="External"/><Relationship Id="rId537" Type="http://schemas.openxmlformats.org/officeDocument/2006/relationships/hyperlink" Target="https://www.bleepingcomputer.com/news/security/verisource-now-says-february-data-breach-impacts-4-million-people/" TargetMode="External"/><Relationship Id="rId411" Type="http://schemas.openxmlformats.org/officeDocument/2006/relationships/hyperlink" Target="http://techcrunch.com/2015/03/27/slack-got-hacked/" TargetMode="External"/><Relationship Id="rId532" Type="http://schemas.openxmlformats.org/officeDocument/2006/relationships/hyperlink" Target="https://www.bleepingcomputer.com/news/security/university-system-of-georgia-800k-exposed-in-2023-moveit-attack/" TargetMode="External"/><Relationship Id="rId410" Type="http://schemas.openxmlformats.org/officeDocument/2006/relationships/hyperlink" Target="https://www.bleepingcomputer.com/news/security/sky-brasil-exposes-32-million-customer-records/" TargetMode="External"/><Relationship Id="rId531" Type="http://schemas.openxmlformats.org/officeDocument/2006/relationships/hyperlink" Target="http://www.reuters.com/article/2015/07/09/us-cybersecurity-usa-idUSKCN0PJ2M420150709?feedType=RSS&amp;feedName=topNews&amp;utm_source=twitter" TargetMode="External"/><Relationship Id="rId530" Type="http://schemas.openxmlformats.org/officeDocument/2006/relationships/hyperlink" Target="http://www.bbc.co.uk/news/world-us-canada-33120405" TargetMode="External"/><Relationship Id="rId206" Type="http://schemas.openxmlformats.org/officeDocument/2006/relationships/hyperlink" Target="https://krebsonsecurity.com/2018/09/govpaynow-com-leaks-14m-records/" TargetMode="External"/><Relationship Id="rId327" Type="http://schemas.openxmlformats.org/officeDocument/2006/relationships/hyperlink" Target="https://www.law360.com/articles/277961/nemours-says-data-breach-affected-1-6m-patients" TargetMode="External"/><Relationship Id="rId448" Type="http://schemas.openxmlformats.org/officeDocument/2006/relationships/hyperlink" Target="https://www.bleepingcomputer.com/news/security/t-mobile-data-breach-exposed-phone-numbers-call-records/" TargetMode="External"/><Relationship Id="rId569" Type="http://schemas.openxmlformats.org/officeDocument/2006/relationships/hyperlink" Target="http://www.nytimes.com/2016/12/14/technology/yahoo-hack.html?action=Click&amp;contentCollection=BreakingNews&amp;contentID=64651831&amp;pgtype=Homepage&amp;_r=0" TargetMode="External"/><Relationship Id="rId205" Type="http://schemas.openxmlformats.org/officeDocument/2006/relationships/hyperlink" Target="http://govpaynow.com" TargetMode="External"/><Relationship Id="rId326" Type="http://schemas.openxmlformats.org/officeDocument/2006/relationships/hyperlink" Target="http://krebsonsecurity.com/2014/08/stealthy-razor-thin-atm-insert-skimmers/" TargetMode="External"/><Relationship Id="rId447" Type="http://schemas.openxmlformats.org/officeDocument/2006/relationships/hyperlink" Target="https://www.bleepingcomputer.com/news/security/t-mobile-discloses-second-data-breach-since-the-start-of-2023/" TargetMode="External"/><Relationship Id="rId568" Type="http://schemas.openxmlformats.org/officeDocument/2006/relationships/hyperlink" Target="https://www.cnbc.com/2016/09/22/yahoo-data-breach-is-among-the-biggest-in-history.html" TargetMode="External"/><Relationship Id="rId204" Type="http://schemas.openxmlformats.org/officeDocument/2006/relationships/hyperlink" Target="https://www.theverge.com/2018/12/10/18134541/google-plus-privacy-api-data-leak-developers" TargetMode="External"/><Relationship Id="rId325" Type="http://schemas.openxmlformats.org/officeDocument/2006/relationships/hyperlink" Target="http://www.nytimes.com/2014/01/24/business/neiman-marcus-breach-affected-1-1-million-cards.html" TargetMode="External"/><Relationship Id="rId446" Type="http://schemas.openxmlformats.org/officeDocument/2006/relationships/hyperlink" Target="https://arstechnica.com/information-technology/2023/05/t-mobile-discloses-2nd-data-breach-of-2023-this-one-leaking-account-pins-and-more/" TargetMode="External"/><Relationship Id="rId567" Type="http://schemas.openxmlformats.org/officeDocument/2006/relationships/hyperlink" Target="https://www.cnet.com/news/yahoo-says-forged-cookie-attack-accessed-about-32m-accounts/" TargetMode="External"/><Relationship Id="rId203" Type="http://schemas.openxmlformats.org/officeDocument/2006/relationships/hyperlink" Target="https://techcrunch.com/2021/11/09/robinhood-data-breach/?guccounter=1" TargetMode="External"/><Relationship Id="rId324" Type="http://schemas.openxmlformats.org/officeDocument/2006/relationships/hyperlink" Target="https://arstechnica.com/information-technology/2021/10/neiman-marcus-data-breach-impacts-4-6-million-customers/" TargetMode="External"/><Relationship Id="rId445" Type="http://schemas.openxmlformats.org/officeDocument/2006/relationships/hyperlink" Target="http://news.softpedia.com/news/syrian-government-hacked-43-gb-of-data-spilled-online-by-hacktivists-502765.shtml" TargetMode="External"/><Relationship Id="rId566" Type="http://schemas.openxmlformats.org/officeDocument/2006/relationships/hyperlink" Target="https://techcrunch.com/2023/12/19/comcast-xfinity-hackers-36-million-customers/" TargetMode="External"/><Relationship Id="rId209" Type="http://schemas.openxmlformats.org/officeDocument/2006/relationships/hyperlink" Target="http://english.donga.com/srv/service.php3?biid=2008090631088" TargetMode="External"/><Relationship Id="rId208" Type="http://schemas.openxmlformats.org/officeDocument/2006/relationships/hyperlink" Target="https://www.nbcnews.com/feature/nbc-out/security-flaws-gay-dating-app-grindr-expose-users-location-data-n858446" TargetMode="External"/><Relationship Id="rId329" Type="http://schemas.openxmlformats.org/officeDocument/2006/relationships/hyperlink" Target="https://www.inforisktoday.com/new-york-breach-affects-17-million-a-3349" TargetMode="External"/><Relationship Id="rId207" Type="http://schemas.openxmlformats.org/officeDocument/2006/relationships/hyperlink" Target="http://www.wired.co.uk/news/archive/2012-11/22/greece-id-theft" TargetMode="External"/><Relationship Id="rId328" Type="http://schemas.openxmlformats.org/officeDocument/2006/relationships/hyperlink" Target="http://voices.washingtonpost.com/securityfix/2009/07/network_solutions_hack_comprom.html" TargetMode="External"/><Relationship Id="rId449" Type="http://schemas.openxmlformats.org/officeDocument/2006/relationships/hyperlink" Target="https://motherboard.vice.com/en_us/article/a3qpk5/t-mobile-hack-data-breach-api-customer-data" TargetMode="External"/><Relationship Id="rId440" Type="http://schemas.openxmlformats.org/officeDocument/2006/relationships/hyperlink" Target="https://www.theguardian.com/technology/2019/aug/14/major-breach-found-in-biometrics-system-used-by-banks-uk-police-and-defence-firms" TargetMode="External"/><Relationship Id="rId561" Type="http://schemas.openxmlformats.org/officeDocument/2006/relationships/hyperlink" Target="https://www.theguardian.com/business/2017/apr/09/wonga-data-breach-could-affect-250000-uk-customers?CMP=Share_iOSApp_Other" TargetMode="External"/><Relationship Id="rId560" Type="http://schemas.openxmlformats.org/officeDocument/2006/relationships/hyperlink" Target="https://haveibeenpwned.com/Breach/WiredBucks" TargetMode="External"/><Relationship Id="rId202" Type="http://schemas.openxmlformats.org/officeDocument/2006/relationships/hyperlink" Target="https://www.bleepingcomputer.com/news/security/godaddy-hackers-stole-source-code-installed-malware-in-multi-year-breach/" TargetMode="External"/><Relationship Id="rId323" Type="http://schemas.openxmlformats.org/officeDocument/2006/relationships/hyperlink" Target="https://www.theregister.com/2023/10/04/nato_data_attack/" TargetMode="External"/><Relationship Id="rId444" Type="http://schemas.openxmlformats.org/officeDocument/2006/relationships/hyperlink" Target="https://www.vice.com/en/article/z3xpm8/company-that-routes-billions-of-text-messages-quietly-says-it-was-hacked" TargetMode="External"/><Relationship Id="rId565" Type="http://schemas.openxmlformats.org/officeDocument/2006/relationships/hyperlink" Target="https://firewalltimes.com/twitter-data-breach-timeline/" TargetMode="External"/><Relationship Id="rId201" Type="http://schemas.openxmlformats.org/officeDocument/2006/relationships/hyperlink" Target="http://thenextweb.com/google/2014/09/10/4-93-million-gmail-usernames-passwords-published-google-says-evidence-systems-compromised/" TargetMode="External"/><Relationship Id="rId322" Type="http://schemas.openxmlformats.org/officeDocument/2006/relationships/hyperlink" Target="http://uk.businessinsider.com/snowden-leaks-timeline-2016-9" TargetMode="External"/><Relationship Id="rId443" Type="http://schemas.openxmlformats.org/officeDocument/2006/relationships/hyperlink" Target="https://www.thelocal.se/20170717/swedish-authority-handed-over-keys-to-the-kingdom-in-it-security-slip-up" TargetMode="External"/><Relationship Id="rId564" Type="http://schemas.openxmlformats.org/officeDocument/2006/relationships/hyperlink" Target="http://www.pcmag.com/article2/0,2817,2387186,00.asp" TargetMode="External"/><Relationship Id="rId200" Type="http://schemas.openxmlformats.org/officeDocument/2006/relationships/hyperlink" Target="http://www.washingtonpost.com/business/technology/faq-the-global-payments-hack/2012/04/02/gIQAIHLLrS_story.html" TargetMode="External"/><Relationship Id="rId321" Type="http://schemas.openxmlformats.org/officeDocument/2006/relationships/hyperlink" Target="https://www.bleepingcomputer.com/news/security/hackers-leak-27-billion-data-records-with-social-security-numbers/" TargetMode="External"/><Relationship Id="rId442" Type="http://schemas.openxmlformats.org/officeDocument/2006/relationships/hyperlink" Target="https://thehackernews.com/2017/09/hacker-track-car.html" TargetMode="External"/><Relationship Id="rId563" Type="http://schemas.openxmlformats.org/officeDocument/2006/relationships/hyperlink" Target="http://writerspace.com" TargetMode="External"/><Relationship Id="rId320" Type="http://schemas.openxmlformats.org/officeDocument/2006/relationships/hyperlink" Target="https://uk.reuters.com/article/net-us-nasdaq-cybercrime-website/nasdaq-forum-website-hacked-passwords-compromised-idUSBRE96H1F520130718" TargetMode="External"/><Relationship Id="rId441" Type="http://schemas.openxmlformats.org/officeDocument/2006/relationships/hyperlink" Target="https://blog.trendmicro.com/sutter-health-sued-for-1-billion-following-data-breach/" TargetMode="External"/><Relationship Id="rId562" Type="http://schemas.openxmlformats.org/officeDocument/2006/relationships/hyperlink" Target="https://thestack.com/security/2016/06/29/2-million-person-terror-database-leaked-online/" TargetMode="External"/><Relationship Id="rId316" Type="http://schemas.openxmlformats.org/officeDocument/2006/relationships/hyperlink" Target="https://www.theguardian.com/technology/2018/mar/30/hackers-steal-data-150m-myfitnesspal-app-users-under-armour" TargetMode="External"/><Relationship Id="rId437" Type="http://schemas.openxmlformats.org/officeDocument/2006/relationships/hyperlink" Target="http://www.bbc.co.uk/news/technology-15690187" TargetMode="External"/><Relationship Id="rId558" Type="http://schemas.openxmlformats.org/officeDocument/2006/relationships/hyperlink" Target="https://www.theregister.co.uk/2019/02/11/620_million_hacked_accounts_dark_web/" TargetMode="External"/><Relationship Id="rId315" Type="http://schemas.openxmlformats.org/officeDocument/2006/relationships/hyperlink" Target="http://www.bbc.co.uk/news/world-europe-36645519" TargetMode="External"/><Relationship Id="rId436" Type="http://schemas.openxmlformats.org/officeDocument/2006/relationships/hyperlink" Target="https://uk.pcmag.com/news/105457/texas-security-breach-exposes-35m-records" TargetMode="External"/><Relationship Id="rId557" Type="http://schemas.openxmlformats.org/officeDocument/2006/relationships/hyperlink" Target="https://www.bleepingcomputer.com/news/security/western-sydney-university-data-breach-exposed-student-data/" TargetMode="External"/><Relationship Id="rId314" Type="http://schemas.openxmlformats.org/officeDocument/2006/relationships/hyperlink" Target="http://krebsonsecurity.com/2015/05/mobile-spy-software-maker-mspy-hacked-customer-data-leaked/" TargetMode="External"/><Relationship Id="rId435" Type="http://schemas.openxmlformats.org/officeDocument/2006/relationships/hyperlink" Target="https://infowatch.com/analytics/leaks_monitoring/1304" TargetMode="External"/><Relationship Id="rId556" Type="http://schemas.openxmlformats.org/officeDocument/2006/relationships/hyperlink" Target="https://www.forbes.com/sites/moneybuilder/2016/07/08/this-week-in-credit-card-news-wendys-data-breach-affects-1000-stores-card-fraud-dropping/" TargetMode="External"/><Relationship Id="rId313" Type="http://schemas.openxmlformats.org/officeDocument/2006/relationships/hyperlink" Target="https://uk.pcmag.com/security/146322/msi-confirms-breach-as-ransomware-gang-claims-responsibility" TargetMode="External"/><Relationship Id="rId434" Type="http://schemas.openxmlformats.org/officeDocument/2006/relationships/hyperlink" Target="https://www.theguardian.com/world/2021/mar/05/airline-data-hack-hundreds-of-thousands-of-star-alliance-passengers-details-stolen" TargetMode="External"/><Relationship Id="rId555" Type="http://schemas.openxmlformats.org/officeDocument/2006/relationships/hyperlink" Target="https://www.bleepingcomputer.com/news/security/welltok-data-breach-exposes-data-of-85-million-us-patients/" TargetMode="External"/><Relationship Id="rId319" Type="http://schemas.openxmlformats.org/officeDocument/2006/relationships/hyperlink" Target="https://medium.com/@intideceukelaire/this-popular-facebook-app-publicly-exposed-your-data-for-years-12483418eff8" TargetMode="External"/><Relationship Id="rId318" Type="http://schemas.openxmlformats.org/officeDocument/2006/relationships/hyperlink" Target="https://www.vice.com/en_us/article/pgkk8v/427-million-myspace-passwords-emails-data-breach" TargetMode="External"/><Relationship Id="rId439" Type="http://schemas.openxmlformats.org/officeDocument/2006/relationships/hyperlink" Target="https://techcrunch.com/2019/02/14/hacker-strikes-again/" TargetMode="External"/><Relationship Id="rId317" Type="http://schemas.openxmlformats.org/officeDocument/2006/relationships/hyperlink" Target="https://www.bloombergquint.com/technology/hack-of-dna-website-exposes-data-from-92-million-user-accounts" TargetMode="External"/><Relationship Id="rId438" Type="http://schemas.openxmlformats.org/officeDocument/2006/relationships/hyperlink" Target="https://www.nytimes.com/2011/12/26/technology/hackers-breach-the-web-site-of-stratfor-global-intelligence.html?ref=technology&amp;mtrref=bits.blogs.nytimes.com&amp;gwh=A41315BCE5C521B2A0D451BEFF0886E9&amp;gwt=pay" TargetMode="External"/><Relationship Id="rId559" Type="http://schemas.openxmlformats.org/officeDocument/2006/relationships/hyperlink" Target="https://techcrunch.com/2019/04/22/hotspot-password-leak/" TargetMode="External"/><Relationship Id="rId550" Type="http://schemas.openxmlformats.org/officeDocument/2006/relationships/hyperlink" Target="https://www.seattletimes.com/business/breach-at-state-licensing-agency-may-have-exposed-data-from-1000s-of-professionals/" TargetMode="External"/><Relationship Id="rId312" Type="http://schemas.openxmlformats.org/officeDocument/2006/relationships/hyperlink" Target="https://it.slashdot.org/story/23/04/07/152242/msi-confirms-breach-as-ransomware-gang-claims-responsibility?utm_source=feedly1.0mainlinkanon&amp;utm_medium=feed" TargetMode="External"/><Relationship Id="rId433" Type="http://schemas.openxmlformats.org/officeDocument/2006/relationships/hyperlink" Target="http://fortune.com/2014/12/19/staples-cards-affected-breach/" TargetMode="External"/><Relationship Id="rId554" Type="http://schemas.openxmlformats.org/officeDocument/2006/relationships/hyperlink" Target="https://techcrunch.com/2016/10/20/weebly-hacked-43-million-credentials-stolen/" TargetMode="External"/><Relationship Id="rId311" Type="http://schemas.openxmlformats.org/officeDocument/2006/relationships/hyperlink" Target="http://www.theguardian.com/technology/2014/aug/05/mozilla-leak-developer-email-addresses-passwords-firefox" TargetMode="External"/><Relationship Id="rId432" Type="http://schemas.openxmlformats.org/officeDocument/2006/relationships/hyperlink" Target="http://www.sfgate.com/bayarea/article/Stanford-employees-data-on-stolen-laptop-3281185.php" TargetMode="External"/><Relationship Id="rId553" Type="http://schemas.openxmlformats.org/officeDocument/2006/relationships/hyperlink" Target="https://www.bleepingcomputer.com/news/security/webtpa-data-breach-impacts-24-million-insurance-policyholders/" TargetMode="External"/><Relationship Id="rId310" Type="http://schemas.openxmlformats.org/officeDocument/2006/relationships/hyperlink" Target="https://www.housingwire.com/articles/36597-guaranteed-rate-ordered-to-pay-25m-to-mount-olympus-mortgage-for-data-theft/" TargetMode="External"/><Relationship Id="rId431" Type="http://schemas.openxmlformats.org/officeDocument/2006/relationships/hyperlink" Target="https://yro.slashdot.org/story/24/03/13/2053224/stanford-university-failed-to-detect-ransomware-intruders-for-4-months?utm_source=feedly1.0mainlinkanon&amp;utm_medium=feed" TargetMode="External"/><Relationship Id="rId552" Type="http://schemas.openxmlformats.org/officeDocument/2006/relationships/hyperlink" Target="https://krebsonsecurity.com/2020/01/wawa-breach-may-have-compromised-more-than-30-million-payment-cards/" TargetMode="External"/><Relationship Id="rId430" Type="http://schemas.openxmlformats.org/officeDocument/2006/relationships/hyperlink" Target="http://krebsonsecurity.com/2013/09/data-broker-giants-hacked-by-id-theft-service/" TargetMode="External"/><Relationship Id="rId551" Type="http://schemas.openxmlformats.org/officeDocument/2006/relationships/hyperlink" Target="https://www.databreaches.net/waterly-app-potentially-exposed-up-to-1-million-israelis-details-researche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independent.ie/irish-news/thousands-of-drivers-have-sensitive-data-exposed-to-hackers-in-major-it-breach/a1379036136.html" TargetMode="External"/><Relationship Id="rId2" Type="http://schemas.openxmlformats.org/officeDocument/2006/relationships/hyperlink" Target="https://arstechnica.com/information-technology/2023/02/conservative-news-corp-empire-says-hackers-were-inside-its-network-for-2-years/" TargetMode="External"/><Relationship Id="rId3" Type="http://schemas.openxmlformats.org/officeDocument/2006/relationships/hyperlink" Target="https://www.ggrecon.com/articles/huge-activision-leak-details-warzone-2-and-mw2-2023-roadmap/" TargetMode="External"/><Relationship Id="rId4" Type="http://schemas.openxmlformats.org/officeDocument/2006/relationships/hyperlink" Target="https://www.bleepingcomputer.com/news/security/hacker-leaks-alleged-activision-employee-data-on-cybercrime-forum/" TargetMode="External"/><Relationship Id="rId9" Type="http://schemas.openxmlformats.org/officeDocument/2006/relationships/hyperlink" Target="https://yro.slashdot.org/story/23/10/20/0031219/casio-keyed-up-after-data-loss-hits-customers-in-149-countries" TargetMode="External"/><Relationship Id="rId5" Type="http://schemas.openxmlformats.org/officeDocument/2006/relationships/hyperlink" Target="https://it.slashdot.org/story/23/01/30/2159249/jd-sports-admits-intruder-accessed-10-million-customers-data" TargetMode="External"/><Relationship Id="rId6" Type="http://schemas.openxmlformats.org/officeDocument/2006/relationships/hyperlink" Target="https://techcrunch.com/2023/01/14/circleci-hackers-stole-customer-source-code/" TargetMode="External"/><Relationship Id="rId7" Type="http://schemas.openxmlformats.org/officeDocument/2006/relationships/hyperlink" Target="https://www.bleepingcomputer.com/news/security/toyota-car-location-data-of-2-million-customers-exposed-for-ten-years/" TargetMode="External"/><Relationship Id="rId8" Type="http://schemas.openxmlformats.org/officeDocument/2006/relationships/hyperlink" Target="https://www.theguardian.com/technology/2023/aug/08/uk-electoral-commission-registers-targeted-by-hostile-hackers" TargetMode="External"/><Relationship Id="rId31" Type="http://schemas.openxmlformats.org/officeDocument/2006/relationships/hyperlink" Target="https://en.wikipedia.org/wiki/2015_Office_of_Personnel_Management_data_breach" TargetMode="External"/><Relationship Id="rId30" Type="http://schemas.openxmlformats.org/officeDocument/2006/relationships/hyperlink" Target="https://techcrunch.com/2023/06/28/uspto-trademark-data-api-leak" TargetMode="External"/><Relationship Id="rId32" Type="http://schemas.openxmlformats.org/officeDocument/2006/relationships/drawing" Target="../drawings/drawing3.xml"/><Relationship Id="rId20" Type="http://schemas.openxmlformats.org/officeDocument/2006/relationships/hyperlink" Target="https://yro.slashdot.org/story/25/12/01/2158251/koreas-coupang-says-data-breach-exposed-nearly-34-million-customers-personal-information" TargetMode="External"/><Relationship Id="rId22" Type="http://schemas.openxmlformats.org/officeDocument/2006/relationships/hyperlink" Target="http://qz.com" TargetMode="External"/><Relationship Id="rId21" Type="http://schemas.openxmlformats.org/officeDocument/2006/relationships/hyperlink" Target="https://techcrunch.com/2025/12/01/koreas-coupang-says-data-breach-exposed-nearly-34m-customers-personal-information/" TargetMode="External"/><Relationship Id="rId24" Type="http://schemas.openxmlformats.org/officeDocument/2006/relationships/hyperlink" Target="https://www.bleepingcomputer.com/news/security/hca-confirms-breach-after-hacker-steals-data-of-11-million-patients/" TargetMode="External"/><Relationship Id="rId23" Type="http://schemas.openxmlformats.org/officeDocument/2006/relationships/hyperlink" Target="https://qz.com/hackers-heath-data-hospitals-california-ransom-breach-1850942235" TargetMode="External"/><Relationship Id="rId26" Type="http://schemas.openxmlformats.org/officeDocument/2006/relationships/hyperlink" Target="https://en.wikipedia.org/wiki/Health_Service_Executive_ransomware_attack" TargetMode="External"/><Relationship Id="rId25" Type="http://schemas.openxmlformats.org/officeDocument/2006/relationships/hyperlink" Target="https://abcnews.go.com/International/10-days-ransomware-attack-irish-health-system-struggling/story?id=77876092" TargetMode="External"/><Relationship Id="rId28" Type="http://schemas.openxmlformats.org/officeDocument/2006/relationships/hyperlink" Target="https://www.404media.co/hackers-target-kodex-accounts-edrs/" TargetMode="External"/><Relationship Id="rId27" Type="http://schemas.openxmlformats.org/officeDocument/2006/relationships/hyperlink" Target="https://it.slashdot.org/story/23/10/20/002204/hackers-compromise-accounts-of-kodex-company-that-vets-police-data-requests-for-tech-giants" TargetMode="External"/><Relationship Id="rId29" Type="http://schemas.openxmlformats.org/officeDocument/2006/relationships/hyperlink" Target="https://yro.slashdot.org/story/23/06/28/1640236/us-patent-and-trademark-office-notifies-filers-of-years-long-data-leak" TargetMode="External"/><Relationship Id="rId11" Type="http://schemas.openxmlformats.org/officeDocument/2006/relationships/hyperlink" Target="https://www.engadget.com/self-proclaimed-gay-furry-hackers-breach-nuclear-lab-152034192.html" TargetMode="External"/><Relationship Id="rId10" Type="http://schemas.openxmlformats.org/officeDocument/2006/relationships/hyperlink" Target="https://www.bleepingcomputer.com/news/security/casio-discloses-data-breach-impacting-customers-in-149-countries/" TargetMode="External"/><Relationship Id="rId13" Type="http://schemas.openxmlformats.org/officeDocument/2006/relationships/hyperlink" Target="https://it.slashdot.org/story/23/12/26/2127250/cbs-paramount-owner-national-amusements-says-it-was-hacked" TargetMode="External"/><Relationship Id="rId12" Type="http://schemas.openxmlformats.org/officeDocument/2006/relationships/hyperlink" Target="https://www.securityweek.com/22-energy-firms-hacked-in-largest-coordinated-attack-on-denmarks-critical-infrastructure/" TargetMode="External"/><Relationship Id="rId15" Type="http://schemas.openxmlformats.org/officeDocument/2006/relationships/hyperlink" Target="https://en.wikipedia.org/wiki/Vastaamo_data_breach" TargetMode="External"/><Relationship Id="rId14" Type="http://schemas.openxmlformats.org/officeDocument/2006/relationships/hyperlink" Target="https://www.theguardian.com/technology/2023/dec/26/hackers-steal-customer-data-europe-parking-app-easypark-ringgo-parkmobile" TargetMode="External"/><Relationship Id="rId17" Type="http://schemas.openxmlformats.org/officeDocument/2006/relationships/hyperlink" Target="https://techcrunch.com/2025/03/10/what-powerschool-isnt-saying-about-its-massive-student-data-breach/" TargetMode="External"/><Relationship Id="rId16" Type="http://schemas.openxmlformats.org/officeDocument/2006/relationships/hyperlink" Target="https://www.techtarget.com/WhatIs/feature/PowerSchool-data-breach-Explaining-how-it-happened" TargetMode="External"/><Relationship Id="rId19" Type="http://schemas.openxmlformats.org/officeDocument/2006/relationships/hyperlink" Target="https://www.bleepingcomputer.com/news/security/have-i-been-pwned-soundcloud-data-breach-impacts-298-million-accounts/" TargetMode="External"/><Relationship Id="rId18" Type="http://schemas.openxmlformats.org/officeDocument/2006/relationships/hyperlink" Target="https://haveibeenpwned.com/Breach/SoundCloud"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privacy.org.nz/publications/statements-media-releases/new-zealands-biggest-data-breach-shows-retention-is-the-sleeping-giant-of-data-security/" TargetMode="External"/><Relationship Id="rId2" Type="http://schemas.openxmlformats.org/officeDocument/2006/relationships/hyperlink" Target="https://it.slashdot.org/story/23/10/04/1917217/clorox-security-breach-linked-to-group-behind-casino-hacks?utm_source=feedly1.0mainlinkanon&amp;utm_medium=feed" TargetMode="External"/><Relationship Id="rId3" Type="http://schemas.openxmlformats.org/officeDocument/2006/relationships/hyperlink" Target="https://stackdiary.com/the-data-of-760000-discord-io-users-was-put-up-for-sale-on-the-darknet/" TargetMode="External"/><Relationship Id="rId4" Type="http://schemas.openxmlformats.org/officeDocument/2006/relationships/hyperlink" Target="https://www.theverge.com/2023/7/21/23802742/roblox-data-breach-leak-developer-personal-information-exposed" TargetMode="External"/><Relationship Id="rId9" Type="http://schemas.openxmlformats.org/officeDocument/2006/relationships/hyperlink" Target="https://www.bleepingcomputer.com/news/security/t-mobile-discloses-second-data-breach-since-the-start-of-2023/" TargetMode="External"/><Relationship Id="rId5" Type="http://schemas.openxmlformats.org/officeDocument/2006/relationships/hyperlink" Target="https://www.nytimes.com/2023/07/11/us/politics/china-hack-us-government-microsoft.html?smid=nytcore-ios-share" TargetMode="External"/><Relationship Id="rId6" Type="http://schemas.openxmlformats.org/officeDocument/2006/relationships/hyperlink" Target="https://www.bleepingcomputer.com/news/security/microsoft-denies-data-breach-theft-of-30-million-customer-accounts/" TargetMode="External"/><Relationship Id="rId7" Type="http://schemas.openxmlformats.org/officeDocument/2006/relationships/hyperlink" Target="https://www.classaction.org/news/teachers-insurance-and-annuity-association-of-america-hit-with-class-action-over-may-2023-data-breach" TargetMode="External"/><Relationship Id="rId8" Type="http://schemas.openxmlformats.org/officeDocument/2006/relationships/hyperlink" Target="https://www.bleepingcomputer.com/news/security/over-100-000-chatgpt-accounts-stolen-via-info-stealing-malware/" TargetMode="External"/><Relationship Id="rId20" Type="http://schemas.openxmlformats.org/officeDocument/2006/relationships/hyperlink" Target="https://cyberscoop.com/atlassian-hack-employee-data-seigedsec/" TargetMode="External"/><Relationship Id="rId21" Type="http://schemas.openxmlformats.org/officeDocument/2006/relationships/drawing" Target="../drawings/drawing4.xml"/><Relationship Id="rId11" Type="http://schemas.openxmlformats.org/officeDocument/2006/relationships/hyperlink" Target="https://it.slashdot.org/story/23/04/07/152242/msi-confirms-breach-as-ransomware-gang-claims-responsibility?utm_source=feedly1.0mainlinkanon&amp;utm_medium=feed" TargetMode="External"/><Relationship Id="rId10" Type="http://schemas.openxmlformats.org/officeDocument/2006/relationships/hyperlink" Target="https://arstechnica.com/information-technology/2023/05/t-mobile-discloses-2nd-data-breach-of-2023-this-one-leaking-account-pins-and-more/" TargetMode="External"/><Relationship Id="rId13" Type="http://schemas.openxmlformats.org/officeDocument/2006/relationships/hyperlink" Target="https://apps.web.maine.gov/online/aeviewer/ME/40/766753f1-f9c7-4dc5-9a5c-fe0f3ff51c06.shtml" TargetMode="External"/><Relationship Id="rId12" Type="http://schemas.openxmlformats.org/officeDocument/2006/relationships/hyperlink" Target="https://it.slashdot.org/story/23/03/07/1459230/acer-confirms-breach-after-hacker-offers-to-sell-stolen-data?utm_source=feedly1.0mainlinkanon&amp;utm_medium=feed" TargetMode="External"/><Relationship Id="rId15" Type="http://schemas.openxmlformats.org/officeDocument/2006/relationships/hyperlink" Target="https://arstechnica.com/?p=1965985" TargetMode="External"/><Relationship Id="rId14" Type="http://schemas.openxmlformats.org/officeDocument/2006/relationships/hyperlink" Target="https://www.optus.com.au/about/media-centre/media-releases/2022/09/optus-notifies-customers-of-cyberattack" TargetMode="External"/><Relationship Id="rId17" Type="http://schemas.openxmlformats.org/officeDocument/2006/relationships/hyperlink" Target="https://old.reddit.com/r/sysadmin/comments/10kp4ye/lastpass_breach_gets_worse/" TargetMode="External"/><Relationship Id="rId16" Type="http://schemas.openxmlformats.org/officeDocument/2006/relationships/hyperlink" Target="https://techcrunch.com/2023/10/18/hacker-leaks-millions-more-23andme-user-records-on-cybercrime-forum/" TargetMode="External"/><Relationship Id="rId19" Type="http://schemas.openxmlformats.org/officeDocument/2006/relationships/hyperlink" Target="https://arstechnica.com/information-technology/2023/02/godaddy-says-a-multi-year-breach-hijacked-customer-websites-and-accounts/" TargetMode="External"/><Relationship Id="rId18" Type="http://schemas.openxmlformats.org/officeDocument/2006/relationships/hyperlink" Target="https://www.reuters.com/business/mgm-expects-cybersecurity-issue-negatively-impact-third-quarter-earnings-2023-10-0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24.no/internasjonal-oekonomi/i/Bj97B0/dubai-uncovered-data-leak-exposes-how-criminals-officials-and-sanctioned-politicians-poured-money-into-dubai-real-estate" TargetMode="External"/><Relationship Id="rId2" Type="http://schemas.openxmlformats.org/officeDocument/2006/relationships/hyperlink" Target="https://www.bleepingcomputer.com/news/security/heroku-admits-that-customer-credentials-were-stolen-in-cyberattack/" TargetMode="External"/><Relationship Id="rId3" Type="http://schemas.openxmlformats.org/officeDocument/2006/relationships/hyperlink" Target="https://www.bleepingcomputer.com/news/security/hackers-breach-mailchimps-internal-tools-to-target-crypto-customers/" TargetMode="External"/><Relationship Id="rId4" Type="http://schemas.openxmlformats.org/officeDocument/2006/relationships/hyperlink" Target="https://blog.payhere.lk/ensuring-integrity-on-payhere-cybersecurity-incident/" TargetMode="External"/><Relationship Id="rId9" Type="http://schemas.openxmlformats.org/officeDocument/2006/relationships/hyperlink" Target="https://www.bleepingcomputer.com/news/security/flexbooker-discloses-data-breach-over-37-million-accounts-impacted/" TargetMode="External"/><Relationship Id="rId5" Type="http://schemas.openxmlformats.org/officeDocument/2006/relationships/hyperlink" Target="https://twitter.com/haveibeenpwned/status/1504343470072549377?lang=en" TargetMode="External"/><Relationship Id="rId6" Type="http://schemas.openxmlformats.org/officeDocument/2006/relationships/hyperlink" Target="https://www.seattletimes.com/business/breach-at-state-licensing-agency-may-have-exposed-data-from-1000s-of-professionals/" TargetMode="External"/><Relationship Id="rId7" Type="http://schemas.openxmlformats.org/officeDocument/2006/relationships/hyperlink" Target="https://arstechnica.com/information-technology/2022/01/red-cross-hack-compromises-the-personal-data-of-515k-highly-vulnerable-people/" TargetMode="External"/><Relationship Id="rId8" Type="http://schemas.openxmlformats.org/officeDocument/2006/relationships/hyperlink" Target="https://forum.opensubtitles.org/viewtopic.php?t=17685" TargetMode="External"/><Relationship Id="rId20" Type="http://schemas.openxmlformats.org/officeDocument/2006/relationships/hyperlink" Target="https://www.bitdefender.com/blog/hotforsecurity/ubiquiti-users-told-to-change-their-passwords-following-security-breach" TargetMode="External"/><Relationship Id="rId22" Type="http://schemas.openxmlformats.org/officeDocument/2006/relationships/hyperlink" Target="https://twitter.com/BillDemirkapi/status/1508527487655067660/" TargetMode="External"/><Relationship Id="rId21" Type="http://schemas.openxmlformats.org/officeDocument/2006/relationships/hyperlink" Target="https://www.theverge.com/2022/4/20/23034360/okta-lapsus-hack-investigation-breach-25-minutes" TargetMode="External"/><Relationship Id="rId24" Type="http://schemas.openxmlformats.org/officeDocument/2006/relationships/hyperlink" Target="https://www.troyhunt.com/breach-disclosure-blow-by-blow-heres-why-its-so-hard/" TargetMode="External"/><Relationship Id="rId23" Type="http://schemas.openxmlformats.org/officeDocument/2006/relationships/hyperlink" Target="https://www.thequint.com/news/india/royal-enfield-exposed-database-containing-450000-customer-data-cyber-security-expert" TargetMode="External"/><Relationship Id="rId25" Type="http://schemas.openxmlformats.org/officeDocument/2006/relationships/drawing" Target="../drawings/drawing5.xml"/><Relationship Id="rId11" Type="http://schemas.openxmlformats.org/officeDocument/2006/relationships/hyperlink" Target="https://techcrunch.com/2021/11/09/robinhood-data-breach/?guccounter=1" TargetMode="External"/><Relationship Id="rId10" Type="http://schemas.openxmlformats.org/officeDocument/2006/relationships/hyperlink" Target="https://www.theregister.com/2021/12/07/line_pay_leaks_around_133000/" TargetMode="External"/><Relationship Id="rId13" Type="http://schemas.openxmlformats.org/officeDocument/2006/relationships/hyperlink" Target="https://www.riskbasedsecurity.com/2021/12/14/dark-web-roundup-november-2021/" TargetMode="External"/><Relationship Id="rId12" Type="http://schemas.openxmlformats.org/officeDocument/2006/relationships/hyperlink" Target="https://techcrunch.com/2021/11/09/robinhood-data-breach/?guccounter=1" TargetMode="External"/><Relationship Id="rId15" Type="http://schemas.openxmlformats.org/officeDocument/2006/relationships/hyperlink" Target="https://www.techradar.com/news/brewdog-exposes-data-of-200000-customers-and-shareholders" TargetMode="External"/><Relationship Id="rId14" Type="http://schemas.openxmlformats.org/officeDocument/2006/relationships/hyperlink" Target="https://hothardware.com/news/acer-confirms-hacked-again-60gb-stolen-customer-data" TargetMode="External"/><Relationship Id="rId17" Type="http://schemas.openxmlformats.org/officeDocument/2006/relationships/hyperlink" Target="https://techcrunch.com/2021/08/18/t-mobile-says-at-least-47m-current-and-former-customers-affected-by-data-breach/" TargetMode="External"/><Relationship Id="rId16" Type="http://schemas.openxmlformats.org/officeDocument/2006/relationships/hyperlink" Target="https://www.techradar.com/news/brewdog-exposes-data-of-200000-customers-and-shareholders" TargetMode="External"/><Relationship Id="rId19" Type="http://schemas.openxmlformats.org/officeDocument/2006/relationships/hyperlink" Target="https://it.slashdot.org/story/22/03/01/1523248/nvidia-says-employee-company-information-leaked-online-after-cyber-attack?utm_source=feedly1.0mainlinkanon&amp;utm_medium=feed" TargetMode="External"/><Relationship Id="rId18" Type="http://schemas.openxmlformats.org/officeDocument/2006/relationships/hyperlink" Target="https://edition.cnn.com/2022/03/01/tech/nvidia-information-lea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bbc.co.uk/news/technology-58817658" TargetMode="External"/><Relationship Id="rId2" Type="http://schemas.openxmlformats.org/officeDocument/2006/relationships/hyperlink" Target="https://www.vice.com/en/article/z3xpm8/company-that-routes-billions-of-text-messages-quietly-says-it-was-hacked" TargetMode="External"/><Relationship Id="rId3" Type="http://schemas.openxmlformats.org/officeDocument/2006/relationships/hyperlink" Target="https://www.theguardian.com/news/2021/oct/03/pandora-papers-biggest-ever-leak-of-offshore-data-exposes-financial-secrets-of-rich-and-powerful" TargetMode="External"/><Relationship Id="rId4" Type="http://schemas.openxmlformats.org/officeDocument/2006/relationships/hyperlink" Target="https://arstechnica.com/information-technology/2021/10/neiman-marcus-data-breach-impacts-4-6-million-customers/" TargetMode="External"/><Relationship Id="rId9" Type="http://schemas.openxmlformats.org/officeDocument/2006/relationships/hyperlink" Target="https://news.err.ee/1608291072/hacker-downloads-close-to-300-000-personal-id-photos" TargetMode="External"/><Relationship Id="rId5" Type="http://schemas.openxmlformats.org/officeDocument/2006/relationships/hyperlink" Target="https://arstechnica.com/information-technology/2021/09/epik-data-breach-impacts-15-million-users-including-non-customers/" TargetMode="External"/><Relationship Id="rId6" Type="http://schemas.openxmlformats.org/officeDocument/2006/relationships/hyperlink" Target="https://www.scmp.com/news/asia/southeast-asia/article/3149475/details-some-100-million-visitors-thailand-exposed-online" TargetMode="External"/><Relationship Id="rId7" Type="http://schemas.openxmlformats.org/officeDocument/2006/relationships/hyperlink" Target="https://krebsonsecurity.com/2021/08/t-mobile-breach-exposed-ssn-dob-of-40m-people/" TargetMode="External"/><Relationship Id="rId8" Type="http://schemas.openxmlformats.org/officeDocument/2006/relationships/hyperlink" Target="https://www.wired.com/story/microsoft-power-apps-data-exposed/" TargetMode="External"/><Relationship Id="rId20" Type="http://schemas.openxmlformats.org/officeDocument/2006/relationships/drawing" Target="../drawings/drawing6.xml"/><Relationship Id="rId11" Type="http://schemas.openxmlformats.org/officeDocument/2006/relationships/hyperlink" Target="https://9to5mac.com/2021/06/29/linkedin-breach/" TargetMode="External"/><Relationship Id="rId10" Type="http://schemas.openxmlformats.org/officeDocument/2006/relationships/hyperlink" Target="https://www.theregister.com/2021/07/23/guntrader_hacked_111k_users_sql_database/" TargetMode="External"/><Relationship Id="rId13" Type="http://schemas.openxmlformats.org/officeDocument/2006/relationships/hyperlink" Target="https://www.wsj.com/articles/mcdonalds-hit-by-data-breach-in-south-korea-taiwan-11623412800" TargetMode="External"/><Relationship Id="rId12" Type="http://schemas.openxmlformats.org/officeDocument/2006/relationships/hyperlink" Target="https://www.reuters.com/business/autos-transportation/vw-says-data-breach-vendor-impacted-33-million-people-north-america-2021-06-11/" TargetMode="External"/><Relationship Id="rId15" Type="http://schemas.openxmlformats.org/officeDocument/2006/relationships/hyperlink" Target="https://www.japantimes.co.jp/news/2021/05/22/business/tech/omiai-dating-app-hack-japan/" TargetMode="External"/><Relationship Id="rId14" Type="http://schemas.openxmlformats.org/officeDocument/2006/relationships/hyperlink" Target="https://indianexpress.com/article/explained/air-india-sita-data-breach-explained-7325501/" TargetMode="External"/><Relationship Id="rId17" Type="http://schemas.openxmlformats.org/officeDocument/2006/relationships/hyperlink" Target="https://arstechnica.com/gadgets/2021/05/peloton-takes-3-months-to-fix-flaw-that-exposed-users-private-information/" TargetMode="External"/><Relationship Id="rId16" Type="http://schemas.openxmlformats.org/officeDocument/2006/relationships/hyperlink" Target="https://www.safetydetectives.com/blog/amazon-reviews-leak-report/" TargetMode="External"/><Relationship Id="rId19" Type="http://schemas.openxmlformats.org/officeDocument/2006/relationships/hyperlink" Target="https://krebsonsecurity.com/2021/04/parkmobile-breach-exposes-license-plate-data-mobile-numbers-of-21m-users/" TargetMode="External"/><Relationship Id="rId18" Type="http://schemas.openxmlformats.org/officeDocument/2006/relationships/hyperlink" Target="https://techcrunch.com/2021/04/28/digitalocean-customer-billing-data-breach/"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www.facebook.com/notes/facebook-security/important-message-from-facebooks-white-hat-program/10151437074840766" TargetMode="External"/><Relationship Id="rId194" Type="http://schemas.openxmlformats.org/officeDocument/2006/relationships/hyperlink" Target="https://www.poverenik.rs/en/press-releases/1953-povreda-prava-na-zastitu-podataka-o-licnosti-skoro-svih-punoletnih-gradjana-srbije.html" TargetMode="External"/><Relationship Id="rId193" Type="http://schemas.openxmlformats.org/officeDocument/2006/relationships/hyperlink" Target="http://www.geek.com/articles/news/government-servers-in-chile-hacked-6-million-personal-records-made-public-20080514/" TargetMode="External"/><Relationship Id="rId192" Type="http://schemas.openxmlformats.org/officeDocument/2006/relationships/hyperlink" Target="http://news.bbc.co.uk/2/hi/americas/7395295.stm" TargetMode="External"/><Relationship Id="rId191" Type="http://schemas.openxmlformats.org/officeDocument/2006/relationships/hyperlink" Target="http://www.zdnet.com/blog/security/chinese-hacker-arrested-for-leaking-6-million-logins/11064" TargetMode="External"/><Relationship Id="rId187" Type="http://schemas.openxmlformats.org/officeDocument/2006/relationships/hyperlink" Target="http://www.wired.com/threatlevel/2008/07/ameritrade-hack/" TargetMode="External"/><Relationship Id="rId186" Type="http://schemas.openxmlformats.org/officeDocument/2006/relationships/hyperlink" Target="http://www.troyhunt.com/2015/11/when-children-are-breached-inside.html" TargetMode="External"/><Relationship Id="rId185" Type="http://schemas.openxmlformats.org/officeDocument/2006/relationships/hyperlink" Target="http://www.theguardian.com/technology/2015/dec/02/vtech-hack-us-hong-kong-investigate-children-exposed" TargetMode="External"/><Relationship Id="rId184" Type="http://schemas.openxmlformats.org/officeDocument/2006/relationships/hyperlink" Target="http://www.rawstory.com/rs/2012/04/26/texas-attorney-general-exposes-millions-of-voters-social-security-numbers/" TargetMode="External"/><Relationship Id="rId189" Type="http://schemas.openxmlformats.org/officeDocument/2006/relationships/hyperlink" Target="https://www.theverge.com/2017/9/1/16244304/instagram-hack-api-bug-doxagram-selena-gomez" TargetMode="External"/><Relationship Id="rId188" Type="http://schemas.openxmlformats.org/officeDocument/2006/relationships/hyperlink" Target="https://www.cnbc.com/id/20775257" TargetMode="External"/><Relationship Id="rId183" Type="http://schemas.openxmlformats.org/officeDocument/2006/relationships/hyperlink" Target="http://www.digitaltrends.com/computing/clixsense-hacked/" TargetMode="External"/><Relationship Id="rId182" Type="http://schemas.openxmlformats.org/officeDocument/2006/relationships/hyperlink" Target="https://www.bbc.co.uk/news/technology-36168860" TargetMode="External"/><Relationship Id="rId181" Type="http://schemas.openxmlformats.org/officeDocument/2006/relationships/hyperlink" Target="http://www.forbes.com/sites/andygreenberg/2012/07/23/eight-million-passwords-spilled-from-gaming-site-gamigo-months-after-breach/" TargetMode="External"/><Relationship Id="rId180" Type="http://schemas.openxmlformats.org/officeDocument/2006/relationships/hyperlink" Target="http://news.cnet.com/8301-1009_3-57449325-83/what-the-password-leaks-mean-to-you-faq/?tag=mncol;txt" TargetMode="External"/><Relationship Id="rId176" Type="http://schemas.openxmlformats.org/officeDocument/2006/relationships/hyperlink" Target="http://news.cnet.com/8301-1009_3-57482215-83/hackers-accused-of-stealing-data-from-9m-korean-mobile-users/" TargetMode="External"/><Relationship Id="rId297" Type="http://schemas.openxmlformats.org/officeDocument/2006/relationships/hyperlink" Target="http://online.wsj.com/articles/japan-airlines-reports-hacker-attack-1412053828" TargetMode="External"/><Relationship Id="rId175" Type="http://schemas.openxmlformats.org/officeDocument/2006/relationships/hyperlink" Target="http://www.koreatimes.co.kr/www/news/biz/2012/07/113_116143.html" TargetMode="External"/><Relationship Id="rId296" Type="http://schemas.openxmlformats.org/officeDocument/2006/relationships/hyperlink" Target="https://www.thelantern.com/2010/12/hacked-data-breach-costly-for-ohio-state-victims-of-compromised-info/" TargetMode="External"/><Relationship Id="rId174" Type="http://schemas.openxmlformats.org/officeDocument/2006/relationships/hyperlink" Target="http://www.wired.co.uk/news/archive/2012-11/22/greece-id-theft" TargetMode="External"/><Relationship Id="rId295" Type="http://schemas.openxmlformats.org/officeDocument/2006/relationships/hyperlink" Target="https://www.reuters.com/article/us-usa-hackers-utah/european-hackers-suspected-in-utah-medicaid-files-breach-idUSBRE83404G20120405" TargetMode="External"/><Relationship Id="rId173" Type="http://schemas.openxmlformats.org/officeDocument/2006/relationships/hyperlink" Target="https://www.neowin.net/news/microsoft-owned-linkedin-is-sending-emails-to-users-about-a-lyndacom-data-breach" TargetMode="External"/><Relationship Id="rId294" Type="http://schemas.openxmlformats.org/officeDocument/2006/relationships/hyperlink" Target="https://www.vice.com/en_us/article/vv7pgd/nearly-800000-brazzers-porn-site-accounts-exposed-in-forum-hack" TargetMode="External"/><Relationship Id="rId179" Type="http://schemas.openxmlformats.org/officeDocument/2006/relationships/hyperlink" Target="http://www.pcworld.com/article/135117/article.html" TargetMode="External"/><Relationship Id="rId178" Type="http://schemas.openxmlformats.org/officeDocument/2006/relationships/hyperlink" Target="https://www.alphr.com/news/security/368062/nhs-loses-laptop-holding-8m-patient-records" TargetMode="External"/><Relationship Id="rId299" Type="http://schemas.openxmlformats.org/officeDocument/2006/relationships/hyperlink" Target="http://www.flanderstoday.eu/business/nmbs-data-leak-was-breach-privacy" TargetMode="External"/><Relationship Id="rId177" Type="http://schemas.openxmlformats.org/officeDocument/2006/relationships/hyperlink" Target="https://www.comparebusinessproducts.com/fyi/15-most-massive-data-breaches-history" TargetMode="External"/><Relationship Id="rId298" Type="http://schemas.openxmlformats.org/officeDocument/2006/relationships/hyperlink" Target="http://www.jal.co.jp/en/info/other/140924.html" TargetMode="External"/><Relationship Id="rId198" Type="http://schemas.openxmlformats.org/officeDocument/2006/relationships/hyperlink" Target="http://news.trust.org/item/20160729204542-r98dj" TargetMode="External"/><Relationship Id="rId197" Type="http://schemas.openxmlformats.org/officeDocument/2006/relationships/hyperlink" Target="https://www.theguardian.com/technology/2018/nov/21/amazon-hit-with-major-data-breach-days-before-black-friday" TargetMode="External"/><Relationship Id="rId196" Type="http://schemas.openxmlformats.org/officeDocument/2006/relationships/hyperlink" Target="https://www.nytimes.com/2018/04/01/technology/saks-lord-taylor-credit-cards.html" TargetMode="External"/><Relationship Id="rId195" Type="http://schemas.openxmlformats.org/officeDocument/2006/relationships/hyperlink" Target="https://www.zdnet.com/article/hacker-steals-data-of-millions-of-bulgarians-emails-it-to-local-media/" TargetMode="External"/><Relationship Id="rId199" Type="http://schemas.openxmlformats.org/officeDocument/2006/relationships/hyperlink" Target="http://thenextweb.com/google/2014/09/10/4-93-million-gmail-usernames-passwords-published-google-says-evidence-systems-compromised/" TargetMode="External"/><Relationship Id="rId150" Type="http://schemas.openxmlformats.org/officeDocument/2006/relationships/hyperlink" Target="https://www.darkreading.com/attacks-breaches/hacker-steals-data-on-18m-auction-customers-in-south-korea/d/d-id/1129325" TargetMode="External"/><Relationship Id="rId271" Type="http://schemas.openxmlformats.org/officeDocument/2006/relationships/hyperlink" Target="https://thenextweb.com/security/2018/03/14/jewelry-site-accidentally-leaks-personal-details-plaintext-passwords-1-3m-users/" TargetMode="External"/><Relationship Id="rId392" Type="http://schemas.openxmlformats.org/officeDocument/2006/relationships/hyperlink" Target="https://techcrunch.com/2015/02/27/uber-database-breach-exposed-information-of-50000-drivers-company-confirms/" TargetMode="External"/><Relationship Id="rId270" Type="http://schemas.openxmlformats.org/officeDocument/2006/relationships/hyperlink" Target="https://www.nytimes.com/2020/08/01/technology/gedmatch-breach-privacy.html?referringSource=articleShare" TargetMode="External"/><Relationship Id="rId391" Type="http://schemas.openxmlformats.org/officeDocument/2006/relationships/hyperlink" Target="http://news.bbc.co.uk/1/hi/england/gloucestershire/7639006.stm" TargetMode="External"/><Relationship Id="rId390" Type="http://schemas.openxmlformats.org/officeDocument/2006/relationships/hyperlink" Target="https://medium.com/@vijayp/f6bc289679a1" TargetMode="External"/><Relationship Id="rId1" Type="http://schemas.openxmlformats.org/officeDocument/2006/relationships/hyperlink" Target="https://www.abc.net.au/news/2018-10-25/cathay-pacific-data-breach-affects-9.4-million-customers/10429878" TargetMode="External"/><Relationship Id="rId2" Type="http://schemas.openxmlformats.org/officeDocument/2006/relationships/hyperlink" Target="https://techcrunch.com/2019/01/31/houzz-data-breach/" TargetMode="External"/><Relationship Id="rId3" Type="http://schemas.openxmlformats.org/officeDocument/2006/relationships/hyperlink" Target="https://www.theverge.com/2018/12/10/18134541/google-plus-privacy-api-data-leak-developers" TargetMode="External"/><Relationship Id="rId149" Type="http://schemas.openxmlformats.org/officeDocument/2006/relationships/hyperlink" Target="http://auction.co.kr" TargetMode="External"/><Relationship Id="rId4" Type="http://schemas.openxmlformats.org/officeDocument/2006/relationships/hyperlink" Target="https://www.theregister.co.uk/2019/02/11/620_million_hacked_accounts_dark_web/" TargetMode="External"/><Relationship Id="rId148" Type="http://schemas.openxmlformats.org/officeDocument/2006/relationships/hyperlink" Target="http://techcrunch.com/2006/08/06/aol-proudly-releases-massive-amounts-of-user-search-data/" TargetMode="External"/><Relationship Id="rId269" Type="http://schemas.openxmlformats.org/officeDocument/2006/relationships/hyperlink" Target="http://www.theregister.co.uk/2008/12/29/rbs_worldpay_breach/" TargetMode="External"/><Relationship Id="rId9" Type="http://schemas.openxmlformats.org/officeDocument/2006/relationships/hyperlink" Target="https://www.theregister.co.uk/2019/02/11/620_million_hacked_accounts_dark_web/" TargetMode="External"/><Relationship Id="rId143" Type="http://schemas.openxmlformats.org/officeDocument/2006/relationships/hyperlink" Target="https://www.reuters.com/article/us-yahoojapan/yahoo-japan-suspects-22-million-user-ids-leaked-kyodo-idUSBRE94G0P620130517" TargetMode="External"/><Relationship Id="rId264" Type="http://schemas.openxmlformats.org/officeDocument/2006/relationships/hyperlink" Target="http://www.washingtonpost.com/business/technology/faq-the-global-payments-hack/2012/04/02/gIQAIHLLrS_story.html" TargetMode="External"/><Relationship Id="rId385" Type="http://schemas.openxmlformats.org/officeDocument/2006/relationships/hyperlink" Target="http://www1.udel.edu/udaily/2014/jul/resources073013.html" TargetMode="External"/><Relationship Id="rId142" Type="http://schemas.openxmlformats.org/officeDocument/2006/relationships/hyperlink" Target="http://www.forbes.com/sites/andygreenberg/2012/01/15/zappos-says-hackers-accessed-24-million-customers-account-details/" TargetMode="External"/><Relationship Id="rId263" Type="http://schemas.openxmlformats.org/officeDocument/2006/relationships/hyperlink" Target="http://uk.businessinsider.com/snowden-leaks-timeline-2016-9" TargetMode="External"/><Relationship Id="rId384" Type="http://schemas.openxmlformats.org/officeDocument/2006/relationships/hyperlink" Target="http://www.theguardian.com/technology/2014/aug/05/mozilla-leak-developer-email-addresses-passwords-firefox" TargetMode="External"/><Relationship Id="rId141" Type="http://schemas.openxmlformats.org/officeDocument/2006/relationships/hyperlink" Target="https://privacyrights.org/data-breaches/sony-playstation-network-psn-sony-online-entertainment-soe" TargetMode="External"/><Relationship Id="rId262" Type="http://schemas.openxmlformats.org/officeDocument/2006/relationships/hyperlink" Target="https://motherboard.vice.com/en_us/article/pgkp57/a-teen-hacker-is-targeting-russian-sites-as-revenge-for-the-mh17-crash" TargetMode="External"/><Relationship Id="rId383" Type="http://schemas.openxmlformats.org/officeDocument/2006/relationships/hyperlink" Target="https://www.silicon.co.uk/cloud/data-breach-mobile-numbers-malaysia-224079" TargetMode="External"/><Relationship Id="rId140" Type="http://schemas.openxmlformats.org/officeDocument/2006/relationships/hyperlink" Target="http://news.bbc.co.uk/2/hi/uk_news/7103911.stm" TargetMode="External"/><Relationship Id="rId261" Type="http://schemas.openxmlformats.org/officeDocument/2006/relationships/hyperlink" Target="https://www.straitstimes.com/singapore/personal-info-of-15m-singhealth-patients-including-pm-lee-stolen-in-singapores-most" TargetMode="External"/><Relationship Id="rId382" Type="http://schemas.openxmlformats.org/officeDocument/2006/relationships/hyperlink" Target="http://news.bbc.co.uk/1/hi/uk_politics/7608155.stm" TargetMode="External"/><Relationship Id="rId5" Type="http://schemas.openxmlformats.org/officeDocument/2006/relationships/hyperlink" Target="https://techcrunch.com/2019/02/14/hacker-strikes-again/" TargetMode="External"/><Relationship Id="rId147" Type="http://schemas.openxmlformats.org/officeDocument/2006/relationships/hyperlink" Target="http://www.securityweek.com/20-million-people-fall-victim-south-korea-data-leak" TargetMode="External"/><Relationship Id="rId268" Type="http://schemas.openxmlformats.org/officeDocument/2006/relationships/hyperlink" Target="https://www.computerworld.com/article/2521838/security0/health-net-says-1-5m-medical-records-lost-in-data-breach.html" TargetMode="External"/><Relationship Id="rId389" Type="http://schemas.openxmlformats.org/officeDocument/2006/relationships/hyperlink" Target="http://www.pcmag.com/article2/0,2817,2387186,00.asp" TargetMode="External"/><Relationship Id="rId6" Type="http://schemas.openxmlformats.org/officeDocument/2006/relationships/hyperlink" Target="https://www.theregister.co.uk/2019/02/11/620_million_hacked_accounts_dark_web/" TargetMode="External"/><Relationship Id="rId146" Type="http://schemas.openxmlformats.org/officeDocument/2006/relationships/hyperlink" Target="https://www.zdnet.com/article/amca-data-breach-has-now-gone-over-the-20-million-mark/" TargetMode="External"/><Relationship Id="rId267" Type="http://schemas.openxmlformats.org/officeDocument/2006/relationships/hyperlink" Target="http://www.mediaite.com/online/gawker-medias-entire-commenter-database-appears-to-have-been-hacked/" TargetMode="External"/><Relationship Id="rId388" Type="http://schemas.openxmlformats.org/officeDocument/2006/relationships/hyperlink" Target="http://writerspace.com" TargetMode="External"/><Relationship Id="rId7" Type="http://schemas.openxmlformats.org/officeDocument/2006/relationships/hyperlink" Target="https://www.theregister.co.uk/2019/02/11/620_million_hacked_accounts_dark_web/" TargetMode="External"/><Relationship Id="rId145" Type="http://schemas.openxmlformats.org/officeDocument/2006/relationships/hyperlink" Target="http://www.reuters.com/article/2015/07/09/us-cybersecurity-usa-idUSKCN0PJ2M420150709?feedType=RSS&amp;feedName=topNews&amp;utm_source=twitter" TargetMode="External"/><Relationship Id="rId266" Type="http://schemas.openxmlformats.org/officeDocument/2006/relationships/hyperlink" Target="http://www.guardian.co.uk/technology/2010/dec/13/gawker-hackers-passwords-twitter-wikileaks?INTCMP=SRCH" TargetMode="External"/><Relationship Id="rId387" Type="http://schemas.openxmlformats.org/officeDocument/2006/relationships/hyperlink" Target="http://www.sfgate.com/bayarea/article/Stanford-employees-data-on-stolen-laptop-3281185.php" TargetMode="External"/><Relationship Id="rId8" Type="http://schemas.openxmlformats.org/officeDocument/2006/relationships/hyperlink" Target="https://www.theregister.co.uk/2019/02/11/620_million_hacked_accounts_dark_web/" TargetMode="External"/><Relationship Id="rId144" Type="http://schemas.openxmlformats.org/officeDocument/2006/relationships/hyperlink" Target="http://www.bbc.co.uk/news/world-us-canada-33120405" TargetMode="External"/><Relationship Id="rId265" Type="http://schemas.openxmlformats.org/officeDocument/2006/relationships/hyperlink" Target="http://gawker.com" TargetMode="External"/><Relationship Id="rId386" Type="http://schemas.openxmlformats.org/officeDocument/2006/relationships/hyperlink" Target="https://www.zdnet.com/article/university-of-wisconsin-hacked-75000-social-security-numbers-student-names-exposed/" TargetMode="External"/><Relationship Id="rId260" Type="http://schemas.openxmlformats.org/officeDocument/2006/relationships/hyperlink" Target="http://news.bbc.co.uk/1/hi/6956349.stm" TargetMode="External"/><Relationship Id="rId381" Type="http://schemas.openxmlformats.org/officeDocument/2006/relationships/hyperlink" Target="https://www.chron.com/news/houston-texas/article/89-000-lottery-winners-affected-by-security-breach-1603025.php" TargetMode="External"/><Relationship Id="rId380" Type="http://schemas.openxmlformats.org/officeDocument/2006/relationships/hyperlink" Target="https://www.hcanews.com/news/update-94k-hit-in-cms-data-breach" TargetMode="External"/><Relationship Id="rId139" Type="http://schemas.openxmlformats.org/officeDocument/2006/relationships/hyperlink" Target="http://www.zdnet.com/article/over-25-million-accounts-stolen-after-mail-ru-forums-raided-by-hackers/" TargetMode="External"/><Relationship Id="rId138" Type="http://schemas.openxmlformats.org/officeDocument/2006/relationships/hyperlink" Target="https://www.va.gov/oig/pubs/VAOIG-06-02238-163.pdf" TargetMode="External"/><Relationship Id="rId259" Type="http://schemas.openxmlformats.org/officeDocument/2006/relationships/hyperlink" Target="http://monster.com" TargetMode="External"/><Relationship Id="rId137" Type="http://schemas.openxmlformats.org/officeDocument/2006/relationships/hyperlink" Target="http://gcn.com/Articles/2009/02/02/VA-data-breach-suit-settlement.aspx" TargetMode="External"/><Relationship Id="rId258" Type="http://schemas.openxmlformats.org/officeDocument/2006/relationships/hyperlink" Target="https://www.law360.com/articles/277961/nemours-says-data-breach-affected-1-6m-patients" TargetMode="External"/><Relationship Id="rId379" Type="http://schemas.openxmlformats.org/officeDocument/2006/relationships/hyperlink" Target="https://infowatch.com/analytics/leaks_monitoring/1304" TargetMode="External"/><Relationship Id="rId132" Type="http://schemas.openxmlformats.org/officeDocument/2006/relationships/hyperlink" Target="http://www.zdnet.com/article/popular-virtual-keyboard-leaks-31-million-user-data/" TargetMode="External"/><Relationship Id="rId253" Type="http://schemas.openxmlformats.org/officeDocument/2006/relationships/hyperlink" Target="http://www.bgr.in/news/indian-hacker-group-leaks-data-of-1-7-million-snapchat-users-after-ceos-poor-country-comments-report/" TargetMode="External"/><Relationship Id="rId374" Type="http://schemas.openxmlformats.org/officeDocument/2006/relationships/hyperlink" Target="https://www.washingtonpost.com/technology/2019/06/10/us-customs-border-protection-says-photos-travelers-into-out-country-were-recently-taken-data-breach/?utm_term=.69c66aaf152f" TargetMode="External"/><Relationship Id="rId131" Type="http://schemas.openxmlformats.org/officeDocument/2006/relationships/hyperlink" Target="http://techcrunch.com/2009/12/14/rockyou-hack-security-myspace-facebook-passwords/" TargetMode="External"/><Relationship Id="rId252" Type="http://schemas.openxmlformats.org/officeDocument/2006/relationships/hyperlink" Target="https://www.databreaches.net/nyseg-and-rge-notify-customers-of-unauthorized-access-to-customer-data/" TargetMode="External"/><Relationship Id="rId373" Type="http://schemas.openxmlformats.org/officeDocument/2006/relationships/hyperlink" Target="https://www.databreaches.net/more-breaches-you-may-not-have-known-about/" TargetMode="External"/><Relationship Id="rId130" Type="http://schemas.openxmlformats.org/officeDocument/2006/relationships/hyperlink" Target="https://www.cnet.com/news/yahoo-says-forged-cookie-attack-accessed-about-32m-accounts/" TargetMode="External"/><Relationship Id="rId251" Type="http://schemas.openxmlformats.org/officeDocument/2006/relationships/hyperlink" Target="https://spectrum.ieee.org/riskfactor/computing/it/health-net-data-breaches-affects-19-million-people" TargetMode="External"/><Relationship Id="rId372" Type="http://schemas.openxmlformats.org/officeDocument/2006/relationships/hyperlink" Target="http://www.databreaches.net/?p=12611" TargetMode="External"/><Relationship Id="rId250" Type="http://schemas.openxmlformats.org/officeDocument/2006/relationships/hyperlink" Target="http://www.cbc.ca/beta/news/technology/bell-data-breach-customer-names-phone-numbers-emails-leak-1.4116608" TargetMode="External"/><Relationship Id="rId371" Type="http://schemas.openxmlformats.org/officeDocument/2006/relationships/hyperlink" Target="https://www.esecurityplanet.com/network-security/central-hudson-gas-and-electric-hacked.html" TargetMode="External"/><Relationship Id="rId136" Type="http://schemas.openxmlformats.org/officeDocument/2006/relationships/hyperlink" Target="https://www.theverge.com/2018/6/7/17438516/ticketfly-hack-personal-information-26-million-customers-leaked" TargetMode="External"/><Relationship Id="rId257" Type="http://schemas.openxmlformats.org/officeDocument/2006/relationships/hyperlink" Target="https://www.bleepingcomputer.com/news/security/paypal-says-1-6-million-customer-details-stolen-in-breach-at-canadian-subsidiary/" TargetMode="External"/><Relationship Id="rId378" Type="http://schemas.openxmlformats.org/officeDocument/2006/relationships/hyperlink" Target="https://www.databreaches.net/stolen-florida-dept-of-juvenile-justice-device-contained-records-of-more-than-100000-youth-and-employees/" TargetMode="External"/><Relationship Id="rId135" Type="http://schemas.openxmlformats.org/officeDocument/2006/relationships/hyperlink" Target="https://www.theguardian.com/technology/2019/aug/14/major-breach-found-in-biometrics-system-used-by-banks-uk-police-and-defence-firms" TargetMode="External"/><Relationship Id="rId256" Type="http://schemas.openxmlformats.org/officeDocument/2006/relationships/hyperlink" Target="http://news.bbc.co.uk/1/hi/uk_politics/7667507.stm" TargetMode="External"/><Relationship Id="rId377" Type="http://schemas.openxmlformats.org/officeDocument/2006/relationships/hyperlink" Target="https://www.healthcareitnews.com/news/walgreens-company-announces-data-breach" TargetMode="External"/><Relationship Id="rId134" Type="http://schemas.openxmlformats.org/officeDocument/2006/relationships/hyperlink" Target="https://newsroom.fb.com/news/2018/10/update-on-security-issue/" TargetMode="External"/><Relationship Id="rId255" Type="http://schemas.openxmlformats.org/officeDocument/2006/relationships/hyperlink" Target="https://www.inforisktoday.com/new-york-breach-affects-17-million-a-3349" TargetMode="External"/><Relationship Id="rId376" Type="http://schemas.openxmlformats.org/officeDocument/2006/relationships/hyperlink" Target="http://money.cnn.com/2015/05/26/pf/taxes/irs-website-data-hack/index.html" TargetMode="External"/><Relationship Id="rId133" Type="http://schemas.openxmlformats.org/officeDocument/2006/relationships/hyperlink" Target="https://www.businessinsider.com.au/facebook-thinks-spammers-responsible-hack-stole-info-from-29-million-users-2018-10?r=US&amp;IR=T" TargetMode="External"/><Relationship Id="rId254" Type="http://schemas.openxmlformats.org/officeDocument/2006/relationships/hyperlink" Target="https://blog.imgur.com/2017/11/24/notice-of-data-breach/" TargetMode="External"/><Relationship Id="rId375" Type="http://schemas.openxmlformats.org/officeDocument/2006/relationships/hyperlink" Target="https://www.zdnet.com/article/dell-announces-security-breach/" TargetMode="External"/><Relationship Id="rId172" Type="http://schemas.openxmlformats.org/officeDocument/2006/relationships/hyperlink" Target="http://lynda.com" TargetMode="External"/><Relationship Id="rId293" Type="http://schemas.openxmlformats.org/officeDocument/2006/relationships/hyperlink" Target="http://www.pcworld.com/article/137865/article.html" TargetMode="External"/><Relationship Id="rId171" Type="http://schemas.openxmlformats.org/officeDocument/2006/relationships/hyperlink" Target="http://www.ehackingnews.com/2011/12/hackers-compromised-38-million-chinese.html" TargetMode="External"/><Relationship Id="rId292" Type="http://schemas.openxmlformats.org/officeDocument/2006/relationships/hyperlink" Target="https://www.infosecurity-magazine.com/news/south-shore-hospital-data-breach-may-affect-up-to/" TargetMode="External"/><Relationship Id="rId170" Type="http://schemas.openxmlformats.org/officeDocument/2006/relationships/hyperlink" Target="http://www.buzzfeed.com/tomgara/sony-hack" TargetMode="External"/><Relationship Id="rId291" Type="http://schemas.openxmlformats.org/officeDocument/2006/relationships/hyperlink" Target="https://www.businessinsider.com/california-child-support-data-breach-2012-4?IR=T" TargetMode="External"/><Relationship Id="rId290" Type="http://schemas.openxmlformats.org/officeDocument/2006/relationships/hyperlink" Target="http://www.wired.co.uk/news/archive/2013-11/13/mac-rumours-forums-hacked" TargetMode="External"/><Relationship Id="rId165" Type="http://schemas.openxmlformats.org/officeDocument/2006/relationships/hyperlink" Target="http://english.donga.com/srv/service.php3?biid=2008090631088" TargetMode="External"/><Relationship Id="rId286" Type="http://schemas.openxmlformats.org/officeDocument/2006/relationships/hyperlink" Target="https://www.computerworld.com/article/2536195/programmer-who-stole-drive-containing-1-million-bank-records-gets-42-months.html" TargetMode="External"/><Relationship Id="rId164" Type="http://schemas.openxmlformats.org/officeDocument/2006/relationships/hyperlink" Target="http://panamapapers.sueddeutsche.de/articles/56febff0a1bb8d3c3495adf4/" TargetMode="External"/><Relationship Id="rId285" Type="http://schemas.openxmlformats.org/officeDocument/2006/relationships/hyperlink" Target="https://www.databreaches.net/or-deputies-man-used-dmv-database-in-id-theft/" TargetMode="External"/><Relationship Id="rId163" Type="http://schemas.openxmlformats.org/officeDocument/2006/relationships/hyperlink" Target="http://news.cnet.com/8301-1009_3-57509595-83/udid-leak-source-idd-bluetoad-mobile-firm-says-it-was-hacked/" TargetMode="External"/><Relationship Id="rId284" Type="http://schemas.openxmlformats.org/officeDocument/2006/relationships/hyperlink" Target="http://mashable.com/2011/06/02/sony-pictures-hacked/" TargetMode="External"/><Relationship Id="rId162" Type="http://schemas.openxmlformats.org/officeDocument/2006/relationships/hyperlink" Target="http://news.cnet.com/8301-1009_3-57505330-83/antisec-claims-to-have-snatched-12m-apple-device-ids-from-fbi/" TargetMode="External"/><Relationship Id="rId283" Type="http://schemas.openxmlformats.org/officeDocument/2006/relationships/hyperlink" Target="http://www.reuters.com/article/2013/09/26/us-cyberattacks-databrokers-idUSBRE98P03220130926" TargetMode="External"/><Relationship Id="rId169" Type="http://schemas.openxmlformats.org/officeDocument/2006/relationships/hyperlink" Target="http://blog.twitch.tv/2015/03/important-notice-about-your-twitch-account/" TargetMode="External"/><Relationship Id="rId168" Type="http://schemas.openxmlformats.org/officeDocument/2006/relationships/hyperlink" Target="http://www.nytimes.com/2016/07/29/world/asia/north-korea-hacking-interpark.html" TargetMode="External"/><Relationship Id="rId289" Type="http://schemas.openxmlformats.org/officeDocument/2006/relationships/hyperlink" Target="http://macrumours.com" TargetMode="External"/><Relationship Id="rId167" Type="http://schemas.openxmlformats.org/officeDocument/2006/relationships/hyperlink" Target="https://www.bbc.co.uk/news/business-45016906" TargetMode="External"/><Relationship Id="rId288" Type="http://schemas.openxmlformats.org/officeDocument/2006/relationships/hyperlink" Target="https://www.usnews.com/news/business/articles/2018-03-20/orbitz-legacy-travel-booking-platform-likely-hacked" TargetMode="External"/><Relationship Id="rId166" Type="http://schemas.openxmlformats.org/officeDocument/2006/relationships/hyperlink" Target="https://www.computerweekly.com/news/2240242508/Premera-hack-exposes-11-million-financial-and-medical-records" TargetMode="External"/><Relationship Id="rId287" Type="http://schemas.openxmlformats.org/officeDocument/2006/relationships/hyperlink" Target="https://www.nytimes.com/2011/12/26/technology/hackers-breach-the-web-site-of-stratfor-global-intelligence.html?ref=technology&amp;mtrref=bits.blogs.nytimes.com&amp;gwh=A41315BCE5C521B2A0D451BEFF0886E9&amp;gwt=pay" TargetMode="External"/><Relationship Id="rId161" Type="http://schemas.openxmlformats.org/officeDocument/2006/relationships/hyperlink" Target="https://www.reddit.com/r/apple/comments/3wq9fc/massive_data_breach/" TargetMode="External"/><Relationship Id="rId282" Type="http://schemas.openxmlformats.org/officeDocument/2006/relationships/hyperlink" Target="http://www.usatoday.com/story/cybertruth/2013/09/26/lexisnexis-dunn--bradstreet-altegrity-hacked/2878769/" TargetMode="External"/><Relationship Id="rId160" Type="http://schemas.openxmlformats.org/officeDocument/2006/relationships/hyperlink" Target="https://www.bbc.co.uk/news/technology-35100330" TargetMode="External"/><Relationship Id="rId281" Type="http://schemas.openxmlformats.org/officeDocument/2006/relationships/hyperlink" Target="http://arstechnica.com/security/2013/05/drupal-org-resets-login-credentials-after-hack-exposes-password-data/" TargetMode="External"/><Relationship Id="rId280" Type="http://schemas.openxmlformats.org/officeDocument/2006/relationships/hyperlink" Target="https://www.databreaches.net/waterly-app-potentially-exposed-up-to-1-million-israelis-details-researcher/" TargetMode="External"/><Relationship Id="rId159" Type="http://schemas.openxmlformats.org/officeDocument/2006/relationships/hyperlink" Target="https://uk.reuters.com/article/us-korea-hacking-nexon/data-of-13-million-south-korean-online-game-subscribers-hacked-idUSTRE7AP09H20111126" TargetMode="External"/><Relationship Id="rId154" Type="http://schemas.openxmlformats.org/officeDocument/2006/relationships/hyperlink" Target="http://venturebeat.com/2016/08/02/hackers-break-into-telegram-revealing-15-million-users-phone-numbers/" TargetMode="External"/><Relationship Id="rId275" Type="http://schemas.openxmlformats.org/officeDocument/2006/relationships/hyperlink" Target="http://fortune.com/2014/12/19/staples-cards-affected-breach/" TargetMode="External"/><Relationship Id="rId396" Type="http://schemas.openxmlformats.org/officeDocument/2006/relationships/hyperlink" Target="https://torrentfreak.com/utorrent-forums-hacked-passwords-compromised-160608/" TargetMode="External"/><Relationship Id="rId153" Type="http://schemas.openxmlformats.org/officeDocument/2006/relationships/hyperlink" Target="https://www.dw.com/en/telekom-says-data-from-17-million-customers-was-stolen/a-3690132" TargetMode="External"/><Relationship Id="rId274" Type="http://schemas.openxmlformats.org/officeDocument/2006/relationships/hyperlink" Target="https://www.databreachtoday.com/avmed-sued-over-laptop-breach-a-3111" TargetMode="External"/><Relationship Id="rId395" Type="http://schemas.openxmlformats.org/officeDocument/2006/relationships/hyperlink" Target="https://www.dailydot.com/debug/invest-bank-hacker-buba/" TargetMode="External"/><Relationship Id="rId152" Type="http://schemas.openxmlformats.org/officeDocument/2006/relationships/hyperlink" Target="https://www.hackread.com/zomato-hacked-17-million-accounts-sold-on-dark-web/" TargetMode="External"/><Relationship Id="rId273" Type="http://schemas.openxmlformats.org/officeDocument/2006/relationships/hyperlink" Target="http://www.pcmag.com/article2/0,2817,2388200,00.asp" TargetMode="External"/><Relationship Id="rId394" Type="http://schemas.openxmlformats.org/officeDocument/2006/relationships/hyperlink" Target="https://www.bbc.co.uk/news/technology-44628874" TargetMode="External"/><Relationship Id="rId151" Type="http://schemas.openxmlformats.org/officeDocument/2006/relationships/hyperlink" Target="http://www.zdnet.com/article/disqus-confirms-comments-tool-hacked/" TargetMode="External"/><Relationship Id="rId272" Type="http://schemas.openxmlformats.org/officeDocument/2006/relationships/hyperlink" Target="http://www.zdnet.com/blog/gamification/sega-1-3-million-customer-records-hacked-lulzsec-promises-retribution/481" TargetMode="External"/><Relationship Id="rId393" Type="http://schemas.openxmlformats.org/officeDocument/2006/relationships/hyperlink" Target="http://www.nbcnews.com/id/44235153/ns/technology_and_science-security/t/data-breach-hits-yale-university/" TargetMode="External"/><Relationship Id="rId158" Type="http://schemas.openxmlformats.org/officeDocument/2006/relationships/hyperlink" Target="https://www.forbes.com/sites/erikkain/2012/08/09/its-official-blizzard-hacked-account-information-stolen/" TargetMode="External"/><Relationship Id="rId279" Type="http://schemas.openxmlformats.org/officeDocument/2006/relationships/hyperlink" Target="https://www.databreaches.net/bcbs-of-tenn-breach-lessons-learned/" TargetMode="External"/><Relationship Id="rId157" Type="http://schemas.openxmlformats.org/officeDocument/2006/relationships/hyperlink" Target="https://www.khaleejtimes.com/nation/dubai//dubais-careem-admits-to-data-breach-of-14-million-users" TargetMode="External"/><Relationship Id="rId278" Type="http://schemas.openxmlformats.org/officeDocument/2006/relationships/hyperlink" Target="http://krebsonsecurity.com/2014/08/stealthy-razor-thin-atm-insert-skimmers/" TargetMode="External"/><Relationship Id="rId399" Type="http://schemas.openxmlformats.org/officeDocument/2006/relationships/hyperlink" Target="https://www.bbc.co.uk/news/technology-46261209" TargetMode="External"/><Relationship Id="rId156" Type="http://schemas.openxmlformats.org/officeDocument/2006/relationships/hyperlink" Target="https://techcrunch.com/2018/08/23/millions-of-texas-voter-records-exposed-online/" TargetMode="External"/><Relationship Id="rId277" Type="http://schemas.openxmlformats.org/officeDocument/2006/relationships/hyperlink" Target="http://www.nytimes.com/2014/01/24/business/neiman-marcus-breach-affected-1-1-million-cards.html" TargetMode="External"/><Relationship Id="rId398" Type="http://schemas.openxmlformats.org/officeDocument/2006/relationships/hyperlink" Target="https://abcnews.go.com/Business/morgan-stanley-smith-barney-breach-losing-client-data/story?id=14008632" TargetMode="External"/><Relationship Id="rId155" Type="http://schemas.openxmlformats.org/officeDocument/2006/relationships/hyperlink" Target="http://www.reuters.com/article/2015/10/02/us-tmobile-dataprotection-idUSKCN0RV5PL20151002" TargetMode="External"/><Relationship Id="rId276" Type="http://schemas.openxmlformats.org/officeDocument/2006/relationships/hyperlink" Target="https://krebsonsecurity.com/2015/05/carefirst-blue-cross-breach-hits-1-1m/" TargetMode="External"/><Relationship Id="rId397" Type="http://schemas.openxmlformats.org/officeDocument/2006/relationships/hyperlink" Target="http://newsroom.questdiagnostics.com/2016-12-12-Quest-Diagnostics-Provides-Notice-of-Data-Security-Incident" TargetMode="External"/><Relationship Id="rId40" Type="http://schemas.openxmlformats.org/officeDocument/2006/relationships/hyperlink" Target="https://www.fastcompany.com/90399734/the-phone-numbers-of-419-million-facebook-accounts-have-been-leaked" TargetMode="External"/><Relationship Id="rId42" Type="http://schemas.openxmlformats.org/officeDocument/2006/relationships/hyperlink" Target="https://www.nytimes.com/2018/11/30/business/marriott-data-breach.html" TargetMode="External"/><Relationship Id="rId41" Type="http://schemas.openxmlformats.org/officeDocument/2006/relationships/hyperlink" Target="http://www.zdnet.com/article/adultfriendfinder-network-hack-exposes-secrets-of-412-million-users/" TargetMode="External"/><Relationship Id="rId44" Type="http://schemas.openxmlformats.org/officeDocument/2006/relationships/hyperlink" Target="https://www.dataviper.io/blog/2019/pdl-data-exposure-billion-people/" TargetMode="External"/><Relationship Id="rId43" Type="http://schemas.openxmlformats.org/officeDocument/2006/relationships/hyperlink" Target="https://www.cnet.com/news/marriott-says-hackers-stole-more-than-5-million-passport-numbers/" TargetMode="External"/><Relationship Id="rId46" Type="http://schemas.openxmlformats.org/officeDocument/2006/relationships/hyperlink" Target="https://www.reuters.com/article/us-twitter-passwords/twitter-urges-all-users-to-change-passwords-after-glitch-idUSKBN1I42JG" TargetMode="External"/><Relationship Id="rId45" Type="http://schemas.openxmlformats.org/officeDocument/2006/relationships/hyperlink" Target="https://www.theguardian.com/technology/2017/mar/06/email-addresses-spam-leak-river-city-media" TargetMode="External"/><Relationship Id="rId48" Type="http://schemas.openxmlformats.org/officeDocument/2006/relationships/hyperlink" Target="https://www.forbes.com/sites/daveywinder/2020/01/22/microsoft-security-shocker-as-250-million-customer-records-exposed-online/" TargetMode="External"/><Relationship Id="rId47" Type="http://schemas.openxmlformats.org/officeDocument/2006/relationships/hyperlink" Target="https://www.bleepingcomputer.com/news/security/over-275-million-records-exposed-by-unsecured-mongodb-database/" TargetMode="External"/><Relationship Id="rId49" Type="http://schemas.openxmlformats.org/officeDocument/2006/relationships/hyperlink" Target="https://blog.hackenproof.com/industry-news/202-million-private-resumes-exposed" TargetMode="External"/><Relationship Id="rId31" Type="http://schemas.openxmlformats.org/officeDocument/2006/relationships/hyperlink" Target="https://www.theregister.co.uk/2019/02/11/620_million_hacked_accounts_dark_web/" TargetMode="External"/><Relationship Id="rId30" Type="http://schemas.openxmlformats.org/officeDocument/2006/relationships/hyperlink" Target="https://techcrunch.com/2019/02/14/hacker-strikes-again/" TargetMode="External"/><Relationship Id="rId33" Type="http://schemas.openxmlformats.org/officeDocument/2006/relationships/hyperlink" Target="https://www.theregister.co.uk/2019/02/11/620_million_hacked_accounts_dark_web/" TargetMode="External"/><Relationship Id="rId32" Type="http://schemas.openxmlformats.org/officeDocument/2006/relationships/hyperlink" Target="https://techcrunch.com/2019/02/14/hacker-strikes-again/" TargetMode="External"/><Relationship Id="rId35" Type="http://schemas.openxmlformats.org/officeDocument/2006/relationships/hyperlink" Target="http://www.zdnet.com/article/another-data-leak-hits-india-aadhaar-biometric-database/" TargetMode="External"/><Relationship Id="rId34" Type="http://schemas.openxmlformats.org/officeDocument/2006/relationships/hyperlink" Target="https://techcrunch.com/2019/02/14/hacker-strikes-again/" TargetMode="External"/><Relationship Id="rId37" Type="http://schemas.openxmlformats.org/officeDocument/2006/relationships/hyperlink" Target="https://www.bbc.co.uk/news/business-41493494" TargetMode="External"/><Relationship Id="rId36" Type="http://schemas.openxmlformats.org/officeDocument/2006/relationships/hyperlink" Target="http://www.nytimes.com/2016/12/14/technology/yahoo-hack.html?action=Click&amp;contentCollection=BreakingNews&amp;contentID=64651831&amp;pgtype=Homepage&amp;_r=0" TargetMode="External"/><Relationship Id="rId39" Type="http://schemas.openxmlformats.org/officeDocument/2006/relationships/hyperlink" Target="https://www.cnbc.com/2016/09/22/yahoo-data-breach-is-among-the-biggest-in-history.html" TargetMode="External"/><Relationship Id="rId38" Type="http://schemas.openxmlformats.org/officeDocument/2006/relationships/hyperlink" Target="https://www.theguardian.com/technology/2017/aug/30/spambot-leaks-700m-email-addresses-huge-data-breach-passwords" TargetMode="External"/><Relationship Id="rId20" Type="http://schemas.openxmlformats.org/officeDocument/2006/relationships/hyperlink" Target="https://techcrunch.com/2019/02/14/hacker-strikes-again/" TargetMode="External"/><Relationship Id="rId22" Type="http://schemas.openxmlformats.org/officeDocument/2006/relationships/hyperlink" Target="https://www.bleepingcomputer.com/news/security/toyota-security-breach-exposes-personal-info-of-31-million-clients/" TargetMode="External"/><Relationship Id="rId21" Type="http://schemas.openxmlformats.org/officeDocument/2006/relationships/hyperlink" Target="https://techcrunch.com/2019/02/14/hacker-strikes-again/" TargetMode="External"/><Relationship Id="rId24" Type="http://schemas.openxmlformats.org/officeDocument/2006/relationships/hyperlink" Target="https://computersweden.idg.se/2.2683/1.714787/inspelade-samtal-1177-vardguiden-oskyddade-internet" TargetMode="External"/><Relationship Id="rId23" Type="http://schemas.openxmlformats.org/officeDocument/2006/relationships/hyperlink" Target="https://global.toyota/jp/newsroom/corporate/27465617.html" TargetMode="External"/><Relationship Id="rId403" Type="http://schemas.openxmlformats.org/officeDocument/2006/relationships/drawing" Target="../drawings/drawing7.xml"/><Relationship Id="rId402" Type="http://schemas.openxmlformats.org/officeDocument/2006/relationships/hyperlink" Target="http://www.theguardian.com/world/2015/mar/30/personal-details-of-world-leaders-accidentally-revealed-by-g20-organisers" TargetMode="External"/><Relationship Id="rId401" Type="http://schemas.openxmlformats.org/officeDocument/2006/relationships/hyperlink" Target="https://www.forbes.com/sites/moneybuilder/2016/07/08/this-week-in-credit-card-news-wendys-data-breach-affects-1000-stores-card-fraud-dropping/" TargetMode="External"/><Relationship Id="rId26" Type="http://schemas.openxmlformats.org/officeDocument/2006/relationships/hyperlink" Target="https://www.zdnet.com/article/data-of-2-4-million-blur-password-manager-users-left-exposed-online/" TargetMode="External"/><Relationship Id="rId25" Type="http://schemas.openxmlformats.org/officeDocument/2006/relationships/hyperlink" Target="https://thenextweb.com/eu/2019/02/18/2-7-million-patient-calls-to-swedish-healthcare-hotline-left-unprotected-online/" TargetMode="External"/><Relationship Id="rId28" Type="http://schemas.openxmlformats.org/officeDocument/2006/relationships/hyperlink" Target="https://www.theguardian.com/world/2019/mar/11/china-database-lists-breedready-status-of-18-million-women" TargetMode="External"/><Relationship Id="rId27" Type="http://schemas.openxmlformats.org/officeDocument/2006/relationships/hyperlink" Target="https://techcrunch.com/2019/04/22/hotspot-password-leak/" TargetMode="External"/><Relationship Id="rId400" Type="http://schemas.openxmlformats.org/officeDocument/2006/relationships/hyperlink" Target="http://www.theguardian.com/business/2015/mar/29/british-airways-frequent-flyer-accounts-hacked" TargetMode="External"/><Relationship Id="rId29" Type="http://schemas.openxmlformats.org/officeDocument/2006/relationships/hyperlink" Target="http://ge.tt" TargetMode="External"/><Relationship Id="rId11" Type="http://schemas.openxmlformats.org/officeDocument/2006/relationships/hyperlink" Target="https://techcrunch.com/2019/02/14/hacker-strikes-again/" TargetMode="External"/><Relationship Id="rId10" Type="http://schemas.openxmlformats.org/officeDocument/2006/relationships/hyperlink" Target="https://www.theregister.co.uk/2019/02/11/620_million_hacked_accounts_dark_web/" TargetMode="External"/><Relationship Id="rId13" Type="http://schemas.openxmlformats.org/officeDocument/2006/relationships/hyperlink" Target="https://petapixel.com/2019/02/13/500px-hacked-personal-data-stolen-from-all-14-8-million-users/" TargetMode="External"/><Relationship Id="rId12" Type="http://schemas.openxmlformats.org/officeDocument/2006/relationships/hyperlink" Target="https://www.theregister.co.uk/2019/02/11/620_million_hacked_accounts_dark_web/" TargetMode="External"/><Relationship Id="rId15" Type="http://schemas.openxmlformats.org/officeDocument/2006/relationships/hyperlink" Target="https://krebsonsecurity.com/2018/09/govpaynow-com-leaks-14m-records/" TargetMode="External"/><Relationship Id="rId14" Type="http://schemas.openxmlformats.org/officeDocument/2006/relationships/hyperlink" Target="http://govpaynow.com" TargetMode="External"/><Relationship Id="rId17" Type="http://schemas.openxmlformats.org/officeDocument/2006/relationships/hyperlink" Target="https://www.theregister.co.uk/2019/02/11/620_million_hacked_accounts_dark_web/" TargetMode="External"/><Relationship Id="rId16" Type="http://schemas.openxmlformats.org/officeDocument/2006/relationships/hyperlink" Target="https://www.theregister.co.uk/2019/02/11/620_million_hacked_accounts_dark_web/" TargetMode="External"/><Relationship Id="rId19" Type="http://schemas.openxmlformats.org/officeDocument/2006/relationships/hyperlink" Target="https://www.theregister.co.uk/2019/02/11/620_million_hacked_accounts_dark_web/" TargetMode="External"/><Relationship Id="rId18" Type="http://schemas.openxmlformats.org/officeDocument/2006/relationships/hyperlink" Target="https://www.zdnet.com/article/town-of-salem-game-suffers-data-breach-exposing-7-6-million-user-details/" TargetMode="External"/><Relationship Id="rId84" Type="http://schemas.openxmlformats.org/officeDocument/2006/relationships/hyperlink" Target="https://www.bbc.co.uk/news/technology-52722626" TargetMode="External"/><Relationship Id="rId83" Type="http://schemas.openxmlformats.org/officeDocument/2006/relationships/hyperlink" Target="https://www.zdnet.com/article/exclusive-details-of-10-6-million-of-mgm-hotel-guests-posted-on-a-hacking-forum/" TargetMode="External"/><Relationship Id="rId86" Type="http://schemas.openxmlformats.org/officeDocument/2006/relationships/hyperlink" Target="https://www.nytimes.com/2020/02/10/world/middleeast/israeli-voters-leak.html?action=click&amp;module=News&amp;pgtype=Homepage" TargetMode="External"/><Relationship Id="rId85" Type="http://schemas.openxmlformats.org/officeDocument/2006/relationships/hyperlink" Target="https://www.zdnet.com/article/dutch-government-loses-hard-drives-with-data-of-6-9-million-registered-donors/" TargetMode="External"/><Relationship Id="rId88" Type="http://schemas.openxmlformats.org/officeDocument/2006/relationships/hyperlink" Target="https://www.tellerreport.com/news/2020-01-22---big-data-leak--media--at-buchbinder-car-rental-company--customer-data-was-open-.BJ-S5Jk8Z8.html" TargetMode="External"/><Relationship Id="rId87" Type="http://schemas.openxmlformats.org/officeDocument/2006/relationships/hyperlink" Target="https://news.marriott.com/news/2020/03/31/marriott-international-notifies-guests-of-property-system-incident" TargetMode="External"/><Relationship Id="rId89" Type="http://schemas.openxmlformats.org/officeDocument/2006/relationships/hyperlink" Target="https://techcrunch.com/2019/09/26/doordash-data-breach/" TargetMode="External"/><Relationship Id="rId80" Type="http://schemas.openxmlformats.org/officeDocument/2006/relationships/hyperlink" Target="https://krebsonsecurity.com/2020/01/wawa-breach-may-have-compromised-more-than-30-million-payment-cards/" TargetMode="External"/><Relationship Id="rId82" Type="http://schemas.openxmlformats.org/officeDocument/2006/relationships/hyperlink" Target="https://9to5mac.com/2020/05/15/db8151dd/" TargetMode="External"/><Relationship Id="rId81" Type="http://schemas.openxmlformats.org/officeDocument/2006/relationships/hyperlink" Target="https://arstechnica.com/information-technology/2019/10/data-for-a-whopping-26-million-stolen-payment-cards-leaked-in-hack-of-fraud-bazaar/" TargetMode="External"/><Relationship Id="rId73" Type="http://schemas.openxmlformats.org/officeDocument/2006/relationships/hyperlink" Target="https://www.nytimes.com/2015/02/05/business/hackers-breached-data-of-millions-insurer-says.html" TargetMode="External"/><Relationship Id="rId72" Type="http://schemas.openxmlformats.org/officeDocument/2006/relationships/hyperlink" Target="http://money.cnn.com/2004/06/23/technology/aol_spam/" TargetMode="External"/><Relationship Id="rId75" Type="http://schemas.openxmlformats.org/officeDocument/2006/relationships/hyperlink" Target="https://theintercept.com/2015/11/11/securus-hack-prison-phone-company-exposes-thousands-of-calls-lawyers-and-clients/" TargetMode="External"/><Relationship Id="rId74" Type="http://schemas.openxmlformats.org/officeDocument/2006/relationships/hyperlink" Target="http://dealbook.nytimes.com/2014/10/02/jpmorgan-discovers-further-cyber-security-issues/?_php=true&amp;_type=blogs&amp;_r=0" TargetMode="External"/><Relationship Id="rId77" Type="http://schemas.openxmlformats.org/officeDocument/2006/relationships/hyperlink" Target="https://www.bloomberg.com/news/articles/2017-11-21/uber-concealed-cyberattack-that-exposed-57-million-people-s-data" TargetMode="External"/><Relationship Id="rId76" Type="http://schemas.openxmlformats.org/officeDocument/2006/relationships/hyperlink" Target="https://www.bbc.co.uk/news/technology-37232635" TargetMode="External"/><Relationship Id="rId79" Type="http://schemas.openxmlformats.org/officeDocument/2006/relationships/hyperlink" Target="https://www.bbc.co.uk/news/technology-24740873" TargetMode="External"/><Relationship Id="rId78" Type="http://schemas.openxmlformats.org/officeDocument/2006/relationships/hyperlink" Target="https://www.theguardian.com/news/2018/mar/17/cambridge-analytica-facebook-influence-us-election?CMP=twt_gu" TargetMode="External"/><Relationship Id="rId71" Type="http://schemas.openxmlformats.org/officeDocument/2006/relationships/hyperlink" Target="http://www.zdnet.com/wi-fi-hack-caused-tk-maxx-security-breach-3039286991/" TargetMode="External"/><Relationship Id="rId70" Type="http://schemas.openxmlformats.org/officeDocument/2006/relationships/hyperlink" Target="https://www.bleepingcomputer.com/news/security/thousands-of-apps-leak-sensitive-data-via-misconfigured-firebase-backends/" TargetMode="External"/><Relationship Id="rId62" Type="http://schemas.openxmlformats.org/officeDocument/2006/relationships/hyperlink" Target="https://www.darkreading.com/attacks-and-breaches/heartland-payment-systems-hit-by-data-security-breach/d/d-id/1075770" TargetMode="External"/><Relationship Id="rId61" Type="http://schemas.openxmlformats.org/officeDocument/2006/relationships/hyperlink" Target="https://www.zdnet.com/article/australian-tech-unicorn-canva-suffers-security-breach/" TargetMode="External"/><Relationship Id="rId64" Type="http://schemas.openxmlformats.org/officeDocument/2006/relationships/hyperlink" Target="http://money.cnn.com/2016/05/19/technology/linkedin-hack/" TargetMode="External"/><Relationship Id="rId63" Type="http://schemas.openxmlformats.org/officeDocument/2006/relationships/hyperlink" Target="https://medium.com/@intideceukelaire/this-popular-facebook-app-publicly-exposed-your-data-for-years-12483418eff8" TargetMode="External"/><Relationship Id="rId66" Type="http://schemas.openxmlformats.org/officeDocument/2006/relationships/hyperlink" Target="https://www.zdnet.com/article/details-of-44m-pakistani-mobile-users-leaked-online-part-of-bigger-115m-cache/" TargetMode="External"/><Relationship Id="rId65" Type="http://schemas.openxmlformats.org/officeDocument/2006/relationships/hyperlink" Target="https://money.cnn.com/2012/06/06/technology/linkedin-password-hack/?iid=EL" TargetMode="External"/><Relationship Id="rId68" Type="http://schemas.openxmlformats.org/officeDocument/2006/relationships/hyperlink" Target="https://www.forbes.com/sites/rachelsandler/2019/07/29/capital-one-says-hacker-breached-accounts-of-100-million-people-ex-amazon-employee-arrested/" TargetMode="External"/><Relationship Id="rId67" Type="http://schemas.openxmlformats.org/officeDocument/2006/relationships/hyperlink" Target="http://motherboard.vice.com/read/another-day-another-hack-100-million-accounts-for-vk-russias-facebook" TargetMode="External"/><Relationship Id="rId60" Type="http://schemas.openxmlformats.org/officeDocument/2006/relationships/hyperlink" Target="https://www.consumer.ftc.gov/blog/2017/09/equifax-data-breach-what-do" TargetMode="External"/><Relationship Id="rId69" Type="http://schemas.openxmlformats.org/officeDocument/2006/relationships/hyperlink" Target="https://www.nytimes.com/2018/12/04/technology/quora-hack-data-breach.html" TargetMode="External"/><Relationship Id="rId51" Type="http://schemas.openxmlformats.org/officeDocument/2006/relationships/hyperlink" Target="https://krebsonsecurity.com/2014/03/experian-lapse-allowed-id-theft-service-to-access-200-million-consumer-records/" TargetMode="External"/><Relationship Id="rId50" Type="http://schemas.openxmlformats.org/officeDocument/2006/relationships/hyperlink" Target="https://www.wired.com/story/apollo-breach-linkedin-salesforce-data/" TargetMode="External"/><Relationship Id="rId53" Type="http://schemas.openxmlformats.org/officeDocument/2006/relationships/hyperlink" Target="http://uk.reuters.com/article/us-usa-voters-breach-idUKKBN0UB1E020151229" TargetMode="External"/><Relationship Id="rId52" Type="http://schemas.openxmlformats.org/officeDocument/2006/relationships/hyperlink" Target="http://www.govtech.com/security/San-Diego-Sues-Experian-Over-Alleged-2010-Breach.html" TargetMode="External"/><Relationship Id="rId55" Type="http://schemas.openxmlformats.org/officeDocument/2006/relationships/hyperlink" Target="https://www.vice.com/en_us/article/pgkk8v/427-million-myspace-passwords-emails-data-breach" TargetMode="External"/><Relationship Id="rId54" Type="http://schemas.openxmlformats.org/officeDocument/2006/relationships/hyperlink" Target="https://www.upguard.com/breaches/the-rnc-files" TargetMode="External"/><Relationship Id="rId57" Type="http://schemas.openxmlformats.org/officeDocument/2006/relationships/hyperlink" Target="https://www.technologyreview.com/s/517551/prosecutors-describe-massive-breach-of-credit-card-data/" TargetMode="External"/><Relationship Id="rId56" Type="http://schemas.openxmlformats.org/officeDocument/2006/relationships/hyperlink" Target="https://www.theregister.co.uk/2019/02/11/620_million_hacked_accounts_dark_web/" TargetMode="External"/><Relationship Id="rId59" Type="http://schemas.openxmlformats.org/officeDocument/2006/relationships/hyperlink" Target="https://www.businessinsider.com/cyber-thieves-took-data-on-145-million-ebay-customers-by-hacking-3-corporate-employees-2014-5?r=US&amp;IR=T" TargetMode="External"/><Relationship Id="rId58" Type="http://schemas.openxmlformats.org/officeDocument/2006/relationships/hyperlink" Target="https://www.theguardian.com/technology/2018/mar/30/hackers-steal-data-150m-myfitnesspal-app-users-under-armour" TargetMode="External"/><Relationship Id="rId107" Type="http://schemas.openxmlformats.org/officeDocument/2006/relationships/hyperlink" Target="http://nakedsecurity.sophos.com/2013/04/27/livingsocial-hacked-50-million-affected/" TargetMode="External"/><Relationship Id="rId228" Type="http://schemas.openxmlformats.org/officeDocument/2006/relationships/hyperlink" Target="https://www.thelocal.se/20170717/swedish-authority-handed-over-keys-to-the-kingdom-in-it-security-slip-up" TargetMode="External"/><Relationship Id="rId349" Type="http://schemas.openxmlformats.org/officeDocument/2006/relationships/hyperlink" Target="http://www.wired.co.uk/news/archive/2013-05/23/reporter-google-breach-hacker" TargetMode="External"/><Relationship Id="rId106" Type="http://schemas.openxmlformats.org/officeDocument/2006/relationships/hyperlink" Target="http://blog.trendmicro.com/trendlabs-security-intelligence/55m-registered-voters-risk-philippine-commission-elections-hacked/" TargetMode="External"/><Relationship Id="rId227" Type="http://schemas.openxmlformats.org/officeDocument/2006/relationships/hyperlink" Target="https://www.vice.com/en_us/article/3daywj/hacker-steals-900-gb-of-cellebrite-data" TargetMode="External"/><Relationship Id="rId348" Type="http://schemas.openxmlformats.org/officeDocument/2006/relationships/hyperlink" Target="http://boingboing.net/2013/05/23/terracom-and-yourtel-threaten.html" TargetMode="External"/><Relationship Id="rId105" Type="http://schemas.openxmlformats.org/officeDocument/2006/relationships/hyperlink" Target="http://krebsonsecurity.com/2014/09/banks-credit-card-breach-at-home-depot/" TargetMode="External"/><Relationship Id="rId226" Type="http://schemas.openxmlformats.org/officeDocument/2006/relationships/hyperlink" Target="https://www.nbcnews.com/feature/nbc-out/security-flaws-gay-dating-app-grindr-expose-users-location-data-n858446" TargetMode="External"/><Relationship Id="rId347" Type="http://schemas.openxmlformats.org/officeDocument/2006/relationships/hyperlink" Target="http://www.databreaches.net/?p=19198" TargetMode="External"/><Relationship Id="rId104" Type="http://schemas.openxmlformats.org/officeDocument/2006/relationships/hyperlink" Target="https://www.bbc.co.uk/news/technology-23159997" TargetMode="External"/><Relationship Id="rId225" Type="http://schemas.openxmlformats.org/officeDocument/2006/relationships/hyperlink" Target="https://www.itgovernance.eu/blog/en/breach-at-norways-largest-healthcare-authority-was-a-disaster-waiting-to-happen" TargetMode="External"/><Relationship Id="rId346" Type="http://schemas.openxmlformats.org/officeDocument/2006/relationships/hyperlink" Target="http://news.cnet.com/8301-27080_3-20068386-245/sf-utilities-agency-warns-of-potential-breach/" TargetMode="External"/><Relationship Id="rId109" Type="http://schemas.openxmlformats.org/officeDocument/2006/relationships/hyperlink" Target="http://www.wired.co.uk/news/archive/2013-03/04/evernote-hacked" TargetMode="External"/><Relationship Id="rId108" Type="http://schemas.openxmlformats.org/officeDocument/2006/relationships/hyperlink" Target="http://bits.blogs.nytimes.com/2013/04/26/living-social-hack-exposes-data-for-50-million-customers/" TargetMode="External"/><Relationship Id="rId229" Type="http://schemas.openxmlformats.org/officeDocument/2006/relationships/hyperlink" Target="https://thehackernews.com/2017/09/viacom-amazon-server.html" TargetMode="External"/><Relationship Id="rId220" Type="http://schemas.openxmlformats.org/officeDocument/2006/relationships/hyperlink" Target="https://www.healthcare-informatics.com/news-item/cybersecurity/breaking-massive-cyber-attack-banner-health-affects-37m-individuals" TargetMode="External"/><Relationship Id="rId341" Type="http://schemas.openxmlformats.org/officeDocument/2006/relationships/hyperlink" Target="https://venturebeat.com/2011/06/13/lulzsec-bethesda-hack/" TargetMode="External"/><Relationship Id="rId340" Type="http://schemas.openxmlformats.org/officeDocument/2006/relationships/hyperlink" Target="http://status.ovh.net/?do=details&amp;id=5070" TargetMode="External"/><Relationship Id="rId103" Type="http://schemas.openxmlformats.org/officeDocument/2006/relationships/hyperlink" Target="https://www.vice.com/en_us/article/8q88k5/hackers-stole-68-million-passwords-from-tumblr-new-analysis-reveals" TargetMode="External"/><Relationship Id="rId224" Type="http://schemas.openxmlformats.org/officeDocument/2006/relationships/hyperlink" Target="https://www.wsj.com/articles/SB10001424052702304434404575150024174102954" TargetMode="External"/><Relationship Id="rId345" Type="http://schemas.openxmlformats.org/officeDocument/2006/relationships/hyperlink" Target="http://www.healthcareinfosecurity.com/chicago-breach-affects-180000-a-2496" TargetMode="External"/><Relationship Id="rId102" Type="http://schemas.openxmlformats.org/officeDocument/2006/relationships/hyperlink" Target="http://www.huffingtonpost.com/2013/12/19/target-hacked-customer-credit-card-data-accessed_n_4471672.html?utm_hp_ref=mostpopular" TargetMode="External"/><Relationship Id="rId223" Type="http://schemas.openxmlformats.org/officeDocument/2006/relationships/hyperlink" Target="https://www.csoonline.com/article/3017171/database-leak-exposes-3-3-million-hello-kitty-fans.html" TargetMode="External"/><Relationship Id="rId344" Type="http://schemas.openxmlformats.org/officeDocument/2006/relationships/hyperlink" Target="http://www.nbcnews.com/id/7561268/" TargetMode="External"/><Relationship Id="rId101" Type="http://schemas.openxmlformats.org/officeDocument/2006/relationships/hyperlink" Target="http://www.wired.com/threatlevel/2009/10/probe-targets-archives-handling-of-data-on-70-million-vets/" TargetMode="External"/><Relationship Id="rId222" Type="http://schemas.openxmlformats.org/officeDocument/2006/relationships/hyperlink" Target="https://uk.pcmag.com/news/105457/texas-security-breach-exposes-35m-records" TargetMode="External"/><Relationship Id="rId343" Type="http://schemas.openxmlformats.org/officeDocument/2006/relationships/hyperlink" Target="https://www.computerweekly.com/news/2240076956/Personal-data-on-200000-HP-employees-stolen" TargetMode="External"/><Relationship Id="rId100" Type="http://schemas.openxmlformats.org/officeDocument/2006/relationships/hyperlink" Target="https://blog.playstation.com/archive/2011/04/28/playstation-network-and-qriocity-outage-faq/" TargetMode="External"/><Relationship Id="rId221" Type="http://schemas.openxmlformats.org/officeDocument/2006/relationships/hyperlink" Target="http://www.infoworld.com/article/2615754/cyber-crime/south-carolina-reveals-massive-data-breach-of-social-security-numbers--credit-cards.html" TargetMode="External"/><Relationship Id="rId342" Type="http://schemas.openxmlformats.org/officeDocument/2006/relationships/hyperlink" Target="https://www.finextra.com/newsarticle/23243/restaurant-depot-hacked-by-russian-cyber-criminals" TargetMode="External"/><Relationship Id="rId217" Type="http://schemas.openxmlformats.org/officeDocument/2006/relationships/hyperlink" Target="http://www.channel4.com/news/adult-friendfinder-dating-hack-internet-dark-web" TargetMode="External"/><Relationship Id="rId338" Type="http://schemas.openxmlformats.org/officeDocument/2006/relationships/hyperlink" Target="http://www.nbcnews.com/id/43086769/ns/technology_and_science-security/t/huge-data-breach-puts-risk/" TargetMode="External"/><Relationship Id="rId216" Type="http://schemas.openxmlformats.org/officeDocument/2006/relationships/hyperlink" Target="http://infowatch.com/node/1289" TargetMode="External"/><Relationship Id="rId337" Type="http://schemas.openxmlformats.org/officeDocument/2006/relationships/hyperlink" Target="http://www.pcworld.com/article/229891/Citigroup_Hack_Nets_Over_200k_in_Stolen_Customer_Details.html" TargetMode="External"/><Relationship Id="rId215" Type="http://schemas.openxmlformats.org/officeDocument/2006/relationships/hyperlink" Target="http://www.computerworld.com/s/article/9001150/KDDI_suffers_massive_data_breach" TargetMode="External"/><Relationship Id="rId336" Type="http://schemas.openxmlformats.org/officeDocument/2006/relationships/hyperlink" Target="https://www.infosecurity-magazine.com/news/data-breach-hits-228000-south-carolina-medicaid/" TargetMode="External"/><Relationship Id="rId214" Type="http://schemas.openxmlformats.org/officeDocument/2006/relationships/hyperlink" Target="http://krebsonsecurity.com/2013/09/data-broker-giants-hacked-by-id-theft-service/" TargetMode="External"/><Relationship Id="rId335" Type="http://schemas.openxmlformats.org/officeDocument/2006/relationships/hyperlink" Target="http://www.fosters.com/apps/pbcs.dll/article?AID=/20110120/GJNEWS_01/701209744" TargetMode="External"/><Relationship Id="rId219" Type="http://schemas.openxmlformats.org/officeDocument/2006/relationships/hyperlink" Target="http://www.scmp.com/news/hong-kong/politics/article/2082566/laptops-containing-37-million-hong-kong-voters-data-stolen" TargetMode="External"/><Relationship Id="rId218" Type="http://schemas.openxmlformats.org/officeDocument/2006/relationships/hyperlink" Target="http://www.nytimes.com/2005/06/07/business/07data.html?pagewanted=all&amp;_moc.semityn.www" TargetMode="External"/><Relationship Id="rId339" Type="http://schemas.openxmlformats.org/officeDocument/2006/relationships/hyperlink" Target="https://www.theguardian.com/australia-news/2019/jun/04/australian-national-university-hit-by-huge-data-breach" TargetMode="External"/><Relationship Id="rId330" Type="http://schemas.openxmlformats.org/officeDocument/2006/relationships/hyperlink" Target="http://www.guardian.co.uk/technology/2013/jul/22/apple-developer-site-hacked" TargetMode="External"/><Relationship Id="rId213" Type="http://schemas.openxmlformats.org/officeDocument/2006/relationships/hyperlink" Target="http://ssndob.ms" TargetMode="External"/><Relationship Id="rId334" Type="http://schemas.openxmlformats.org/officeDocument/2006/relationships/hyperlink" Target="https://edition.cnn.com/2013/02/01/tech/social-media/twitter-hacked/index.html" TargetMode="External"/><Relationship Id="rId212" Type="http://schemas.openxmlformats.org/officeDocument/2006/relationships/hyperlink" Target="https://www.zdnet.com/article/club-nintendo-site-hacked-customer-data-exposed/" TargetMode="External"/><Relationship Id="rId333" Type="http://schemas.openxmlformats.org/officeDocument/2006/relationships/hyperlink" Target="http://www.guardian.co.uk/news/datablog/2010/nov/29/wikileaks-cables-data" TargetMode="External"/><Relationship Id="rId211" Type="http://schemas.openxmlformats.org/officeDocument/2006/relationships/hyperlink" Target="http://healthitsecurity.com/2013/08/27/advocate-medical-group-endures-massive-data-breach/" TargetMode="External"/><Relationship Id="rId332" Type="http://schemas.openxmlformats.org/officeDocument/2006/relationships/hyperlink" Target="https://www.theguardian.com/business/2017/apr/09/wonga-data-breach-could-affect-250000-uk-customers?CMP=Share_iOSApp_Other" TargetMode="External"/><Relationship Id="rId210" Type="http://schemas.openxmlformats.org/officeDocument/2006/relationships/hyperlink" Target="http://www.cityam.com/1406190300/ecb-website-hacked" TargetMode="External"/><Relationship Id="rId331" Type="http://schemas.openxmlformats.org/officeDocument/2006/relationships/hyperlink" Target="http://news.softpedia.com/news/syrian-government-hacked-43-gb-of-data-spilled-online-by-hacktivists-502765.shtml" TargetMode="External"/><Relationship Id="rId370" Type="http://schemas.openxmlformats.org/officeDocument/2006/relationships/hyperlink" Target="http://www.bbc.co.uk/news/world-europe-36645519" TargetMode="External"/><Relationship Id="rId129" Type="http://schemas.openxmlformats.org/officeDocument/2006/relationships/hyperlink" Target="https://www.bleepingcomputer.com/news/security/sky-brasil-exposes-32-million-customer-records/" TargetMode="External"/><Relationship Id="rId128" Type="http://schemas.openxmlformats.org/officeDocument/2006/relationships/hyperlink" Target="http://www.bbc.co.uk/news/technology-15690187" TargetMode="External"/><Relationship Id="rId249" Type="http://schemas.openxmlformats.org/officeDocument/2006/relationships/hyperlink" Target="http://www.securityweek.com/attacker-steals-data-2-million-vodafone-germany-customers" TargetMode="External"/><Relationship Id="rId127" Type="http://schemas.openxmlformats.org/officeDocument/2006/relationships/hyperlink" Target="http://krebsonsecurity.com/2015/07/online-cheating-site-ashleymadison-hacked/" TargetMode="External"/><Relationship Id="rId248" Type="http://schemas.openxmlformats.org/officeDocument/2006/relationships/hyperlink" Target="http://arstechnica.com/security/2013/07/hack-exposes-e-mail-addresses-password-data-for-2-million-ubuntu-forum-users/" TargetMode="External"/><Relationship Id="rId369" Type="http://schemas.openxmlformats.org/officeDocument/2006/relationships/hyperlink" Target="https://www.networkworld.com/article/2344552/security/latest--lost--laptop-holds-treasure-trove-of-unencrypted-at-t-payroll-data.html" TargetMode="External"/><Relationship Id="rId126" Type="http://schemas.openxmlformats.org/officeDocument/2006/relationships/hyperlink" Target="http://ashleymadison.com" TargetMode="External"/><Relationship Id="rId247" Type="http://schemas.openxmlformats.org/officeDocument/2006/relationships/hyperlink" Target="https://www.zdnet.com/article/ubuntu-forums-hack-exposes-two-million-users/" TargetMode="External"/><Relationship Id="rId368" Type="http://schemas.openxmlformats.org/officeDocument/2006/relationships/hyperlink" Target="http://www.guardian.co.uk/technology/2010/jun/10/apple-ipad-security-leak?INTCMP=SRCH" TargetMode="External"/><Relationship Id="rId121" Type="http://schemas.openxmlformats.org/officeDocument/2006/relationships/hyperlink" Target="http://www.scmagazine.com.au/News/349585,28-million-clear-text-passwords-found-after-tianya65279-hack.aspx" TargetMode="External"/><Relationship Id="rId242" Type="http://schemas.openxmlformats.org/officeDocument/2006/relationships/hyperlink" Target="https://thestack.com/security/2016/06/29/2-million-person-terror-database-leaked-online/" TargetMode="External"/><Relationship Id="rId363" Type="http://schemas.openxmlformats.org/officeDocument/2006/relationships/hyperlink" Target="https://www.pcworld.idg.com.au/article/351659/new_york_hospital_loses_data_130_000_via_fedex/" TargetMode="External"/><Relationship Id="rId120" Type="http://schemas.openxmlformats.org/officeDocument/2006/relationships/hyperlink" Target="https://www.ibtimes.co.uk/fling-com-breach-passwords-sexual-preferences-40-million-users-sale-dark-web-1558711" TargetMode="External"/><Relationship Id="rId241" Type="http://schemas.openxmlformats.org/officeDocument/2006/relationships/hyperlink" Target="https://www-ft-com.libezproxy.open.ac.uk/content/819f5b1c-eb80-11e0-a576-00144feab49a" TargetMode="External"/><Relationship Id="rId362" Type="http://schemas.openxmlformats.org/officeDocument/2006/relationships/hyperlink" Target="http://edition.cnn.com/2009/US/12/17/theft.security.breach/index.html" TargetMode="External"/><Relationship Id="rId240" Type="http://schemas.openxmlformats.org/officeDocument/2006/relationships/hyperlink" Target="https://www.nbcnews.com/tech/security/youve-got-hacked-aol-confirms-significant-number-mail-users-hit-n91701" TargetMode="External"/><Relationship Id="rId361" Type="http://schemas.openxmlformats.org/officeDocument/2006/relationships/hyperlink" Target="http://www.usatoday.com/story/news/nation/2014/02/26/indiana-university-data-breach/5830685/" TargetMode="External"/><Relationship Id="rId360" Type="http://schemas.openxmlformats.org/officeDocument/2006/relationships/hyperlink" Target="http://news.iu.edu/releases/iu/2014/02/data-exposure-disclosure.shtml" TargetMode="External"/><Relationship Id="rId125" Type="http://schemas.openxmlformats.org/officeDocument/2006/relationships/hyperlink" Target="https://medium.com/@djhoulihan/no-panera-bread-doesnt-take-security-seriously-bf078027f815" TargetMode="External"/><Relationship Id="rId246" Type="http://schemas.openxmlformats.org/officeDocument/2006/relationships/hyperlink" Target="https://uk.pcmag.com/cex/90937/cex-hack-up-to-2m-customers-potentially-affected" TargetMode="External"/><Relationship Id="rId367" Type="http://schemas.openxmlformats.org/officeDocument/2006/relationships/hyperlink" Target="http://www.pcmag.com/article2/0,2817,2390683,00.asp" TargetMode="External"/><Relationship Id="rId124" Type="http://schemas.openxmlformats.org/officeDocument/2006/relationships/hyperlink" Target="https://krebsonsecurity.com/2018/04/panerabread-com-leaks-millions-of-customer-records/" TargetMode="External"/><Relationship Id="rId245" Type="http://schemas.openxmlformats.org/officeDocument/2006/relationships/hyperlink" Target="https://motherboard.vice.com/en_us/article/a3qpk5/t-mobile-hack-data-breach-api-customer-data" TargetMode="External"/><Relationship Id="rId366" Type="http://schemas.openxmlformats.org/officeDocument/2006/relationships/hyperlink" Target="http://abcnews.go.com/Technology/story?id=2160425&amp;page=1" TargetMode="External"/><Relationship Id="rId123" Type="http://schemas.openxmlformats.org/officeDocument/2006/relationships/hyperlink" Target="https://www.wired.com/2005/06/cardsystems-data-left-unsecured/" TargetMode="External"/><Relationship Id="rId244" Type="http://schemas.openxmlformats.org/officeDocument/2006/relationships/hyperlink" Target="https://www.computerworld.com/article/2536837/thieves-pilfer-backup-tapes-holding-2m-medical-records.html" TargetMode="External"/><Relationship Id="rId365" Type="http://schemas.openxmlformats.org/officeDocument/2006/relationships/hyperlink" Target="https://www.esecurityplanet.com/hackers/kirkwood-community-college-hacked.html" TargetMode="External"/><Relationship Id="rId122" Type="http://schemas.openxmlformats.org/officeDocument/2006/relationships/hyperlink" Target="https://thehackernews.com/2011/12/tianya-chinas-biggest-online-forum-40.html" TargetMode="External"/><Relationship Id="rId243" Type="http://schemas.openxmlformats.org/officeDocument/2006/relationships/hyperlink" Target="http://archive.sltrib.com/story.php?ref=/ci_9540210" TargetMode="External"/><Relationship Id="rId364" Type="http://schemas.openxmlformats.org/officeDocument/2006/relationships/hyperlink" Target="http://www.threemediacentre.co.uk/news/2017/handsetfraud-update.aspx" TargetMode="External"/><Relationship Id="rId95" Type="http://schemas.openxmlformats.org/officeDocument/2006/relationships/hyperlink" Target="https://www.nextgov.com/cybersecurity/2020/05/us-marshals-service-breach-exposed-personal-data-387000-prisoners/165305/" TargetMode="External"/><Relationship Id="rId94" Type="http://schemas.openxmlformats.org/officeDocument/2006/relationships/hyperlink" Target="https://techcrunch.com/2020/06/09/nintendo-accounts-affected-breach/?guccounter=1&amp;guce_referrer=aHR0cHM6Ly9nYW1lcy5zbGFzaGRvdC5vcmcvc3RvcnkvMjAvMDYvMDkvMTg0MjIzNy9uaW50ZW5kby1ub3ctc2F5cy0zMDAwMDAtYWNjb3VudHMtYnJlYWNoZWQtYnktaGFja2Vycz91dG1fc291cmNlPXJzczEuMG1haW5saW5rYW5vbiZ1dG1fbWVkaXVtPWZlZWQ&amp;guce_referrer_sig=AQAAAIXC8IvaFgPdt5t-CUm7yPEhKblsmme4097SUtEWdSkjyrdsxVYiQBfbdpekm_Y29T7evb-5zNNl2-ZHfNSmVkKFnE5vClvpvsaPYykOO8WtAX76dZoL2EUkVL8XfmMQBVlNF43T5MATGNeSnwn6Ta6ELVBXnf_ZTsmVaemjk1Vf" TargetMode="External"/><Relationship Id="rId97" Type="http://schemas.openxmlformats.org/officeDocument/2006/relationships/hyperlink" Target="https://www.which.co.uk/news/2020/03/boots-advantage-card-tesco-clubcard-both-suffer-data-breaches-in-same-week/" TargetMode="External"/><Relationship Id="rId96" Type="http://schemas.openxmlformats.org/officeDocument/2006/relationships/hyperlink" Target="https://www.housingwire.com/articles/36597-guaranteed-rate-ordered-to-pay-25m-to-mount-olympus-mortgage-for-data-theft/" TargetMode="External"/><Relationship Id="rId99" Type="http://schemas.openxmlformats.org/officeDocument/2006/relationships/hyperlink" Target="http://www.zdnet.com/article/dailymotion-hack-exposes-millions-of-accounts/" TargetMode="External"/><Relationship Id="rId98" Type="http://schemas.openxmlformats.org/officeDocument/2006/relationships/hyperlink" Target="https://www.bloombergquint.com/technology/hack-of-dna-website-exposes-data-from-92-million-user-accounts" TargetMode="External"/><Relationship Id="rId91" Type="http://schemas.openxmlformats.org/officeDocument/2006/relationships/hyperlink" Target="https://www.bbc.co.uk/news/business-51760510" TargetMode="External"/><Relationship Id="rId90" Type="http://schemas.openxmlformats.org/officeDocument/2006/relationships/hyperlink" Target="https://healthitsecurity.com/news/ucla-health-reaches-7.5m-settlement-over-2015-breach-of-4.5m" TargetMode="External"/><Relationship Id="rId93" Type="http://schemas.openxmlformats.org/officeDocument/2006/relationships/hyperlink" Target="https://www.welivesecurity.com/2020/04/16/half-million-zoom-accounts-sale-dark-web/" TargetMode="External"/><Relationship Id="rId92" Type="http://schemas.openxmlformats.org/officeDocument/2006/relationships/hyperlink" Target="https://www.techradar.com/uk/news/tesco-clubcard-holders-warned-of-major-security-issue" TargetMode="External"/><Relationship Id="rId118" Type="http://schemas.openxmlformats.org/officeDocument/2006/relationships/hyperlink" Target="https://www.zdnet.com/article/last-fm-investigating-security-issue-passwords-leaked/" TargetMode="External"/><Relationship Id="rId239" Type="http://schemas.openxmlformats.org/officeDocument/2006/relationships/hyperlink" Target="http://www.theguardian.com/technology/2015/aug/10/carphone-warehouse-uk-data-watchdog-investigating-customer-hack" TargetMode="External"/><Relationship Id="rId117" Type="http://schemas.openxmlformats.org/officeDocument/2006/relationships/hyperlink" Target="http://www.zdnet.com/article/hackers-stole-43-million-last-fm-account-details-in-2012-breach/" TargetMode="External"/><Relationship Id="rId238" Type="http://schemas.openxmlformats.org/officeDocument/2006/relationships/hyperlink" Target="https://www.theguardian.com/world/2020/sep/14/zhenhua-data-full-list-leak-database-personal-details-millions-china-tech-company" TargetMode="External"/><Relationship Id="rId359" Type="http://schemas.openxmlformats.org/officeDocument/2006/relationships/hyperlink" Target="http://news.softpedia.com/news/Citi-Exposes-Details-of-150-000-Individuals-Who-Went-into-Bankruptcy-369979.shtml" TargetMode="External"/><Relationship Id="rId116" Type="http://schemas.openxmlformats.org/officeDocument/2006/relationships/hyperlink" Target="http://last.fm" TargetMode="External"/><Relationship Id="rId237" Type="http://schemas.openxmlformats.org/officeDocument/2006/relationships/hyperlink" Target="https://techcrunch.com/2020/07/28/drizly-data-breach/" TargetMode="External"/><Relationship Id="rId358" Type="http://schemas.openxmlformats.org/officeDocument/2006/relationships/hyperlink" Target="https://www.databreaches.net/ankle-foot-center-of-tampa-bay-breach-affecting-156000-included-social-security-numbers-as-well-as-phi/" TargetMode="External"/><Relationship Id="rId115" Type="http://schemas.openxmlformats.org/officeDocument/2006/relationships/hyperlink" Target="https://techcrunch.com/2018/09/19/newegg-credit-card-data-breach/" TargetMode="External"/><Relationship Id="rId236" Type="http://schemas.openxmlformats.org/officeDocument/2006/relationships/hyperlink" Target="https://www.networkworld.com/article/2274502/security-oversight-may-have-enabled-countrywide-breach.html" TargetMode="External"/><Relationship Id="rId357" Type="http://schemas.openxmlformats.org/officeDocument/2006/relationships/hyperlink" Target="http://www.bbc.co.uk/news/uk-34611857" TargetMode="External"/><Relationship Id="rId119" Type="http://schemas.openxmlformats.org/officeDocument/2006/relationships/hyperlink" Target="https://techcrunch.com/2016/10/20/weebly-hacked-43-million-credentials-stolen/" TargetMode="External"/><Relationship Id="rId110" Type="http://schemas.openxmlformats.org/officeDocument/2006/relationships/hyperlink" Target="http://www.digitaltrends.com/mobile/evernote-hack-50-million-users-forced-to-reset-passwords/" TargetMode="External"/><Relationship Id="rId231" Type="http://schemas.openxmlformats.org/officeDocument/2006/relationships/hyperlink" Target="https://www.theguardian.com/technology/2011/apr/04/epsilon-email-hack" TargetMode="External"/><Relationship Id="rId352" Type="http://schemas.openxmlformats.org/officeDocument/2006/relationships/hyperlink" Target="https://www.reuters.com/article/us-usa-hack-washingtonstate-idUSBRE9480YY20130509" TargetMode="External"/><Relationship Id="rId230" Type="http://schemas.openxmlformats.org/officeDocument/2006/relationships/hyperlink" Target="http://www.zdnet.com/blog/security/3-million-bank-accounts-hacked-in-iran/11577" TargetMode="External"/><Relationship Id="rId351" Type="http://schemas.openxmlformats.org/officeDocument/2006/relationships/hyperlink" Target="http://www.pcworld.com/article/252647/reborn_lulzsec_claims_hack_of_dating_site_for_military_personnel.html" TargetMode="External"/><Relationship Id="rId350" Type="http://schemas.openxmlformats.org/officeDocument/2006/relationships/hyperlink" Target="http://militarysingles.com" TargetMode="External"/><Relationship Id="rId114" Type="http://schemas.openxmlformats.org/officeDocument/2006/relationships/hyperlink" Target="https://www.lowyat.net/2017/146339/46-2-million-mobile-phone-numbers-leaked-from-2014-data-breach/" TargetMode="External"/><Relationship Id="rId235" Type="http://schemas.openxmlformats.org/officeDocument/2006/relationships/hyperlink" Target="https://uk.pcmag.com/encryption/128228/report-ai-company-leaks-over-25m-medical-records" TargetMode="External"/><Relationship Id="rId356" Type="http://schemas.openxmlformats.org/officeDocument/2006/relationships/hyperlink" Target="https://www.bbc.co.uk/news/business-34743185" TargetMode="External"/><Relationship Id="rId113" Type="http://schemas.openxmlformats.org/officeDocument/2006/relationships/hyperlink" Target="https://www.upguard.com/breaches/s3-localblox" TargetMode="External"/><Relationship Id="rId234" Type="http://schemas.openxmlformats.org/officeDocument/2006/relationships/hyperlink" Target="http://www.pcworld.com/article/131453/article.html" TargetMode="External"/><Relationship Id="rId355" Type="http://schemas.openxmlformats.org/officeDocument/2006/relationships/hyperlink" Target="https://www.computerweekly.com/news/2240104003/Hackney-NHS-trust-encrypts-IT-equipment-following-loss-of-child-data" TargetMode="External"/><Relationship Id="rId112" Type="http://schemas.openxmlformats.org/officeDocument/2006/relationships/hyperlink" Target="https://techcrunch.com/2019/05/20/instagram-influencer-celebrity-accounts-scraped/" TargetMode="External"/><Relationship Id="rId233" Type="http://schemas.openxmlformats.org/officeDocument/2006/relationships/hyperlink" Target="http://www.reuters.com/article/us-hsbc-turkey-cybersecurity/hsbc-turkey-says-customer-credit-card-data-stolen-idUSKCN0IW1RR20141112" TargetMode="External"/><Relationship Id="rId354" Type="http://schemas.openxmlformats.org/officeDocument/2006/relationships/hyperlink" Target="https://www.cnet.com/news/uc-berkeley-computers-hacked-160000-at-risk/" TargetMode="External"/><Relationship Id="rId111" Type="http://schemas.openxmlformats.org/officeDocument/2006/relationships/hyperlink" Target="http://www.businessinsider.com/turkish-citizenship-database-allegedly-hacked-and-leaked-2016-4?r=UK&amp;IR=T" TargetMode="External"/><Relationship Id="rId232" Type="http://schemas.openxmlformats.org/officeDocument/2006/relationships/hyperlink" Target="http://news.bbc.co.uk/1/hi/uk_politics/7147715.stm" TargetMode="External"/><Relationship Id="rId353" Type="http://schemas.openxmlformats.org/officeDocument/2006/relationships/hyperlink" Target="http://www.privacyrights.org/data-breach" TargetMode="External"/><Relationship Id="rId305" Type="http://schemas.openxmlformats.org/officeDocument/2006/relationships/hyperlink" Target="https://www.digitalhealth.net/2009/05/virginia-department-of-health-hacked/" TargetMode="External"/><Relationship Id="rId304" Type="http://schemas.openxmlformats.org/officeDocument/2006/relationships/hyperlink" Target="https://thehackernews.com/2017/09/hacker-track-car.html" TargetMode="External"/><Relationship Id="rId303" Type="http://schemas.openxmlformats.org/officeDocument/2006/relationships/hyperlink" Target="http://www.abc.net.au/news/2016-10-28/red-cross-blood-service-admits-to-data-breach/7974036" TargetMode="External"/><Relationship Id="rId302" Type="http://schemas.openxmlformats.org/officeDocument/2006/relationships/hyperlink" Target="http://voices.washingtonpost.com/securityfix/2009/07/network_solutions_hack_comprom.html" TargetMode="External"/><Relationship Id="rId309" Type="http://schemas.openxmlformats.org/officeDocument/2006/relationships/hyperlink" Target="http://techcrunch.com/2015/03/27/slack-got-hacked/" TargetMode="External"/><Relationship Id="rId308" Type="http://schemas.openxmlformats.org/officeDocument/2006/relationships/hyperlink" Target="http://www.theguardian.com/technology/2015/jul/06/hacking-team-hacked-firm-sold-spying-tools-to-repressive-regimes-documents-claim" TargetMode="External"/><Relationship Id="rId307" Type="http://schemas.openxmlformats.org/officeDocument/2006/relationships/hyperlink" Target="https://www.forbes.com/sites/daveywinder/2020/09/21/activision-accounts-hacked-500000-call-of-duty-players-could-be-affected-report/?sh=7ca04e0f7bbe" TargetMode="External"/><Relationship Id="rId306" Type="http://schemas.openxmlformats.org/officeDocument/2006/relationships/hyperlink" Target="http://databreachinvestigation.blogspot.com/2011/04/thief-gets-away-with-eisenhower-medical.html" TargetMode="External"/><Relationship Id="rId301" Type="http://schemas.openxmlformats.org/officeDocument/2006/relationships/hyperlink" Target="http://www.theguardian.com/technology/2014/jun/16/dominos-pizza-ransom-hack-data" TargetMode="External"/><Relationship Id="rId300" Type="http://schemas.openxmlformats.org/officeDocument/2006/relationships/hyperlink" Target="http://www.zdnet.com/article/font-sharing-site-dafont-hacked-thousands-of-accounts-stolen/" TargetMode="External"/><Relationship Id="rId206" Type="http://schemas.openxmlformats.org/officeDocument/2006/relationships/hyperlink" Target="https://www.cbc.ca/news/canada/montreal/desjardins-data-breach-1.5344216" TargetMode="External"/><Relationship Id="rId327" Type="http://schemas.openxmlformats.org/officeDocument/2006/relationships/hyperlink" Target="http://www.bbc.co.uk/news/technology-38350987" TargetMode="External"/><Relationship Id="rId205" Type="http://schemas.openxmlformats.org/officeDocument/2006/relationships/hyperlink" Target="https://blog.trendmicro.com/sutter-health-sued-for-1-billion-following-data-breach/" TargetMode="External"/><Relationship Id="rId326" Type="http://schemas.openxmlformats.org/officeDocument/2006/relationships/hyperlink" Target="https://threatpost.com/leaky-rootsweb-server-exposes-some-ancestry-com-user-data/129248/" TargetMode="External"/><Relationship Id="rId204" Type="http://schemas.openxmlformats.org/officeDocument/2006/relationships/hyperlink" Target="https://www.reuters.com/article/us-mellon-breach-idUSN2143343820080521" TargetMode="External"/><Relationship Id="rId325" Type="http://schemas.openxmlformats.org/officeDocument/2006/relationships/hyperlink" Target="http://fortune.com/2018/12/18/click2gov-local-government-portals-hackers-credit-card-breach/" TargetMode="External"/><Relationship Id="rId203" Type="http://schemas.openxmlformats.org/officeDocument/2006/relationships/hyperlink" Target="http://money.cnn.com/2014/08/18/technology/security/hospital-chs-hack/" TargetMode="External"/><Relationship Id="rId324" Type="http://schemas.openxmlformats.org/officeDocument/2006/relationships/hyperlink" Target="https://techcrunch.com/2018/11/27/urban-massage-data-exposed-customers-creepy-clients/?guccounter=1" TargetMode="External"/><Relationship Id="rId209" Type="http://schemas.openxmlformats.org/officeDocument/2006/relationships/hyperlink" Target="http://time.com/3151681/ups-hack/" TargetMode="External"/><Relationship Id="rId208" Type="http://schemas.openxmlformats.org/officeDocument/2006/relationships/hyperlink" Target="http://www.washingtonpost.com/world/national-security/chinese-hackers-breach-federal-governments-personnel-office/2015/06/04/889c0e52-0af7-11e5-95fd-d580f1c5d44e_story.html?tid=hpModule_04941f10-8a79-11e2-98d9-3012c1cd8d1e" TargetMode="External"/><Relationship Id="rId329" Type="http://schemas.openxmlformats.org/officeDocument/2006/relationships/hyperlink" Target="http://www.guelphmercury.com/news-story/2200845-honda-canada-hit-by-online-security-breach-283-000-car-owners-personal-data-stolen/" TargetMode="External"/><Relationship Id="rId207" Type="http://schemas.openxmlformats.org/officeDocument/2006/relationships/hyperlink" Target="https://www.networkworld.com/article/2284998/lan-wan/details-emerging-on-hannaford-data-breach.html" TargetMode="External"/><Relationship Id="rId328" Type="http://schemas.openxmlformats.org/officeDocument/2006/relationships/hyperlink" Target="https://www.databreaches.net/southern-california-medical-legal-consultants-reveals-that-300000-workers-compensation-applicants-names-and-social-security-numbers-were-exposed-on-internet/" TargetMode="External"/><Relationship Id="rId202" Type="http://schemas.openxmlformats.org/officeDocument/2006/relationships/hyperlink" Target="https://www.bbc.co.uk/news/technology-25572661" TargetMode="External"/><Relationship Id="rId323" Type="http://schemas.openxmlformats.org/officeDocument/2006/relationships/hyperlink" Target="http://news.emory.edu/stories/2012/04/ehc_missing_data/campus.html" TargetMode="External"/><Relationship Id="rId201" Type="http://schemas.openxmlformats.org/officeDocument/2006/relationships/hyperlink" Target="http://www.reuters.com/article/us-data-breach-texas-idUSTRE78S5JG20110929" TargetMode="External"/><Relationship Id="rId322" Type="http://schemas.openxmlformats.org/officeDocument/2006/relationships/hyperlink" Target="https://privacylaw.proskauer.com/2013/08/articles/identity-theft/a-1-2-million-photocopier-mistake-health-plan-settles-with-hhs-in-hipaa-breach-case/" TargetMode="External"/><Relationship Id="rId200" Type="http://schemas.openxmlformats.org/officeDocument/2006/relationships/hyperlink" Target="https://www.computerworld.com/article/2530152/checkfree-warns-5-million-customers-after-hack.html" TargetMode="External"/><Relationship Id="rId321" Type="http://schemas.openxmlformats.org/officeDocument/2006/relationships/hyperlink" Target="https://www.theguardian.com/business/2018/sep/06/british-airways-customer-data-stolen-from-its-website" TargetMode="External"/><Relationship Id="rId320" Type="http://schemas.openxmlformats.org/officeDocument/2006/relationships/hyperlink" Target="http://www.forbes.com/sites/andygreenberg/2010/10/22/wikileaks-reveals-the-biggest-classified-data-breach-in-history/" TargetMode="External"/><Relationship Id="rId316" Type="http://schemas.openxmlformats.org/officeDocument/2006/relationships/hyperlink" Target="http://krebsonsecurity.com/2015/05/mobile-spy-software-maker-mspy-hacked-customer-data-leaked/" TargetMode="External"/><Relationship Id="rId315" Type="http://schemas.openxmlformats.org/officeDocument/2006/relationships/hyperlink" Target="https://www.dailymail.co.uk/sciencetech/article-6415441/Furry-erotica-site-hit-data-breach-exposed-hundreds-thousands-users-information.html" TargetMode="External"/><Relationship Id="rId314" Type="http://schemas.openxmlformats.org/officeDocument/2006/relationships/hyperlink" Target="http://news.cnet.com/8301-1009_3-57469944-83/formspring-disables-user-passwords-in-security-breach/?tag=mncol;txt" TargetMode="External"/><Relationship Id="rId313" Type="http://schemas.openxmlformats.org/officeDocument/2006/relationships/hyperlink" Target="https://www.helpnetsecurity.com/2012/07/12/nearly-half-a-million-yahoo-passwords-leaked-following-hack/" TargetMode="External"/><Relationship Id="rId319" Type="http://schemas.openxmlformats.org/officeDocument/2006/relationships/hyperlink" Target="https://www.databreaches.net/puerto-rico-dept-of-health-reports-breach-affecting-400000-triple-s-salud-fined-100k/" TargetMode="External"/><Relationship Id="rId318" Type="http://schemas.openxmlformats.org/officeDocument/2006/relationships/hyperlink" Target="https://www.bankinfosecurity.com/cleveland-federal-reserve-hacked-a-3115" TargetMode="External"/><Relationship Id="rId317" Type="http://schemas.openxmlformats.org/officeDocument/2006/relationships/hyperlink" Target="https://www.inforisktoday.com/400000-affected-by-stolen-pc-a-3853" TargetMode="External"/><Relationship Id="rId312" Type="http://schemas.openxmlformats.org/officeDocument/2006/relationships/hyperlink" Target="https://uk.reuters.com/article/net-us-nasdaq-cybercrime-website/nasdaq-forum-website-hacked-passwords-compromised-idUSBRE96H1F520130718" TargetMode="External"/><Relationship Id="rId311" Type="http://schemas.openxmlformats.org/officeDocument/2006/relationships/hyperlink" Target="http://www.nbcnews.com/technology/scribd-hack-exposes-thousands-users-1B9239618" TargetMode="External"/><Relationship Id="rId310" Type="http://schemas.openxmlformats.org/officeDocument/2006/relationships/hyperlink" Target="http://nakedsecurity.sophos.com/2013/04/05/scribd-worlds-largest-online-library-admits-to-network-intrusion-password-breach/"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money.cnn.com/2015/05/26/pf/taxes/irs-website-data-hack/index.html" TargetMode="External"/><Relationship Id="rId194" Type="http://schemas.openxmlformats.org/officeDocument/2006/relationships/hyperlink" Target="https://www.bbc.co.uk/news/business-34743185" TargetMode="External"/><Relationship Id="rId193" Type="http://schemas.openxmlformats.org/officeDocument/2006/relationships/hyperlink" Target="https://theintercept.com/2015/11/11/securus-hack-prison-phone-company-exposes-thousands-of-calls-lawyers-and-clients/" TargetMode="External"/><Relationship Id="rId192" Type="http://schemas.openxmlformats.org/officeDocument/2006/relationships/hyperlink" Target="http://www.channel4.com/news/adult-friendfinder-dating-hack-internet-dark-web" TargetMode="External"/><Relationship Id="rId191" Type="http://schemas.openxmlformats.org/officeDocument/2006/relationships/hyperlink" Target="http://krebsonsecurity.com/2015/05/mobile-spy-software-maker-mspy-hacked-customer-data-leaked/" TargetMode="External"/><Relationship Id="rId187" Type="http://schemas.openxmlformats.org/officeDocument/2006/relationships/hyperlink" Target="http://www.reuters.com/article/2015/07/09/us-cybersecurity-usa-idUSKCN0PJ2M420150709?feedType=RSS&amp;feedName=topNews&amp;utm_source=twitter" TargetMode="External"/><Relationship Id="rId186" Type="http://schemas.openxmlformats.org/officeDocument/2006/relationships/hyperlink" Target="http://www.bbc.co.uk/news/world-us-canada-33120405" TargetMode="External"/><Relationship Id="rId185" Type="http://schemas.openxmlformats.org/officeDocument/2006/relationships/hyperlink" Target="http://krebsonsecurity.com/2015/07/online-cheating-site-ashleymadison-hacked/" TargetMode="External"/><Relationship Id="rId184" Type="http://schemas.openxmlformats.org/officeDocument/2006/relationships/hyperlink" Target="http://ashleymadison.com" TargetMode="External"/><Relationship Id="rId189" Type="http://schemas.openxmlformats.org/officeDocument/2006/relationships/hyperlink" Target="http://www.theguardian.com/world/2015/mar/30/personal-details-of-world-leaders-accidentally-revealed-by-g20-organisers" TargetMode="External"/><Relationship Id="rId188" Type="http://schemas.openxmlformats.org/officeDocument/2006/relationships/hyperlink" Target="http://www.washingtonpost.com/world/national-security/chinese-hackers-breach-federal-governments-personnel-office/2015/06/04/889c0e52-0af7-11e5-95fd-d580f1c5d44e_story.html?tid=hpModule_04941f10-8a79-11e2-98d9-3012c1cd8d1e" TargetMode="External"/><Relationship Id="rId183" Type="http://schemas.openxmlformats.org/officeDocument/2006/relationships/hyperlink" Target="http://www.theguardian.com/technology/2015/jul/06/hacking-team-hacked-firm-sold-spying-tools-to-repressive-regimes-documents-claim" TargetMode="External"/><Relationship Id="rId182" Type="http://schemas.openxmlformats.org/officeDocument/2006/relationships/hyperlink" Target="http://www.troyhunt.com/2015/11/when-children-are-breached-inside.html" TargetMode="External"/><Relationship Id="rId181" Type="http://schemas.openxmlformats.org/officeDocument/2006/relationships/hyperlink" Target="http://www.theguardian.com/technology/2015/dec/02/vtech-hack-us-hong-kong-investigate-children-exposed" TargetMode="External"/><Relationship Id="rId180" Type="http://schemas.openxmlformats.org/officeDocument/2006/relationships/hyperlink" Target="https://www.csoonline.com/article/3017171/database-leak-exposes-3-3-million-hello-kitty-fans.html" TargetMode="External"/><Relationship Id="rId176" Type="http://schemas.openxmlformats.org/officeDocument/2006/relationships/hyperlink" Target="https://www.upguard.com/breaches/the-rnc-files" TargetMode="External"/><Relationship Id="rId297" Type="http://schemas.openxmlformats.org/officeDocument/2006/relationships/hyperlink" Target="https://www.bbc.co.uk/news/technology-37232635" TargetMode="External"/><Relationship Id="rId175" Type="http://schemas.openxmlformats.org/officeDocument/2006/relationships/hyperlink" Target="http://uk.reuters.com/article/us-usa-voters-breach-idUKKBN0UB1E020151229" TargetMode="External"/><Relationship Id="rId296" Type="http://schemas.openxmlformats.org/officeDocument/2006/relationships/hyperlink" Target="http://www.infoworld.com/article/2615754/cyber-crime/south-carolina-reveals-massive-data-breach-of-social-security-numbers--credit-cards.html" TargetMode="External"/><Relationship Id="rId174" Type="http://schemas.openxmlformats.org/officeDocument/2006/relationships/hyperlink" Target="https://techcrunch.com/2015/02/27/uber-database-breach-exposed-information-of-50000-drivers-company-confirms/" TargetMode="External"/><Relationship Id="rId295" Type="http://schemas.openxmlformats.org/officeDocument/2006/relationships/hyperlink" Target="http://www.wired.co.uk/news/archive/2012-11/22/greece-id-theft" TargetMode="External"/><Relationship Id="rId173" Type="http://schemas.openxmlformats.org/officeDocument/2006/relationships/hyperlink" Target="https://www.computerweekly.com/news/2240242508/Premera-hack-exposes-11-million-financial-and-medical-records" TargetMode="External"/><Relationship Id="rId294" Type="http://schemas.openxmlformats.org/officeDocument/2006/relationships/hyperlink" Target="http://news.cnet.com/8301-1009_3-57509595-83/udid-leak-source-idd-bluetoad-mobile-firm-says-it-was-hacked/" TargetMode="External"/><Relationship Id="rId179" Type="http://schemas.openxmlformats.org/officeDocument/2006/relationships/hyperlink" Target="https://www.dailydot.com/debug/invest-bank-hacker-buba/" TargetMode="External"/><Relationship Id="rId178" Type="http://schemas.openxmlformats.org/officeDocument/2006/relationships/hyperlink" Target="https://www.reddit.com/r/apple/comments/3wq9fc/massive_data_breach/" TargetMode="External"/><Relationship Id="rId299" Type="http://schemas.openxmlformats.org/officeDocument/2006/relationships/hyperlink" Target="http://www.fosters.com/apps/pbcs.dll/article?AID=/20110120/GJNEWS_01/701209744" TargetMode="External"/><Relationship Id="rId177" Type="http://schemas.openxmlformats.org/officeDocument/2006/relationships/hyperlink" Target="https://www.bbc.co.uk/news/technology-35100330" TargetMode="External"/><Relationship Id="rId298" Type="http://schemas.openxmlformats.org/officeDocument/2006/relationships/hyperlink" Target="https://www.inforisktoday.com/new-york-breach-affects-17-million-a-3349" TargetMode="External"/><Relationship Id="rId198" Type="http://schemas.openxmlformats.org/officeDocument/2006/relationships/hyperlink" Target="http://www.theguardian.com/technology/2015/aug/10/carphone-warehouse-uk-data-watchdog-investigating-customer-hack" TargetMode="External"/><Relationship Id="rId197" Type="http://schemas.openxmlformats.org/officeDocument/2006/relationships/hyperlink" Target="http://techcrunch.com/2015/03/27/slack-got-hacked/" TargetMode="External"/><Relationship Id="rId196" Type="http://schemas.openxmlformats.org/officeDocument/2006/relationships/hyperlink" Target="http://www.reuters.com/article/2015/10/02/us-tmobile-dataprotection-idUSKCN0RV5PL20151002" TargetMode="External"/><Relationship Id="rId195" Type="http://schemas.openxmlformats.org/officeDocument/2006/relationships/hyperlink" Target="http://www.bbc.co.uk/news/uk-34611857" TargetMode="External"/><Relationship Id="rId199" Type="http://schemas.openxmlformats.org/officeDocument/2006/relationships/hyperlink" Target="http://www.theguardian.com/business/2015/mar/29/british-airways-frequent-flyer-accounts-hacked" TargetMode="External"/><Relationship Id="rId150" Type="http://schemas.openxmlformats.org/officeDocument/2006/relationships/hyperlink" Target="https://www.neowin.net/news/microsoft-owned-linkedin-is-sending-emails-to-users-about-a-lyndacom-data-breach" TargetMode="External"/><Relationship Id="rId271" Type="http://schemas.openxmlformats.org/officeDocument/2006/relationships/hyperlink" Target="http://www.washingtonpost.com/business/technology/faq-the-global-payments-hack/2012/04/02/gIQAIHLLrS_story.html" TargetMode="External"/><Relationship Id="rId392" Type="http://schemas.openxmlformats.org/officeDocument/2006/relationships/hyperlink" Target="https://www.cnbc.com/id/20775257" TargetMode="External"/><Relationship Id="rId270" Type="http://schemas.openxmlformats.org/officeDocument/2006/relationships/hyperlink" Target="http://www.zdnet.com/blog/security/chinese-hacker-arrested-for-leaking-6-million-logins/11064" TargetMode="External"/><Relationship Id="rId391" Type="http://schemas.openxmlformats.org/officeDocument/2006/relationships/hyperlink" Target="http://www.wired.com/threatlevel/2008/07/ameritrade-hack/" TargetMode="External"/><Relationship Id="rId390" Type="http://schemas.openxmlformats.org/officeDocument/2006/relationships/hyperlink" Target="http://news.bbc.co.uk/2/hi/uk_news/7103911.stm" TargetMode="External"/><Relationship Id="rId1" Type="http://schemas.openxmlformats.org/officeDocument/2006/relationships/hyperlink" Target="https://techcrunch.com/2020/07/28/drizly-data-breach/" TargetMode="External"/><Relationship Id="rId2" Type="http://schemas.openxmlformats.org/officeDocument/2006/relationships/hyperlink" Target="https://www.nytimes.com/2020/08/01/technology/gedmatch-breach-privacy.html?referringSource=articleShare" TargetMode="External"/><Relationship Id="rId3" Type="http://schemas.openxmlformats.org/officeDocument/2006/relationships/hyperlink" Target="https://www.forbes.com/sites/daveywinder/2020/09/21/activision-accounts-hacked-500000-call-of-duty-players-could-be-affected-report/?sh=7ca04e0f7bbe" TargetMode="External"/><Relationship Id="rId149" Type="http://schemas.openxmlformats.org/officeDocument/2006/relationships/hyperlink" Target="http://lynda.com" TargetMode="External"/><Relationship Id="rId4" Type="http://schemas.openxmlformats.org/officeDocument/2006/relationships/hyperlink" Target="https://www.theguardian.com/world/2020/sep/14/zhenhua-data-full-list-leak-database-personal-details-millions-china-tech-company" TargetMode="External"/><Relationship Id="rId148" Type="http://schemas.openxmlformats.org/officeDocument/2006/relationships/hyperlink" Target="http://www.bbc.co.uk/news/technology-38350987" TargetMode="External"/><Relationship Id="rId269" Type="http://schemas.openxmlformats.org/officeDocument/2006/relationships/hyperlink" Target="http://www.huffingtonpost.com/2013/12/19/target-hacked-customer-credit-card-data-accessed_n_4471672.html?utm_hp_ref=mostpopular" TargetMode="External"/><Relationship Id="rId9" Type="http://schemas.openxmlformats.org/officeDocument/2006/relationships/hyperlink" Target="https://9to5mac.com/2020/05/15/db8151dd/" TargetMode="External"/><Relationship Id="rId143" Type="http://schemas.openxmlformats.org/officeDocument/2006/relationships/hyperlink" Target="http://news.softpedia.com/news/syrian-government-hacked-43-gb-of-data-spilled-online-by-hacktivists-502765.shtml" TargetMode="External"/><Relationship Id="rId264" Type="http://schemas.openxmlformats.org/officeDocument/2006/relationships/hyperlink" Target="https://www.bbc.co.uk/news/technology-24740873" TargetMode="External"/><Relationship Id="rId385" Type="http://schemas.openxmlformats.org/officeDocument/2006/relationships/hyperlink" Target="https://www.computerweekly.com/news/2240104003/Hackney-NHS-trust-encrypts-IT-equipment-following-loss-of-child-data" TargetMode="External"/><Relationship Id="rId142" Type="http://schemas.openxmlformats.org/officeDocument/2006/relationships/hyperlink" Target="http://blog.trendmicro.com/trendlabs-security-intelligence/55m-registered-voters-risk-philippine-commission-elections-hacked/" TargetMode="External"/><Relationship Id="rId263" Type="http://schemas.openxmlformats.org/officeDocument/2006/relationships/hyperlink" Target="http://www.securityweek.com/attacker-steals-data-2-million-vodafone-germany-customers" TargetMode="External"/><Relationship Id="rId384" Type="http://schemas.openxmlformats.org/officeDocument/2006/relationships/hyperlink" Target="http://www.pcworld.com/article/135117/article.html" TargetMode="External"/><Relationship Id="rId141" Type="http://schemas.openxmlformats.org/officeDocument/2006/relationships/hyperlink" Target="http://panamapapers.sueddeutsche.de/articles/56febff0a1bb8d3c3495adf4/" TargetMode="External"/><Relationship Id="rId262" Type="http://schemas.openxmlformats.org/officeDocument/2006/relationships/hyperlink" Target="http://www.govtech.com/security/San-Diego-Sues-Experian-Over-Alleged-2010-Breach.html" TargetMode="External"/><Relationship Id="rId383" Type="http://schemas.openxmlformats.org/officeDocument/2006/relationships/hyperlink" Target="http://news.bbc.co.uk/1/hi/uk_politics/7147715.stm" TargetMode="External"/><Relationship Id="rId140" Type="http://schemas.openxmlformats.org/officeDocument/2006/relationships/hyperlink" Target="https://www.cnbc.com/2016/09/22/yahoo-data-breach-is-among-the-biggest-in-history.html" TargetMode="External"/><Relationship Id="rId261" Type="http://schemas.openxmlformats.org/officeDocument/2006/relationships/hyperlink" Target="https://krebsonsecurity.com/2014/03/experian-lapse-allowed-id-theft-service-to-access-200-million-consumer-records/" TargetMode="External"/><Relationship Id="rId382" Type="http://schemas.openxmlformats.org/officeDocument/2006/relationships/hyperlink" Target="http://news.bbc.co.uk/1/hi/6956349.stm" TargetMode="External"/><Relationship Id="rId5" Type="http://schemas.openxmlformats.org/officeDocument/2006/relationships/hyperlink" Target="https://uk.pcmag.com/encryption/128228/report-ai-company-leaks-over-25m-medical-records" TargetMode="External"/><Relationship Id="rId147" Type="http://schemas.openxmlformats.org/officeDocument/2006/relationships/hyperlink" Target="http://www.zdnet.com/article/over-25-million-accounts-stolen-after-mail-ru-forums-raided-by-hackers/" TargetMode="External"/><Relationship Id="rId268" Type="http://schemas.openxmlformats.org/officeDocument/2006/relationships/hyperlink" Target="http://krebsonsecurity.com/2013/09/data-broker-giants-hacked-by-id-theft-service/" TargetMode="External"/><Relationship Id="rId389" Type="http://schemas.openxmlformats.org/officeDocument/2006/relationships/hyperlink" Target="http://www.pcworld.com/article/131453/article.html" TargetMode="External"/><Relationship Id="rId6" Type="http://schemas.openxmlformats.org/officeDocument/2006/relationships/hyperlink" Target="https://techcrunch.com/2020/06/09/nintendo-accounts-affected-breach/?guccounter=1&amp;guce_referrer=aHR0cHM6Ly9nYW1lcy5zbGFzaGRvdC5vcmcvc3RvcnkvMjAvMDYvMDkvMTg0MjIzNy9uaW50ZW5kby1ub3ctc2F5cy0zMDAwMDAtYWNjb3VudHMtYnJlYWNoZWQtYnktaGFja2Vycz91dG1fc291cmNlPXJzczEuMG1haW5saW5rYW5vbiZ1dG1fbWVkaXVtPWZlZWQ&amp;guce_referrer_sig=AQAAAIXC8IvaFgPdt5t-CUm7yPEhKblsmme4097SUtEWdSkjyrdsxVYiQBfbdpekm_Y29T7evb-5zNNl2-ZHfNSmVkKFnE5vClvpvsaPYykOO8WtAX76dZoL2EUkVL8XfmMQBVlNF43T5MATGNeSnwn6Ta6ELVBXnf_ZTsmVaemjk1Vf" TargetMode="External"/><Relationship Id="rId146" Type="http://schemas.openxmlformats.org/officeDocument/2006/relationships/hyperlink" Target="https://www.healthcare-informatics.com/news-item/cybersecurity/breaking-massive-cyber-attack-banner-health-affects-37m-individuals" TargetMode="External"/><Relationship Id="rId267" Type="http://schemas.openxmlformats.org/officeDocument/2006/relationships/hyperlink" Target="http://ssndob.ms" TargetMode="External"/><Relationship Id="rId388" Type="http://schemas.openxmlformats.org/officeDocument/2006/relationships/hyperlink" Target="http://www.zdnet.com/wi-fi-hack-caused-tk-maxx-security-breach-3039286991/" TargetMode="External"/><Relationship Id="rId7" Type="http://schemas.openxmlformats.org/officeDocument/2006/relationships/hyperlink" Target="https://www.zdnet.com/article/details-of-44m-pakistani-mobile-users-leaked-online-part-of-bigger-115m-cache/" TargetMode="External"/><Relationship Id="rId145" Type="http://schemas.openxmlformats.org/officeDocument/2006/relationships/hyperlink" Target="http://www.businessinsider.com/turkish-citizenship-database-allegedly-hacked-and-leaked-2016-4?r=UK&amp;IR=T" TargetMode="External"/><Relationship Id="rId266" Type="http://schemas.openxmlformats.org/officeDocument/2006/relationships/hyperlink" Target="http://www.reuters.com/article/2013/09/26/us-cyberattacks-databrokers-idUSBRE98P03220130926" TargetMode="External"/><Relationship Id="rId387" Type="http://schemas.openxmlformats.org/officeDocument/2006/relationships/hyperlink" Target="https://www.comparebusinessproducts.com/fyi/15-most-massive-data-breaches-history" TargetMode="External"/><Relationship Id="rId8" Type="http://schemas.openxmlformats.org/officeDocument/2006/relationships/hyperlink" Target="https://www.nextgov.com/cybersecurity/2020/05/us-marshals-service-breach-exposed-personal-data-387000-prisoners/165305/" TargetMode="External"/><Relationship Id="rId144" Type="http://schemas.openxmlformats.org/officeDocument/2006/relationships/hyperlink" Target="https://www.bbc.co.uk/news/technology-36168860" TargetMode="External"/><Relationship Id="rId265" Type="http://schemas.openxmlformats.org/officeDocument/2006/relationships/hyperlink" Target="http://www.usatoday.com/story/cybertruth/2013/09/26/lexisnexis-dunn--bradstreet-altegrity-hacked/2878769/" TargetMode="External"/><Relationship Id="rId386" Type="http://schemas.openxmlformats.org/officeDocument/2006/relationships/hyperlink" Target="http://www.pcworld.com/article/137865/article.html" TargetMode="External"/><Relationship Id="rId260" Type="http://schemas.openxmlformats.org/officeDocument/2006/relationships/hyperlink" Target="http://www.wired.co.uk/news/archive/2013-11/13/mac-rumours-forums-hacked" TargetMode="External"/><Relationship Id="rId381" Type="http://schemas.openxmlformats.org/officeDocument/2006/relationships/hyperlink" Target="http://monster.com" TargetMode="External"/><Relationship Id="rId380" Type="http://schemas.openxmlformats.org/officeDocument/2006/relationships/hyperlink" Target="http://news.bbc.co.uk/1/hi/england/gloucestershire/7639006.stm" TargetMode="External"/><Relationship Id="rId139" Type="http://schemas.openxmlformats.org/officeDocument/2006/relationships/hyperlink" Target="https://www.vice.com/en_us/article/8q88k5/hackers-stole-68-million-passwords-from-tumblr-new-analysis-reveals" TargetMode="External"/><Relationship Id="rId138" Type="http://schemas.openxmlformats.org/officeDocument/2006/relationships/hyperlink" Target="https://money.cnn.com/2012/06/06/technology/linkedin-password-hack/?iid=EL" TargetMode="External"/><Relationship Id="rId259" Type="http://schemas.openxmlformats.org/officeDocument/2006/relationships/hyperlink" Target="http://macrumours.com" TargetMode="External"/><Relationship Id="rId137" Type="http://schemas.openxmlformats.org/officeDocument/2006/relationships/hyperlink" Target="http://money.cnn.com/2016/05/19/technology/linkedin-hack/" TargetMode="External"/><Relationship Id="rId258" Type="http://schemas.openxmlformats.org/officeDocument/2006/relationships/hyperlink" Target="http://www.privacyrights.org/data-breach" TargetMode="External"/><Relationship Id="rId379" Type="http://schemas.openxmlformats.org/officeDocument/2006/relationships/hyperlink" Target="http://infowatch.com/node/1289" TargetMode="External"/><Relationship Id="rId132" Type="http://schemas.openxmlformats.org/officeDocument/2006/relationships/hyperlink" Target="https://www.silicon.co.uk/cloud/data-breach-mobile-numbers-malaysia-224079" TargetMode="External"/><Relationship Id="rId253" Type="http://schemas.openxmlformats.org/officeDocument/2006/relationships/hyperlink" Target="https://www.reuters.com/article/us-yahoojapan/yahoo-japan-suspects-22-million-user-ids-leaked-kyodo-idUSBRE94G0P620130517" TargetMode="External"/><Relationship Id="rId374" Type="http://schemas.openxmlformats.org/officeDocument/2006/relationships/hyperlink" Target="http://www.geek.com/articles/news/government-servers-in-chile-hacked-6-million-personal-records-made-public-20080514/" TargetMode="External"/><Relationship Id="rId131" Type="http://schemas.openxmlformats.org/officeDocument/2006/relationships/hyperlink" Target="https://www.lowyat.net/2017/146339/46-2-million-mobile-phone-numbers-leaked-from-2014-data-breach/" TargetMode="External"/><Relationship Id="rId252" Type="http://schemas.openxmlformats.org/officeDocument/2006/relationships/hyperlink" Target="https://www.esecurityplanet.com/hackers/kirkwood-community-college-hacked.html" TargetMode="External"/><Relationship Id="rId373" Type="http://schemas.openxmlformats.org/officeDocument/2006/relationships/hyperlink" Target="http://news.bbc.co.uk/2/hi/americas/7395295.stm" TargetMode="External"/><Relationship Id="rId130" Type="http://schemas.openxmlformats.org/officeDocument/2006/relationships/hyperlink" Target="https://www.bleepingcomputer.com/news/security/paypal-says-1-6-million-customer-details-stolen-in-breach-at-canadian-subsidiary/" TargetMode="External"/><Relationship Id="rId251" Type="http://schemas.openxmlformats.org/officeDocument/2006/relationships/hyperlink" Target="http://www.digitaltrends.com/mobile/evernote-hack-50-million-users-forced-to-reset-passwords/" TargetMode="External"/><Relationship Id="rId372" Type="http://schemas.openxmlformats.org/officeDocument/2006/relationships/hyperlink" Target="http://archive.sltrib.com/story.php?ref=/ci_9540210" TargetMode="External"/><Relationship Id="rId250" Type="http://schemas.openxmlformats.org/officeDocument/2006/relationships/hyperlink" Target="http://www.wired.co.uk/news/archive/2013-03/04/evernote-hacked" TargetMode="External"/><Relationship Id="rId371" Type="http://schemas.openxmlformats.org/officeDocument/2006/relationships/hyperlink" Target="http://www.sfgate.com/bayarea/article/Stanford-employees-data-on-stolen-laptop-3281185.php" TargetMode="External"/><Relationship Id="rId136" Type="http://schemas.openxmlformats.org/officeDocument/2006/relationships/hyperlink" Target="https://thehackernews.com/2017/09/hacker-track-car.html" TargetMode="External"/><Relationship Id="rId257" Type="http://schemas.openxmlformats.org/officeDocument/2006/relationships/hyperlink" Target="https://www.reuters.com/article/us-usa-hack-washingtonstate-idUSBRE9480YY20130509" TargetMode="External"/><Relationship Id="rId378" Type="http://schemas.openxmlformats.org/officeDocument/2006/relationships/hyperlink" Target="https://www.dw.com/en/telekom-says-data-from-17-million-customers-was-stolen/a-3690132" TargetMode="External"/><Relationship Id="rId135" Type="http://schemas.openxmlformats.org/officeDocument/2006/relationships/hyperlink" Target="https://www.consumer.ftc.gov/blog/2017/09/equifax-data-breach-what-do" TargetMode="External"/><Relationship Id="rId256" Type="http://schemas.openxmlformats.org/officeDocument/2006/relationships/hyperlink" Target="http://www.wired.co.uk/news/archive/2013-05/23/reporter-google-breach-hacker" TargetMode="External"/><Relationship Id="rId377" Type="http://schemas.openxmlformats.org/officeDocument/2006/relationships/hyperlink" Target="http://news.bbc.co.uk/1/hi/uk_politics/7667507.stm" TargetMode="External"/><Relationship Id="rId134" Type="http://schemas.openxmlformats.org/officeDocument/2006/relationships/hyperlink" Target="https://thehackernews.com/2017/09/viacom-amazon-server.html" TargetMode="External"/><Relationship Id="rId255" Type="http://schemas.openxmlformats.org/officeDocument/2006/relationships/hyperlink" Target="http://boingboing.net/2013/05/23/terracom-and-yourtel-threaten.html" TargetMode="External"/><Relationship Id="rId376" Type="http://schemas.openxmlformats.org/officeDocument/2006/relationships/hyperlink" Target="https://infowatch.com/analytics/leaks_monitoring/1304" TargetMode="External"/><Relationship Id="rId133" Type="http://schemas.openxmlformats.org/officeDocument/2006/relationships/hyperlink" Target="https://www.theverge.com/2017/9/1/16244304/instagram-hack-api-bug-doxagram-selena-gomez" TargetMode="External"/><Relationship Id="rId254" Type="http://schemas.openxmlformats.org/officeDocument/2006/relationships/hyperlink" Target="http://arstechnica.com/security/2013/05/drupal-org-resets-login-credentials-after-hack-exposes-password-data/" TargetMode="External"/><Relationship Id="rId375" Type="http://schemas.openxmlformats.org/officeDocument/2006/relationships/hyperlink" Target="https://www.chron.com/news/houston-texas/article/89-000-lottery-winners-affected-by-security-breach-1603025.php" TargetMode="External"/><Relationship Id="rId172" Type="http://schemas.openxmlformats.org/officeDocument/2006/relationships/hyperlink" Target="http://blog.twitch.tv/2015/03/important-notice-about-your-twitch-account/" TargetMode="External"/><Relationship Id="rId293" Type="http://schemas.openxmlformats.org/officeDocument/2006/relationships/hyperlink" Target="http://news.cnet.com/8301-1009_3-57505330-83/antisec-claims-to-have-snatched-12m-apple-device-ids-from-fbi/" TargetMode="External"/><Relationship Id="rId171" Type="http://schemas.openxmlformats.org/officeDocument/2006/relationships/hyperlink" Target="https://krebsonsecurity.com/2015/05/carefirst-blue-cross-breach-hits-1-1m/" TargetMode="External"/><Relationship Id="rId292" Type="http://schemas.openxmlformats.org/officeDocument/2006/relationships/hyperlink" Target="http://www.pcworld.com/article/252647/reborn_lulzsec_claims_hack_of_dating_site_for_military_personnel.html" TargetMode="External"/><Relationship Id="rId170" Type="http://schemas.openxmlformats.org/officeDocument/2006/relationships/hyperlink" Target="http://www.digitaltrends.com/computing/clixsense-hacked/" TargetMode="External"/><Relationship Id="rId291" Type="http://schemas.openxmlformats.org/officeDocument/2006/relationships/hyperlink" Target="http://militarysingles.com" TargetMode="External"/><Relationship Id="rId290" Type="http://schemas.openxmlformats.org/officeDocument/2006/relationships/hyperlink" Target="http://www.forbes.com/sites/andygreenberg/2012/07/23/eight-million-passwords-spilled-from-gaming-site-gamigo-months-after-breach/" TargetMode="External"/><Relationship Id="rId165" Type="http://schemas.openxmlformats.org/officeDocument/2006/relationships/hyperlink" Target="https://techcrunch.com/2016/10/20/weebly-hacked-43-million-credentials-stolen/" TargetMode="External"/><Relationship Id="rId286" Type="http://schemas.openxmlformats.org/officeDocument/2006/relationships/hyperlink" Target="http://last.fm" TargetMode="External"/><Relationship Id="rId164" Type="http://schemas.openxmlformats.org/officeDocument/2006/relationships/hyperlink" Target="http://www.zdnet.com/article/dailymotion-hack-exposes-millions-of-accounts/" TargetMode="External"/><Relationship Id="rId285" Type="http://schemas.openxmlformats.org/officeDocument/2006/relationships/hyperlink" Target="https://www.helpnetsecurity.com/2012/07/12/nearly-half-a-million-yahoo-passwords-leaked-following-hack/" TargetMode="External"/><Relationship Id="rId163" Type="http://schemas.openxmlformats.org/officeDocument/2006/relationships/hyperlink" Target="http://venturebeat.com/2016/08/02/hackers-break-into-telegram-revealing-15-million-users-phone-numbers/" TargetMode="External"/><Relationship Id="rId284" Type="http://schemas.openxmlformats.org/officeDocument/2006/relationships/hyperlink" Target="http://news.cnet.com/8301-1009_3-57482215-83/hackers-accused-of-stealing-data-from-9m-korean-mobile-users/" TargetMode="External"/><Relationship Id="rId162" Type="http://schemas.openxmlformats.org/officeDocument/2006/relationships/hyperlink" Target="http://www.abc.net.au/news/2016-10-28/red-cross-blood-service-admits-to-data-breach/7974036" TargetMode="External"/><Relationship Id="rId283" Type="http://schemas.openxmlformats.org/officeDocument/2006/relationships/hyperlink" Target="http://www.koreatimes.co.kr/www/news/biz/2012/07/113_116143.html" TargetMode="External"/><Relationship Id="rId169" Type="http://schemas.openxmlformats.org/officeDocument/2006/relationships/hyperlink" Target="https://www.vice.com/en_us/article/vv7pgd/nearly-800000-brazzers-porn-site-accounts-exposed-in-forum-hack" TargetMode="External"/><Relationship Id="rId168" Type="http://schemas.openxmlformats.org/officeDocument/2006/relationships/hyperlink" Target="http://www.zdnet.com/article/adultfriendfinder-network-hack-exposes-secrets-of-412-million-users/" TargetMode="External"/><Relationship Id="rId289" Type="http://schemas.openxmlformats.org/officeDocument/2006/relationships/hyperlink" Target="http://news.cnet.com/8301-1009_3-57449325-83/what-the-password-leaks-mean-to-you-faq/?tag=mncol;txt" TargetMode="External"/><Relationship Id="rId167" Type="http://schemas.openxmlformats.org/officeDocument/2006/relationships/hyperlink" Target="http://newsroom.questdiagnostics.com/2016-12-12-Quest-Diagnostics-Provides-Notice-of-Data-Security-Incident" TargetMode="External"/><Relationship Id="rId288" Type="http://schemas.openxmlformats.org/officeDocument/2006/relationships/hyperlink" Target="https://www.zdnet.com/article/last-fm-investigating-security-issue-passwords-leaked/" TargetMode="External"/><Relationship Id="rId166" Type="http://schemas.openxmlformats.org/officeDocument/2006/relationships/hyperlink" Target="http://www.nytimes.com/2016/07/29/world/asia/north-korea-hacking-interpark.html" TargetMode="External"/><Relationship Id="rId287" Type="http://schemas.openxmlformats.org/officeDocument/2006/relationships/hyperlink" Target="http://www.zdnet.com/article/hackers-stole-43-million-last-fm-account-details-in-2012-breach/" TargetMode="External"/><Relationship Id="rId161" Type="http://schemas.openxmlformats.org/officeDocument/2006/relationships/hyperlink" Target="http://www.threemediacentre.co.uk/news/2017/handsetfraud-update.aspx" TargetMode="External"/><Relationship Id="rId282" Type="http://schemas.openxmlformats.org/officeDocument/2006/relationships/hyperlink" Target="http://news.cnet.com/8301-1009_3-57469944-83/formspring-disables-user-passwords-in-security-breach/?tag=mncol;txt" TargetMode="External"/><Relationship Id="rId160" Type="http://schemas.openxmlformats.org/officeDocument/2006/relationships/hyperlink" Target="https://www.vice.com/en_us/article/pgkk8v/427-million-myspace-passwords-emails-data-breach" TargetMode="External"/><Relationship Id="rId281" Type="http://schemas.openxmlformats.org/officeDocument/2006/relationships/hyperlink" Target="http://www.forbes.com/sites/andygreenberg/2012/01/15/zappos-says-hackers-accessed-24-million-customers-account-details/" TargetMode="External"/><Relationship Id="rId280" Type="http://schemas.openxmlformats.org/officeDocument/2006/relationships/hyperlink" Target="https://www.databreaches.net/more-breaches-you-may-not-have-known-about/" TargetMode="External"/><Relationship Id="rId159" Type="http://schemas.openxmlformats.org/officeDocument/2006/relationships/hyperlink" Target="https://www.ibtimes.co.uk/fling-com-breach-passwords-sexual-preferences-40-million-users-sale-dark-web-1558711" TargetMode="External"/><Relationship Id="rId154" Type="http://schemas.openxmlformats.org/officeDocument/2006/relationships/hyperlink" Target="https://torrentfreak.com/utorrent-forums-hacked-passwords-compromised-160608/" TargetMode="External"/><Relationship Id="rId275" Type="http://schemas.openxmlformats.org/officeDocument/2006/relationships/hyperlink" Target="http://news.emory.edu/stories/2012/04/ehc_missing_data/campus.html" TargetMode="External"/><Relationship Id="rId396" Type="http://schemas.openxmlformats.org/officeDocument/2006/relationships/hyperlink" Target="http://abcnews.go.com/Technology/story?id=2160425&amp;page=1" TargetMode="External"/><Relationship Id="rId153" Type="http://schemas.openxmlformats.org/officeDocument/2006/relationships/hyperlink" Target="http://news.trust.org/item/20160729204542-r98dj" TargetMode="External"/><Relationship Id="rId274" Type="http://schemas.openxmlformats.org/officeDocument/2006/relationships/hyperlink" Target="https://www.businessinsider.com/california-child-support-data-breach-2012-4?IR=T" TargetMode="External"/><Relationship Id="rId395" Type="http://schemas.openxmlformats.org/officeDocument/2006/relationships/hyperlink" Target="https://www.va.gov/oig/pubs/VAOIG-06-02238-163.pdf" TargetMode="External"/><Relationship Id="rId152" Type="http://schemas.openxmlformats.org/officeDocument/2006/relationships/hyperlink" Target="https://www.forbes.com/sites/moneybuilder/2016/07/08/this-week-in-credit-card-news-wendys-data-breach-affects-1000-stores-card-fraud-dropping/" TargetMode="External"/><Relationship Id="rId273" Type="http://schemas.openxmlformats.org/officeDocument/2006/relationships/hyperlink" Target="http://www.zdnet.com/blog/security/3-million-bank-accounts-hacked-in-iran/11577" TargetMode="External"/><Relationship Id="rId394" Type="http://schemas.openxmlformats.org/officeDocument/2006/relationships/hyperlink" Target="http://gcn.com/Articles/2009/02/02/VA-data-breach-suit-settlement.aspx" TargetMode="External"/><Relationship Id="rId151" Type="http://schemas.openxmlformats.org/officeDocument/2006/relationships/hyperlink" Target="https://www.zdnet.com/article/ubuntu-forums-hack-exposes-two-million-users/" TargetMode="External"/><Relationship Id="rId272" Type="http://schemas.openxmlformats.org/officeDocument/2006/relationships/hyperlink" Target="https://www.infosecurity-magazine.com/news/data-breach-hits-228000-south-carolina-medicaid/" TargetMode="External"/><Relationship Id="rId393" Type="http://schemas.openxmlformats.org/officeDocument/2006/relationships/hyperlink" Target="http://techcrunch.com/2006/08/06/aol-proudly-releases-massive-amounts-of-user-search-data/" TargetMode="External"/><Relationship Id="rId158" Type="http://schemas.openxmlformats.org/officeDocument/2006/relationships/hyperlink" Target="https://motherboard.vice.com/en_us/article/pgkp57/a-teen-hacker-is-targeting-russian-sites-as-revenge-for-the-mh17-crash" TargetMode="External"/><Relationship Id="rId279" Type="http://schemas.openxmlformats.org/officeDocument/2006/relationships/hyperlink" Target="https://www.databreaches.net/nyseg-and-rge-notify-customers-of-unauthorized-access-to-customer-data/" TargetMode="External"/><Relationship Id="rId157" Type="http://schemas.openxmlformats.org/officeDocument/2006/relationships/hyperlink" Target="http://motherboard.vice.com/read/another-day-another-hack-100-million-accounts-for-vk-russias-facebook" TargetMode="External"/><Relationship Id="rId278" Type="http://schemas.openxmlformats.org/officeDocument/2006/relationships/hyperlink" Target="https://www.forbes.com/sites/erikkain/2012/08/09/its-official-blizzard-hacked-account-information-stolen/" TargetMode="External"/><Relationship Id="rId399" Type="http://schemas.openxmlformats.org/officeDocument/2006/relationships/hyperlink" Target="http://www.nbcnews.com/id/7561268/" TargetMode="External"/><Relationship Id="rId156" Type="http://schemas.openxmlformats.org/officeDocument/2006/relationships/hyperlink" Target="http://www.bbc.co.uk/news/world-europe-36645519" TargetMode="External"/><Relationship Id="rId277" Type="http://schemas.openxmlformats.org/officeDocument/2006/relationships/hyperlink" Target="https://www.reuters.com/article/us-usa-hackers-utah/european-hackers-suspected-in-utah-medicaid-files-breach-idUSBRE83404G20120405" TargetMode="External"/><Relationship Id="rId398" Type="http://schemas.openxmlformats.org/officeDocument/2006/relationships/hyperlink" Target="https://www.computerweekly.com/news/2240076956/Personal-data-on-200000-HP-employees-stolen" TargetMode="External"/><Relationship Id="rId155" Type="http://schemas.openxmlformats.org/officeDocument/2006/relationships/hyperlink" Target="https://thestack.com/security/2016/06/29/2-million-person-terror-database-leaked-online/" TargetMode="External"/><Relationship Id="rId276" Type="http://schemas.openxmlformats.org/officeDocument/2006/relationships/hyperlink" Target="http://www.rawstory.com/rs/2012/04/26/texas-attorney-general-exposes-millions-of-voters-social-security-numbers/" TargetMode="External"/><Relationship Id="rId397" Type="http://schemas.openxmlformats.org/officeDocument/2006/relationships/hyperlink" Target="http://www.computerworld.com/s/article/9001150/KDDI_suffers_massive_data_breach" TargetMode="External"/><Relationship Id="rId40" Type="http://schemas.openxmlformats.org/officeDocument/2006/relationships/hyperlink" Target="https://www.theregister.co.uk/2019/02/11/620_million_hacked_accounts_dark_web/" TargetMode="External"/><Relationship Id="rId42" Type="http://schemas.openxmlformats.org/officeDocument/2006/relationships/hyperlink" Target="https://www.theregister.co.uk/2019/02/11/620_million_hacked_accounts_dark_web/" TargetMode="External"/><Relationship Id="rId41" Type="http://schemas.openxmlformats.org/officeDocument/2006/relationships/hyperlink" Target="https://www.theregister.co.uk/2019/02/11/620_million_hacked_accounts_dark_web/" TargetMode="External"/><Relationship Id="rId44" Type="http://schemas.openxmlformats.org/officeDocument/2006/relationships/hyperlink" Target="https://www.theregister.co.uk/2019/02/11/620_million_hacked_accounts_dark_web/" TargetMode="External"/><Relationship Id="rId43" Type="http://schemas.openxmlformats.org/officeDocument/2006/relationships/hyperlink" Target="https://www.theregister.co.uk/2019/02/11/620_million_hacked_accounts_dark_web/" TargetMode="External"/><Relationship Id="rId46" Type="http://schemas.openxmlformats.org/officeDocument/2006/relationships/hyperlink" Target="https://www.theregister.co.uk/2019/02/11/620_million_hacked_accounts_dark_web/" TargetMode="External"/><Relationship Id="rId45" Type="http://schemas.openxmlformats.org/officeDocument/2006/relationships/hyperlink" Target="https://www.theregister.co.uk/2019/02/11/620_million_hacked_accounts_dark_web/" TargetMode="External"/><Relationship Id="rId48" Type="http://schemas.openxmlformats.org/officeDocument/2006/relationships/hyperlink" Target="https://techcrunch.com/2019/02/14/hacker-strikes-again/" TargetMode="External"/><Relationship Id="rId47" Type="http://schemas.openxmlformats.org/officeDocument/2006/relationships/hyperlink" Target="https://techcrunch.com/2019/02/14/hacker-strikes-again/" TargetMode="External"/><Relationship Id="rId49" Type="http://schemas.openxmlformats.org/officeDocument/2006/relationships/hyperlink" Target="https://techcrunch.com/2019/01/31/houzz-data-breach/" TargetMode="External"/><Relationship Id="rId31" Type="http://schemas.openxmlformats.org/officeDocument/2006/relationships/hyperlink" Target="https://www.theguardian.com/world/2019/mar/11/china-database-lists-breedready-status-of-18-million-women" TargetMode="External"/><Relationship Id="rId30" Type="http://schemas.openxmlformats.org/officeDocument/2006/relationships/hyperlink" Target="https://global.toyota/jp/newsroom/corporate/27465617.html" TargetMode="External"/><Relationship Id="rId33" Type="http://schemas.openxmlformats.org/officeDocument/2006/relationships/hyperlink" Target="https://thenextweb.com/eu/2019/02/18/2-7-million-patient-calls-to-swedish-healthcare-hotline-left-unprotected-online/" TargetMode="External"/><Relationship Id="rId32" Type="http://schemas.openxmlformats.org/officeDocument/2006/relationships/hyperlink" Target="https://computersweden.idg.se/2.2683/1.714787/inspelade-samtal-1177-vardguiden-oskyddade-internet" TargetMode="External"/><Relationship Id="rId35" Type="http://schemas.openxmlformats.org/officeDocument/2006/relationships/hyperlink" Target="https://www.theregister.co.uk/2019/02/11/620_million_hacked_accounts_dark_web/" TargetMode="External"/><Relationship Id="rId34" Type="http://schemas.openxmlformats.org/officeDocument/2006/relationships/hyperlink" Target="https://www.theregister.co.uk/2019/02/11/620_million_hacked_accounts_dark_web/" TargetMode="External"/><Relationship Id="rId37" Type="http://schemas.openxmlformats.org/officeDocument/2006/relationships/hyperlink" Target="https://www.theregister.co.uk/2019/02/11/620_million_hacked_accounts_dark_web/" TargetMode="External"/><Relationship Id="rId36" Type="http://schemas.openxmlformats.org/officeDocument/2006/relationships/hyperlink" Target="https://www.theregister.co.uk/2019/02/11/620_million_hacked_accounts_dark_web/" TargetMode="External"/><Relationship Id="rId39" Type="http://schemas.openxmlformats.org/officeDocument/2006/relationships/hyperlink" Target="https://www.theregister.co.uk/2019/02/11/620_million_hacked_accounts_dark_web/" TargetMode="External"/><Relationship Id="rId38" Type="http://schemas.openxmlformats.org/officeDocument/2006/relationships/hyperlink" Target="https://www.theregister.co.uk/2019/02/11/620_million_hacked_accounts_dark_web/" TargetMode="External"/><Relationship Id="rId20" Type="http://schemas.openxmlformats.org/officeDocument/2006/relationships/hyperlink" Target="https://www.tellerreport.com/news/2020-01-22---big-data-leak--media--at-buchbinder-car-rental-company--customer-data-was-open-.BJ-S5Jk8Z8.html" TargetMode="External"/><Relationship Id="rId22" Type="http://schemas.openxmlformats.org/officeDocument/2006/relationships/hyperlink" Target="https://www.cbc.ca/news/canada/montreal/desjardins-data-breach-1.5344216" TargetMode="External"/><Relationship Id="rId21" Type="http://schemas.openxmlformats.org/officeDocument/2006/relationships/hyperlink" Target="https://krebsonsecurity.com/2020/01/wawa-breach-may-have-compromised-more-than-30-million-payment-cards/" TargetMode="External"/><Relationship Id="rId24" Type="http://schemas.openxmlformats.org/officeDocument/2006/relationships/hyperlink" Target="https://www.zdnet.com/article/amca-data-breach-has-now-gone-over-the-20-million-mark/" TargetMode="External"/><Relationship Id="rId23" Type="http://schemas.openxmlformats.org/officeDocument/2006/relationships/hyperlink" Target="https://www.washingtonpost.com/technology/2019/06/10/us-customs-border-protection-says-photos-travelers-into-out-country-were-recently-taken-data-breach/?utm_term=.69c66aaf152f" TargetMode="External"/><Relationship Id="rId403" Type="http://schemas.openxmlformats.org/officeDocument/2006/relationships/drawing" Target="../drawings/drawing8.xml"/><Relationship Id="rId402" Type="http://schemas.openxmlformats.org/officeDocument/2006/relationships/hyperlink" Target="http://money.cnn.com/2004/06/23/technology/aol_spam/" TargetMode="External"/><Relationship Id="rId401" Type="http://schemas.openxmlformats.org/officeDocument/2006/relationships/hyperlink" Target="https://www.wired.com/2005/06/cardsystems-data-left-unsecured/" TargetMode="External"/><Relationship Id="rId26" Type="http://schemas.openxmlformats.org/officeDocument/2006/relationships/hyperlink" Target="https://www.zdnet.com/article/australian-tech-unicorn-canva-suffers-security-breach/" TargetMode="External"/><Relationship Id="rId25" Type="http://schemas.openxmlformats.org/officeDocument/2006/relationships/hyperlink" Target="https://www.theguardian.com/australia-news/2019/jun/04/australian-national-university-hit-by-huge-data-breach" TargetMode="External"/><Relationship Id="rId28" Type="http://schemas.openxmlformats.org/officeDocument/2006/relationships/hyperlink" Target="https://techcrunch.com/2019/04/22/hotspot-password-leak/" TargetMode="External"/><Relationship Id="rId27" Type="http://schemas.openxmlformats.org/officeDocument/2006/relationships/hyperlink" Target="https://techcrunch.com/2019/05/20/instagram-influencer-celebrity-accounts-scraped/" TargetMode="External"/><Relationship Id="rId400" Type="http://schemas.openxmlformats.org/officeDocument/2006/relationships/hyperlink" Target="http://www.nytimes.com/2005/06/07/business/07data.html?pagewanted=all&amp;_moc.semityn.www" TargetMode="External"/><Relationship Id="rId29" Type="http://schemas.openxmlformats.org/officeDocument/2006/relationships/hyperlink" Target="https://www.bleepingcomputer.com/news/security/toyota-security-breach-exposes-personal-info-of-31-million-clients/" TargetMode="External"/><Relationship Id="rId11" Type="http://schemas.openxmlformats.org/officeDocument/2006/relationships/hyperlink" Target="https://www.forbes.com/sites/daveywinder/2020/01/22/microsoft-security-shocker-as-250-million-customer-records-exposed-online/" TargetMode="External"/><Relationship Id="rId10" Type="http://schemas.openxmlformats.org/officeDocument/2006/relationships/hyperlink" Target="https://www.bbc.co.uk/news/technology-52722626" TargetMode="External"/><Relationship Id="rId13" Type="http://schemas.openxmlformats.org/officeDocument/2006/relationships/hyperlink" Target="https://www.bbc.co.uk/news/business-51760510" TargetMode="External"/><Relationship Id="rId12" Type="http://schemas.openxmlformats.org/officeDocument/2006/relationships/hyperlink" Target="https://www.zdnet.com/article/dutch-government-loses-hard-drives-with-data-of-6-9-million-registered-donors/" TargetMode="External"/><Relationship Id="rId15" Type="http://schemas.openxmlformats.org/officeDocument/2006/relationships/hyperlink" Target="https://www.techradar.com/uk/news/tesco-clubcard-holders-warned-of-major-security-issue" TargetMode="External"/><Relationship Id="rId14" Type="http://schemas.openxmlformats.org/officeDocument/2006/relationships/hyperlink" Target="https://www.which.co.uk/news/2020/03/boots-advantage-card-tesco-clubcard-both-suffer-data-breaches-in-same-week/" TargetMode="External"/><Relationship Id="rId17" Type="http://schemas.openxmlformats.org/officeDocument/2006/relationships/hyperlink" Target="https://www.welivesecurity.com/2020/04/16/half-million-zoom-accounts-sale-dark-web/" TargetMode="External"/><Relationship Id="rId16" Type="http://schemas.openxmlformats.org/officeDocument/2006/relationships/hyperlink" Target="https://news.marriott.com/news/2020/03/31/marriott-international-notifies-guests-of-property-system-incident" TargetMode="External"/><Relationship Id="rId19" Type="http://schemas.openxmlformats.org/officeDocument/2006/relationships/hyperlink" Target="https://www.zdnet.com/article/exclusive-details-of-10-6-million-of-mgm-hotel-guests-posted-on-a-hacking-forum/" TargetMode="External"/><Relationship Id="rId18" Type="http://schemas.openxmlformats.org/officeDocument/2006/relationships/hyperlink" Target="https://www.nytimes.com/2020/02/10/world/middleeast/israeli-voters-leak.html?action=click&amp;module=News&amp;pgtype=Homepage" TargetMode="External"/><Relationship Id="rId84" Type="http://schemas.openxmlformats.org/officeDocument/2006/relationships/hyperlink" Target="https://www.khaleejtimes.com/nation/dubai//dubais-careem-admits-to-data-breach-of-14-million-users" TargetMode="External"/><Relationship Id="rId83" Type="http://schemas.openxmlformats.org/officeDocument/2006/relationships/hyperlink" Target="https://www.nytimes.com/2018/04/01/technology/saks-lord-taylor-credit-cards.html" TargetMode="External"/><Relationship Id="rId86" Type="http://schemas.openxmlformats.org/officeDocument/2006/relationships/hyperlink" Target="https://www.theguardian.com/business/2018/sep/06/british-airways-customer-data-stolen-from-its-website" TargetMode="External"/><Relationship Id="rId85" Type="http://schemas.openxmlformats.org/officeDocument/2006/relationships/hyperlink" Target="https://techcrunch.com/2018/08/23/millions-of-texas-voter-records-exposed-online/" TargetMode="External"/><Relationship Id="rId88" Type="http://schemas.openxmlformats.org/officeDocument/2006/relationships/hyperlink" Target="https://www.theguardian.com/technology/2018/mar/30/hackers-steal-data-150m-myfitnesspal-app-users-under-armour" TargetMode="External"/><Relationship Id="rId87" Type="http://schemas.openxmlformats.org/officeDocument/2006/relationships/hyperlink" Target="https://motherboard.vice.com/en_us/article/a3qpk5/t-mobile-hack-data-breach-api-customer-data" TargetMode="External"/><Relationship Id="rId89" Type="http://schemas.openxmlformats.org/officeDocument/2006/relationships/hyperlink" Target="https://www.itgovernance.eu/blog/en/breach-at-norways-largest-healthcare-authority-was-a-disaster-waiting-to-happen" TargetMode="External"/><Relationship Id="rId80" Type="http://schemas.openxmlformats.org/officeDocument/2006/relationships/hyperlink" Target="https://medium.com/@djhoulihan/no-panera-bread-doesnt-take-security-seriously-bf078027f815" TargetMode="External"/><Relationship Id="rId82" Type="http://schemas.openxmlformats.org/officeDocument/2006/relationships/hyperlink" Target="https://www.bloombergquint.com/technology/hack-of-dna-website-exposes-data-from-92-million-user-accounts" TargetMode="External"/><Relationship Id="rId81" Type="http://schemas.openxmlformats.org/officeDocument/2006/relationships/hyperlink" Target="https://www.bbc.co.uk/news/business-45016906" TargetMode="External"/><Relationship Id="rId73" Type="http://schemas.openxmlformats.org/officeDocument/2006/relationships/hyperlink" Target="https://www.theverge.com/2018/12/10/18134541/google-plus-privacy-api-data-leak-developers" TargetMode="External"/><Relationship Id="rId72" Type="http://schemas.openxmlformats.org/officeDocument/2006/relationships/hyperlink" Target="https://blog.hackenproof.com/industry-news/202-million-private-resumes-exposed" TargetMode="External"/><Relationship Id="rId75" Type="http://schemas.openxmlformats.org/officeDocument/2006/relationships/hyperlink" Target="https://www.nytimes.com/2018/11/30/business/marriott-data-breach.html" TargetMode="External"/><Relationship Id="rId74" Type="http://schemas.openxmlformats.org/officeDocument/2006/relationships/hyperlink" Target="https://www.nytimes.com/2018/12/04/technology/quora-hack-data-breach.html" TargetMode="External"/><Relationship Id="rId77" Type="http://schemas.openxmlformats.org/officeDocument/2006/relationships/hyperlink" Target="http://www.flanderstoday.eu/business/nmbs-data-leak-was-breach-privacy" TargetMode="External"/><Relationship Id="rId76" Type="http://schemas.openxmlformats.org/officeDocument/2006/relationships/hyperlink" Target="https://www.cnet.com/news/marriott-says-hackers-stole-more-than-5-million-passport-numbers/" TargetMode="External"/><Relationship Id="rId79" Type="http://schemas.openxmlformats.org/officeDocument/2006/relationships/hyperlink" Target="https://krebsonsecurity.com/2018/04/panerabread-com-leaks-millions-of-customer-records/" TargetMode="External"/><Relationship Id="rId78" Type="http://schemas.openxmlformats.org/officeDocument/2006/relationships/hyperlink" Target="https://www.theguardian.com/news/2018/mar/17/cambridge-analytica-facebook-influence-us-election?CMP=twt_gu" TargetMode="External"/><Relationship Id="rId71" Type="http://schemas.openxmlformats.org/officeDocument/2006/relationships/hyperlink" Target="https://www.abc.net.au/news/2018-10-25/cathay-pacific-data-breach-affects-9.4-million-customers/10429878" TargetMode="External"/><Relationship Id="rId70" Type="http://schemas.openxmlformats.org/officeDocument/2006/relationships/hyperlink" Target="https://krebsonsecurity.com/2018/09/govpaynow-com-leaks-14m-records/" TargetMode="External"/><Relationship Id="rId62" Type="http://schemas.openxmlformats.org/officeDocument/2006/relationships/hyperlink" Target="https://www.theguardian.com/technology/2019/aug/14/major-breach-found-in-biometrics-system-used-by-banks-uk-police-and-defence-firms" TargetMode="External"/><Relationship Id="rId61" Type="http://schemas.openxmlformats.org/officeDocument/2006/relationships/hyperlink" Target="https://www.forbes.com/sites/rachelsandler/2019/07/29/capital-one-says-hacker-breached-accounts-of-100-million-people-ex-amazon-employee-arrested/" TargetMode="External"/><Relationship Id="rId64" Type="http://schemas.openxmlformats.org/officeDocument/2006/relationships/hyperlink" Target="https://techcrunch.com/2019/09/26/doordash-data-breach/" TargetMode="External"/><Relationship Id="rId63" Type="http://schemas.openxmlformats.org/officeDocument/2006/relationships/hyperlink" Target="https://www.fastcompany.com/90399734/the-phone-numbers-of-419-million-facebook-accounts-have-been-leaked" TargetMode="External"/><Relationship Id="rId66" Type="http://schemas.openxmlformats.org/officeDocument/2006/relationships/hyperlink" Target="https://www.dataviper.io/blog/2019/pdl-data-exposure-billion-people/" TargetMode="External"/><Relationship Id="rId65" Type="http://schemas.openxmlformats.org/officeDocument/2006/relationships/hyperlink" Target="https://arstechnica.com/information-technology/2019/10/data-for-a-whopping-26-million-stolen-payment-cards-leaked-in-hack-of-fraud-bazaar/" TargetMode="External"/><Relationship Id="rId68" Type="http://schemas.openxmlformats.org/officeDocument/2006/relationships/hyperlink" Target="https://www.straitstimes.com/singapore/personal-info-of-15m-singhealth-patients-including-pm-lee-stolen-in-singapores-most" TargetMode="External"/><Relationship Id="rId67" Type="http://schemas.openxmlformats.org/officeDocument/2006/relationships/hyperlink" Target="http://fortune.com/2018/12/18/click2gov-local-government-portals-hackers-credit-card-breach/" TargetMode="External"/><Relationship Id="rId60" Type="http://schemas.openxmlformats.org/officeDocument/2006/relationships/hyperlink" Target="https://www.zdnet.com/article/hacker-steals-data-of-millions-of-bulgarians-emails-it-to-local-media/" TargetMode="External"/><Relationship Id="rId69" Type="http://schemas.openxmlformats.org/officeDocument/2006/relationships/hyperlink" Target="http://govpaynow.com" TargetMode="External"/><Relationship Id="rId51" Type="http://schemas.openxmlformats.org/officeDocument/2006/relationships/hyperlink" Target="https://techcrunch.com/2019/02/14/hacker-strikes-again/" TargetMode="External"/><Relationship Id="rId50" Type="http://schemas.openxmlformats.org/officeDocument/2006/relationships/hyperlink" Target="http://ge.tt" TargetMode="External"/><Relationship Id="rId53" Type="http://schemas.openxmlformats.org/officeDocument/2006/relationships/hyperlink" Target="https://techcrunch.com/2019/02/14/hacker-strikes-again/" TargetMode="External"/><Relationship Id="rId52" Type="http://schemas.openxmlformats.org/officeDocument/2006/relationships/hyperlink" Target="https://techcrunch.com/2019/02/14/hacker-strikes-again/" TargetMode="External"/><Relationship Id="rId55" Type="http://schemas.openxmlformats.org/officeDocument/2006/relationships/hyperlink" Target="https://techcrunch.com/2019/02/14/hacker-strikes-again/" TargetMode="External"/><Relationship Id="rId54" Type="http://schemas.openxmlformats.org/officeDocument/2006/relationships/hyperlink" Target="https://techcrunch.com/2019/02/14/hacker-strikes-again/" TargetMode="External"/><Relationship Id="rId57" Type="http://schemas.openxmlformats.org/officeDocument/2006/relationships/hyperlink" Target="https://www.zdnet.com/article/data-of-2-4-million-blur-password-manager-users-left-exposed-online/" TargetMode="External"/><Relationship Id="rId56" Type="http://schemas.openxmlformats.org/officeDocument/2006/relationships/hyperlink" Target="https://petapixel.com/2019/02/13/500px-hacked-personal-data-stolen-from-all-14-8-million-users/" TargetMode="External"/><Relationship Id="rId59" Type="http://schemas.openxmlformats.org/officeDocument/2006/relationships/hyperlink" Target="https://www.bleepingcomputer.com/news/security/over-275-million-records-exposed-by-unsecured-mongodb-database/" TargetMode="External"/><Relationship Id="rId58" Type="http://schemas.openxmlformats.org/officeDocument/2006/relationships/hyperlink" Target="https://www.zdnet.com/article/town-of-salem-game-suffers-data-breach-exposing-7-6-million-user-details/" TargetMode="External"/><Relationship Id="rId107" Type="http://schemas.openxmlformats.org/officeDocument/2006/relationships/hyperlink" Target="https://www.businessinsider.com.au/facebook-thinks-spammers-responsible-hack-stole-info-from-29-million-users-2018-10?r=US&amp;IR=T" TargetMode="External"/><Relationship Id="rId228" Type="http://schemas.openxmlformats.org/officeDocument/2006/relationships/hyperlink" Target="https://thehackernews.com/2011/12/tianya-chinas-biggest-online-forum-40.html" TargetMode="External"/><Relationship Id="rId349" Type="http://schemas.openxmlformats.org/officeDocument/2006/relationships/hyperlink" Target="https://www.bankinfosecurity.com/cleveland-federal-reserve-hacked-a-3115" TargetMode="External"/><Relationship Id="rId106" Type="http://schemas.openxmlformats.org/officeDocument/2006/relationships/hyperlink" Target="https://www.hcanews.com/news/update-94k-hit-in-cms-data-breach" TargetMode="External"/><Relationship Id="rId227" Type="http://schemas.openxmlformats.org/officeDocument/2006/relationships/hyperlink" Target="http://www.scmagazine.com.au/News/349585,28-million-clear-text-passwords-found-after-tianya65279-hack.aspx" TargetMode="External"/><Relationship Id="rId348" Type="http://schemas.openxmlformats.org/officeDocument/2006/relationships/hyperlink" Target="https://www.wsj.com/articles/SB10001424052702304434404575150024174102954" TargetMode="External"/><Relationship Id="rId105" Type="http://schemas.openxmlformats.org/officeDocument/2006/relationships/hyperlink" Target="https://www.bbc.co.uk/news/technology-46261209" TargetMode="External"/><Relationship Id="rId226" Type="http://schemas.openxmlformats.org/officeDocument/2006/relationships/hyperlink" Target="http://news.softpedia.com/news/Citi-Exposes-Details-of-150-000-Individuals-Who-Went-into-Bankruptcy-369979.shtml" TargetMode="External"/><Relationship Id="rId347" Type="http://schemas.openxmlformats.org/officeDocument/2006/relationships/hyperlink" Target="https://www.pcworld.idg.com.au/article/351659/new_york_hospital_loses_data_130_000_via_fedex/" TargetMode="External"/><Relationship Id="rId104" Type="http://schemas.openxmlformats.org/officeDocument/2006/relationships/hyperlink" Target="https://www.bleepingcomputer.com/news/security/sky-brasil-exposes-32-million-customer-records/" TargetMode="External"/><Relationship Id="rId225" Type="http://schemas.openxmlformats.org/officeDocument/2006/relationships/hyperlink" Target="https://privacylaw.proskauer.com/2013/08/articles/identity-theft/a-1-2-million-photocopier-mistake-health-plan-settles-with-hhs-in-hipaa-breach-case/" TargetMode="External"/><Relationship Id="rId346" Type="http://schemas.openxmlformats.org/officeDocument/2006/relationships/hyperlink" Target="http://www.guardian.co.uk/technology/2010/jun/10/apple-ipad-security-leak?INTCMP=SRCH" TargetMode="External"/><Relationship Id="rId109" Type="http://schemas.openxmlformats.org/officeDocument/2006/relationships/hyperlink" Target="https://techcrunch.com/2018/09/19/newegg-credit-card-data-breach/" TargetMode="External"/><Relationship Id="rId108" Type="http://schemas.openxmlformats.org/officeDocument/2006/relationships/hyperlink" Target="https://newsroom.fb.com/news/2018/10/update-on-security-issue/" TargetMode="External"/><Relationship Id="rId229" Type="http://schemas.openxmlformats.org/officeDocument/2006/relationships/hyperlink" Target="http://nakedsecurity.sophos.com/2013/04/05/scribd-worlds-largest-online-library-admits-to-network-intrusion-password-breach/" TargetMode="External"/><Relationship Id="rId220" Type="http://schemas.openxmlformats.org/officeDocument/2006/relationships/hyperlink" Target="http://krebsonsecurity.com/2014/09/banks-credit-card-breach-at-home-depot/" TargetMode="External"/><Relationship Id="rId341" Type="http://schemas.openxmlformats.org/officeDocument/2006/relationships/hyperlink" Target="http://www.mediaite.com/online/gawker-medias-entire-commenter-database-appears-to-have-been-hacked/" TargetMode="External"/><Relationship Id="rId340" Type="http://schemas.openxmlformats.org/officeDocument/2006/relationships/hyperlink" Target="http://www.guardian.co.uk/technology/2010/dec/13/gawker-hackers-passwords-twitter-wikileaks?INTCMP=SRCH" TargetMode="External"/><Relationship Id="rId103" Type="http://schemas.openxmlformats.org/officeDocument/2006/relationships/hyperlink" Target="https://www.dailymail.co.uk/sciencetech/article-6415441/Furry-erotica-site-hit-data-breach-exposed-hundreds-thousands-users-information.html" TargetMode="External"/><Relationship Id="rId224" Type="http://schemas.openxmlformats.org/officeDocument/2006/relationships/hyperlink" Target="https://www.technologyreview.com/s/517551/prosecutors-describe-massive-breach-of-credit-card-data/" TargetMode="External"/><Relationship Id="rId345" Type="http://schemas.openxmlformats.org/officeDocument/2006/relationships/hyperlink" Target="http://www.databreaches.net/?p=12611" TargetMode="External"/><Relationship Id="rId102" Type="http://schemas.openxmlformats.org/officeDocument/2006/relationships/hyperlink" Target="https://www.zdnet.com/article/dell-announces-security-breach/" TargetMode="External"/><Relationship Id="rId223" Type="http://schemas.openxmlformats.org/officeDocument/2006/relationships/hyperlink" Target="http://www.theguardian.com/technology/2014/aug/05/mozilla-leak-developer-email-addresses-passwords-firefox" TargetMode="External"/><Relationship Id="rId344" Type="http://schemas.openxmlformats.org/officeDocument/2006/relationships/hyperlink" Target="http://www.healthcareinfosecurity.com/chicago-breach-affects-180000-a-2496" TargetMode="External"/><Relationship Id="rId101" Type="http://schemas.openxmlformats.org/officeDocument/2006/relationships/hyperlink" Target="https://techcrunch.com/2018/11/27/urban-massage-data-exposed-customers-creepy-clients/?guccounter=1" TargetMode="External"/><Relationship Id="rId222" Type="http://schemas.openxmlformats.org/officeDocument/2006/relationships/hyperlink" Target="http://www.theguardian.com/technology/2014/jun/16/dominos-pizza-ransom-hack-data" TargetMode="External"/><Relationship Id="rId343" Type="http://schemas.openxmlformats.org/officeDocument/2006/relationships/hyperlink" Target="https://www.thelantern.com/2010/12/hacked-data-breach-costly-for-ohio-state-victims-of-compromised-info/" TargetMode="External"/><Relationship Id="rId100" Type="http://schemas.openxmlformats.org/officeDocument/2006/relationships/hyperlink" Target="https://www.theguardian.com/technology/2018/nov/21/amazon-hit-with-major-data-breach-days-before-black-friday" TargetMode="External"/><Relationship Id="rId221" Type="http://schemas.openxmlformats.org/officeDocument/2006/relationships/hyperlink" Target="http://www.securityweek.com/20-million-people-fall-victim-south-korea-data-leak" TargetMode="External"/><Relationship Id="rId342" Type="http://schemas.openxmlformats.org/officeDocument/2006/relationships/hyperlink" Target="https://www.databreaches.net/puerto-rico-dept-of-health-reports-breach-affecting-400000-triple-s-salud-fined-100k/" TargetMode="External"/><Relationship Id="rId217" Type="http://schemas.openxmlformats.org/officeDocument/2006/relationships/hyperlink" Target="http://www.jal.co.jp/en/info/other/140924.html" TargetMode="External"/><Relationship Id="rId338" Type="http://schemas.openxmlformats.org/officeDocument/2006/relationships/hyperlink" Target="http://www.guardian.co.uk/news/datablog/2010/nov/29/wikileaks-cables-data" TargetMode="External"/><Relationship Id="rId216" Type="http://schemas.openxmlformats.org/officeDocument/2006/relationships/hyperlink" Target="http://online.wsj.com/articles/japan-airlines-reports-hacker-attack-1412053828" TargetMode="External"/><Relationship Id="rId337" Type="http://schemas.openxmlformats.org/officeDocument/2006/relationships/hyperlink" Target="https://www.databreaches.net/bcbs-of-tenn-breach-lessons-learned/" TargetMode="External"/><Relationship Id="rId215" Type="http://schemas.openxmlformats.org/officeDocument/2006/relationships/hyperlink" Target="http://www.reuters.com/article/us-hsbc-turkey-cybersecurity/hsbc-turkey-says-customer-credit-card-data-stolen-idUSKCN0IW1RR20141112" TargetMode="External"/><Relationship Id="rId336" Type="http://schemas.openxmlformats.org/officeDocument/2006/relationships/hyperlink" Target="https://www.databreachtoday.com/avmed-sued-over-laptop-breach-a-3111" TargetMode="External"/><Relationship Id="rId214" Type="http://schemas.openxmlformats.org/officeDocument/2006/relationships/hyperlink" Target="https://medium.com/@vijayp/f6bc289679a1" TargetMode="External"/><Relationship Id="rId335" Type="http://schemas.openxmlformats.org/officeDocument/2006/relationships/hyperlink" Target="http://www.reuters.com/article/us-data-breach-texas-idUSTRE78S5JG20110929" TargetMode="External"/><Relationship Id="rId219" Type="http://schemas.openxmlformats.org/officeDocument/2006/relationships/hyperlink" Target="http://thenextweb.com/google/2014/09/10/4-93-million-gmail-usernames-passwords-published-google-says-evidence-systems-compromised/" TargetMode="External"/><Relationship Id="rId218" Type="http://schemas.openxmlformats.org/officeDocument/2006/relationships/hyperlink" Target="http://fortune.com/2014/12/19/staples-cards-affected-breach/" TargetMode="External"/><Relationship Id="rId339" Type="http://schemas.openxmlformats.org/officeDocument/2006/relationships/hyperlink" Target="http://gawker.com" TargetMode="External"/><Relationship Id="rId330" Type="http://schemas.openxmlformats.org/officeDocument/2006/relationships/hyperlink" Target="http://www.bbc.co.uk/news/technology-15690187" TargetMode="External"/><Relationship Id="rId213" Type="http://schemas.openxmlformats.org/officeDocument/2006/relationships/hyperlink" Target="http://dealbook.nytimes.com/2014/10/02/jpmorgan-discovers-further-cyber-security-issues/?_php=true&amp;_type=blogs&amp;_r=0" TargetMode="External"/><Relationship Id="rId334" Type="http://schemas.openxmlformats.org/officeDocument/2006/relationships/hyperlink" Target="https://blog.trendmicro.com/sutter-health-sued-for-1-billion-following-data-breach/" TargetMode="External"/><Relationship Id="rId212" Type="http://schemas.openxmlformats.org/officeDocument/2006/relationships/hyperlink" Target="http://www.cityam.com/1406190300/ecb-website-hacked" TargetMode="External"/><Relationship Id="rId333" Type="http://schemas.openxmlformats.org/officeDocument/2006/relationships/hyperlink" Target="https://www.law360.com/articles/277961/nemours-says-data-breach-affected-1-6m-patients" TargetMode="External"/><Relationship Id="rId211" Type="http://schemas.openxmlformats.org/officeDocument/2006/relationships/hyperlink" Target="http://time.com/3151681/ups-hack/" TargetMode="External"/><Relationship Id="rId332" Type="http://schemas.openxmlformats.org/officeDocument/2006/relationships/hyperlink" Target="https://uk.reuters.com/article/us-korea-hacking-nexon/data-of-13-million-south-korean-online-game-subscribers-hacked-idUSTRE7AP09H20111126" TargetMode="External"/><Relationship Id="rId210" Type="http://schemas.openxmlformats.org/officeDocument/2006/relationships/hyperlink" Target="https://www.businessinsider.com/cyber-thieves-took-data-on-145-million-ebay-customers-by-hacking-3-corporate-employees-2014-5?r=US&amp;IR=T" TargetMode="External"/><Relationship Id="rId331" Type="http://schemas.openxmlformats.org/officeDocument/2006/relationships/hyperlink" Target="https://www.finextra.com/newsarticle/23243/restaurant-depot-hacked-by-russian-cyber-criminals" TargetMode="External"/><Relationship Id="rId370" Type="http://schemas.openxmlformats.org/officeDocument/2006/relationships/hyperlink" Target="https://www.networkworld.com/article/2344552/security/latest--lost--laptop-holds-treasure-trove-of-unencrypted-at-t-payroll-data.html" TargetMode="External"/><Relationship Id="rId129" Type="http://schemas.openxmlformats.org/officeDocument/2006/relationships/hyperlink" Target="https://blog.imgur.com/2017/11/24/notice-of-data-breach/" TargetMode="External"/><Relationship Id="rId128" Type="http://schemas.openxmlformats.org/officeDocument/2006/relationships/hyperlink" Target="https://www.hackread.com/zomato-hacked-17-million-accounts-sold-on-dark-web/" TargetMode="External"/><Relationship Id="rId249" Type="http://schemas.openxmlformats.org/officeDocument/2006/relationships/hyperlink" Target="https://www.facebook.com/notes/facebook-security/important-message-from-facebooks-white-hat-program/10151437074840766" TargetMode="External"/><Relationship Id="rId127" Type="http://schemas.openxmlformats.org/officeDocument/2006/relationships/hyperlink" Target="http://www.cbc.ca/beta/news/technology/bell-data-breach-customer-names-phone-numbers-emails-leak-1.4116608" TargetMode="External"/><Relationship Id="rId248" Type="http://schemas.openxmlformats.org/officeDocument/2006/relationships/hyperlink" Target="http://uk.businessinsider.com/snowden-leaks-timeline-2016-9" TargetMode="External"/><Relationship Id="rId369" Type="http://schemas.openxmlformats.org/officeDocument/2006/relationships/hyperlink" Target="http://english.donga.com/srv/service.php3?biid=2008090631088" TargetMode="External"/><Relationship Id="rId126" Type="http://schemas.openxmlformats.org/officeDocument/2006/relationships/hyperlink" Target="http://www.zdnet.com/article/font-sharing-site-dafont-hacked-thousands-of-accounts-stolen/" TargetMode="External"/><Relationship Id="rId247" Type="http://schemas.openxmlformats.org/officeDocument/2006/relationships/hyperlink" Target="https://www.zdnet.com/article/club-nintendo-site-hacked-customer-data-exposed/" TargetMode="External"/><Relationship Id="rId368" Type="http://schemas.openxmlformats.org/officeDocument/2006/relationships/hyperlink" Target="https://www.darkreading.com/attacks-breaches/hacker-steals-data-on-18m-auction-customers-in-south-korea/d/d-id/1129325" TargetMode="External"/><Relationship Id="rId121" Type="http://schemas.openxmlformats.org/officeDocument/2006/relationships/hyperlink" Target="https://www.vice.com/en_us/article/3daywj/hacker-steals-900-gb-of-cellebrite-data" TargetMode="External"/><Relationship Id="rId242" Type="http://schemas.openxmlformats.org/officeDocument/2006/relationships/hyperlink" Target="http://status.ovh.net/?do=details&amp;id=5070" TargetMode="External"/><Relationship Id="rId363" Type="http://schemas.openxmlformats.org/officeDocument/2006/relationships/hyperlink" Target="https://www.reuters.com/article/us-mellon-breach-idUSN2143343820080521" TargetMode="External"/><Relationship Id="rId120" Type="http://schemas.openxmlformats.org/officeDocument/2006/relationships/hyperlink" Target="http://www.zdnet.com/article/popular-virtual-keyboard-leaks-31-million-user-data/" TargetMode="External"/><Relationship Id="rId241" Type="http://schemas.openxmlformats.org/officeDocument/2006/relationships/hyperlink" Target="http://healthitsecurity.com/2013/08/27/advocate-medical-group-endures-massive-data-breach/" TargetMode="External"/><Relationship Id="rId362" Type="http://schemas.openxmlformats.org/officeDocument/2006/relationships/hyperlink" Target="https://www.computerworld.com/article/2536837/thieves-pilfer-backup-tapes-holding-2m-medical-records.html" TargetMode="External"/><Relationship Id="rId240" Type="http://schemas.openxmlformats.org/officeDocument/2006/relationships/hyperlink" Target="https://www.databreaches.net/stolen-florida-dept-of-juvenile-justice-device-contained-records-of-more-than-100000-youth-and-employees/" TargetMode="External"/><Relationship Id="rId361" Type="http://schemas.openxmlformats.org/officeDocument/2006/relationships/hyperlink" Target="https://www.networkworld.com/article/2284998/lan-wan/details-emerging-on-hannaford-data-breach.html" TargetMode="External"/><Relationship Id="rId360" Type="http://schemas.openxmlformats.org/officeDocument/2006/relationships/hyperlink" Target="https://www.computerworld.com/article/2536195/programmer-who-stole-drive-containing-1-million-bank-records-gets-42-months.html" TargetMode="External"/><Relationship Id="rId125" Type="http://schemas.openxmlformats.org/officeDocument/2006/relationships/hyperlink" Target="https://www.theguardian.com/technology/2017/mar/06/email-addresses-spam-leak-river-city-media" TargetMode="External"/><Relationship Id="rId246" Type="http://schemas.openxmlformats.org/officeDocument/2006/relationships/hyperlink" Target="http://arstechnica.com/security/2013/07/hack-exposes-e-mail-addresses-password-data-for-2-million-ubuntu-forum-users/" TargetMode="External"/><Relationship Id="rId367" Type="http://schemas.openxmlformats.org/officeDocument/2006/relationships/hyperlink" Target="http://auction.co.kr" TargetMode="External"/><Relationship Id="rId124" Type="http://schemas.openxmlformats.org/officeDocument/2006/relationships/hyperlink" Target="http://www.scmp.com/news/hong-kong/politics/article/2082566/laptops-containing-37-million-hong-kong-voters-data-stolen" TargetMode="External"/><Relationship Id="rId245" Type="http://schemas.openxmlformats.org/officeDocument/2006/relationships/hyperlink" Target="https://www.bbc.co.uk/news/technology-23159997" TargetMode="External"/><Relationship Id="rId366" Type="http://schemas.openxmlformats.org/officeDocument/2006/relationships/hyperlink" Target="http://www.theregister.co.uk/2008/12/29/rbs_worldpay_breach/" TargetMode="External"/><Relationship Id="rId123" Type="http://schemas.openxmlformats.org/officeDocument/2006/relationships/hyperlink" Target="https://www.thelocal.se/20170717/swedish-authority-handed-over-keys-to-the-kingdom-in-it-security-slip-up" TargetMode="External"/><Relationship Id="rId244" Type="http://schemas.openxmlformats.org/officeDocument/2006/relationships/hyperlink" Target="https://uk.reuters.com/article/net-us-nasdaq-cybercrime-website/nasdaq-forum-website-hacked-passwords-compromised-idUSBRE96H1F520130718" TargetMode="External"/><Relationship Id="rId365" Type="http://schemas.openxmlformats.org/officeDocument/2006/relationships/hyperlink" Target="http://news.bbc.co.uk/1/hi/uk_politics/7608155.stm" TargetMode="External"/><Relationship Id="rId122" Type="http://schemas.openxmlformats.org/officeDocument/2006/relationships/hyperlink" Target="https://www.databreaches.net/waterly-app-potentially-exposed-up-to-1-million-israelis-details-researcher/" TargetMode="External"/><Relationship Id="rId243" Type="http://schemas.openxmlformats.org/officeDocument/2006/relationships/hyperlink" Target="http://www.guardian.co.uk/technology/2013/jul/22/apple-developer-site-hacked" TargetMode="External"/><Relationship Id="rId364" Type="http://schemas.openxmlformats.org/officeDocument/2006/relationships/hyperlink" Target="https://www.networkworld.com/article/2274502/security-oversight-may-have-enabled-countrywide-breach.html" TargetMode="External"/><Relationship Id="rId95" Type="http://schemas.openxmlformats.org/officeDocument/2006/relationships/hyperlink" Target="https://www.usnews.com/news/business/articles/2018-03-20/orbitz-legacy-travel-booking-platform-likely-hacked" TargetMode="External"/><Relationship Id="rId94" Type="http://schemas.openxmlformats.org/officeDocument/2006/relationships/hyperlink" Target="https://www.nbcnews.com/feature/nbc-out/security-flaws-gay-dating-app-grindr-expose-users-location-data-n858446" TargetMode="External"/><Relationship Id="rId97" Type="http://schemas.openxmlformats.org/officeDocument/2006/relationships/hyperlink" Target="https://www.upguard.com/breaches/s3-localblox" TargetMode="External"/><Relationship Id="rId96" Type="http://schemas.openxmlformats.org/officeDocument/2006/relationships/hyperlink" Target="https://thenextweb.com/security/2018/03/14/jewelry-site-accidentally-leaks-personal-details-plaintext-passwords-1-3m-users/" TargetMode="External"/><Relationship Id="rId99" Type="http://schemas.openxmlformats.org/officeDocument/2006/relationships/hyperlink" Target="https://www.theverge.com/2018/6/7/17438516/ticketfly-hack-personal-information-26-million-customers-leaked" TargetMode="External"/><Relationship Id="rId98" Type="http://schemas.openxmlformats.org/officeDocument/2006/relationships/hyperlink" Target="https://www.reuters.com/article/us-twitter-passwords/twitter-urges-all-users-to-change-passwords-after-glitch-idUSKBN1I42JG" TargetMode="External"/><Relationship Id="rId91" Type="http://schemas.openxmlformats.org/officeDocument/2006/relationships/hyperlink" Target="https://www.bbc.co.uk/news/technology-44628874" TargetMode="External"/><Relationship Id="rId90" Type="http://schemas.openxmlformats.org/officeDocument/2006/relationships/hyperlink" Target="https://medium.com/@intideceukelaire/this-popular-facebook-app-publicly-exposed-your-data-for-years-12483418eff8" TargetMode="External"/><Relationship Id="rId93" Type="http://schemas.openxmlformats.org/officeDocument/2006/relationships/hyperlink" Target="http://www.zdnet.com/article/another-data-leak-hits-india-aadhaar-biometric-database/" TargetMode="External"/><Relationship Id="rId92" Type="http://schemas.openxmlformats.org/officeDocument/2006/relationships/hyperlink" Target="https://www.bleepingcomputer.com/news/security/thousands-of-apps-leak-sensitive-data-via-misconfigured-firebase-backends/" TargetMode="External"/><Relationship Id="rId118" Type="http://schemas.openxmlformats.org/officeDocument/2006/relationships/hyperlink" Target="https://www.theguardian.com/technology/2017/aug/30/spambot-leaks-700m-email-addresses-huge-data-breach-passwords" TargetMode="External"/><Relationship Id="rId239" Type="http://schemas.openxmlformats.org/officeDocument/2006/relationships/hyperlink" Target="https://www.healthcareitnews.com/news/walgreens-company-announces-data-breach" TargetMode="External"/><Relationship Id="rId117" Type="http://schemas.openxmlformats.org/officeDocument/2006/relationships/hyperlink" Target="http://www.bgr.in/news/indian-hacker-group-leaks-data-of-1-7-million-snapchat-users-after-ceos-poor-country-comments-report/" TargetMode="External"/><Relationship Id="rId238" Type="http://schemas.openxmlformats.org/officeDocument/2006/relationships/hyperlink" Target="https://edition.cnn.com/2013/02/01/tech/social-media/twitter-hacked/index.html" TargetMode="External"/><Relationship Id="rId359" Type="http://schemas.openxmlformats.org/officeDocument/2006/relationships/hyperlink" Target="http://www.wired.com/threatlevel/2009/10/probe-targets-archives-handling-of-data-on-70-million-vets/" TargetMode="External"/><Relationship Id="rId116" Type="http://schemas.openxmlformats.org/officeDocument/2006/relationships/hyperlink" Target="https://www.theguardian.com/business/2017/apr/09/wonga-data-breach-could-affect-250000-uk-customers?CMP=Share_iOSApp_Other" TargetMode="External"/><Relationship Id="rId237" Type="http://schemas.openxmlformats.org/officeDocument/2006/relationships/hyperlink" Target="https://www.esecurityplanet.com/network-security/central-hudson-gas-and-electric-hacked.html" TargetMode="External"/><Relationship Id="rId358" Type="http://schemas.openxmlformats.org/officeDocument/2006/relationships/hyperlink" Target="https://www.computerworld.com/article/2521838/security0/health-net-says-1-5m-medical-records-lost-in-data-breach.html" TargetMode="External"/><Relationship Id="rId115" Type="http://schemas.openxmlformats.org/officeDocument/2006/relationships/hyperlink" Target="https://www.bloomberg.com/news/articles/2017-11-21/uber-concealed-cyberattack-that-exposed-57-million-people-s-data" TargetMode="External"/><Relationship Id="rId236" Type="http://schemas.openxmlformats.org/officeDocument/2006/relationships/hyperlink" Target="http://www1.udel.edu/udaily/2014/jul/resources073013.html" TargetMode="External"/><Relationship Id="rId357" Type="http://schemas.openxmlformats.org/officeDocument/2006/relationships/hyperlink" Target="https://www.cnet.com/news/uc-berkeley-computers-hacked-160000-at-risk/" TargetMode="External"/><Relationship Id="rId119" Type="http://schemas.openxmlformats.org/officeDocument/2006/relationships/hyperlink" Target="https://uk.pcmag.com/cex/90937/cex-hack-up-to-2m-customers-potentially-affected" TargetMode="External"/><Relationship Id="rId110" Type="http://schemas.openxmlformats.org/officeDocument/2006/relationships/hyperlink" Target="https://www.housingwire.com/articles/36597-guaranteed-rate-ordered-to-pay-25m-to-mount-olympus-mortgage-for-data-theft/" TargetMode="External"/><Relationship Id="rId231" Type="http://schemas.openxmlformats.org/officeDocument/2006/relationships/hyperlink" Target="http://nakedsecurity.sophos.com/2013/04/27/livingsocial-hacked-50-million-affected/" TargetMode="External"/><Relationship Id="rId352" Type="http://schemas.openxmlformats.org/officeDocument/2006/relationships/hyperlink" Target="http://edition.cnn.com/2009/US/12/17/theft.security.breach/index.html" TargetMode="External"/><Relationship Id="rId230" Type="http://schemas.openxmlformats.org/officeDocument/2006/relationships/hyperlink" Target="http://www.nbcnews.com/technology/scribd-hack-exposes-thousands-users-1B9239618" TargetMode="External"/><Relationship Id="rId351" Type="http://schemas.openxmlformats.org/officeDocument/2006/relationships/hyperlink" Target="https://www.darkreading.com/attacks-and-breaches/heartland-payment-systems-hit-by-data-security-breach/d/d-id/1075770" TargetMode="External"/><Relationship Id="rId350" Type="http://schemas.openxmlformats.org/officeDocument/2006/relationships/hyperlink" Target="http://www.forbes.com/sites/andygreenberg/2010/10/22/wikileaks-reveals-the-biggest-classified-data-breach-in-history/" TargetMode="External"/><Relationship Id="rId114" Type="http://schemas.openxmlformats.org/officeDocument/2006/relationships/hyperlink" Target="https://www.cnet.com/news/yahoo-says-forged-cookie-attack-accessed-about-32m-accounts/" TargetMode="External"/><Relationship Id="rId235" Type="http://schemas.openxmlformats.org/officeDocument/2006/relationships/hyperlink" Target="https://www.bbc.co.uk/news/technology-25572661" TargetMode="External"/><Relationship Id="rId356" Type="http://schemas.openxmlformats.org/officeDocument/2006/relationships/hyperlink" Target="https://www.digitalhealth.net/2009/05/virginia-department-of-health-hacked/" TargetMode="External"/><Relationship Id="rId113" Type="http://schemas.openxmlformats.org/officeDocument/2006/relationships/hyperlink" Target="https://threatpost.com/leaky-rootsweb-server-exposes-some-ancestry-com-user-data/129248/" TargetMode="External"/><Relationship Id="rId234" Type="http://schemas.openxmlformats.org/officeDocument/2006/relationships/hyperlink" Target="https://www.bbc.co.uk/news/business-41493494" TargetMode="External"/><Relationship Id="rId355" Type="http://schemas.openxmlformats.org/officeDocument/2006/relationships/hyperlink" Target="http://voices.washingtonpost.com/securityfix/2009/07/network_solutions_hack_comprom.html" TargetMode="External"/><Relationship Id="rId112" Type="http://schemas.openxmlformats.org/officeDocument/2006/relationships/hyperlink" Target="http://www.zdnet.com/article/disqus-confirms-comments-tool-hacked/" TargetMode="External"/><Relationship Id="rId233" Type="http://schemas.openxmlformats.org/officeDocument/2006/relationships/hyperlink" Target="http://www.nytimes.com/2016/12/14/technology/yahoo-hack.html?action=Click&amp;contentCollection=BreakingNews&amp;contentID=64651831&amp;pgtype=Homepage&amp;_r=0" TargetMode="External"/><Relationship Id="rId354" Type="http://schemas.openxmlformats.org/officeDocument/2006/relationships/hyperlink" Target="https://www.computerworld.com/article/2530152/checkfree-warns-5-million-customers-after-hack.html" TargetMode="External"/><Relationship Id="rId111" Type="http://schemas.openxmlformats.org/officeDocument/2006/relationships/hyperlink" Target="https://www.wired.com/story/apollo-breach-linkedin-salesforce-data/" TargetMode="External"/><Relationship Id="rId232" Type="http://schemas.openxmlformats.org/officeDocument/2006/relationships/hyperlink" Target="http://bits.blogs.nytimes.com/2013/04/26/living-social-hack-exposes-data-for-50-million-customers/" TargetMode="External"/><Relationship Id="rId353" Type="http://schemas.openxmlformats.org/officeDocument/2006/relationships/hyperlink" Target="http://techcrunch.com/2009/12/14/rockyou-hack-security-myspace-facebook-passwords/" TargetMode="External"/><Relationship Id="rId305" Type="http://schemas.openxmlformats.org/officeDocument/2006/relationships/hyperlink" Target="https://uk.pcmag.com/news/105457/texas-security-breach-exposes-35m-records" TargetMode="External"/><Relationship Id="rId304" Type="http://schemas.openxmlformats.org/officeDocument/2006/relationships/hyperlink" Target="https://abcnews.go.com/Business/morgan-stanley-smith-barney-breach-losing-client-data/story?id=14008632" TargetMode="External"/><Relationship Id="rId303" Type="http://schemas.openxmlformats.org/officeDocument/2006/relationships/hyperlink" Target="http://www.nbcnews.com/id/44235153/ns/technology_and_science-security/t/data-breach-hits-yale-university/" TargetMode="External"/><Relationship Id="rId302" Type="http://schemas.openxmlformats.org/officeDocument/2006/relationships/hyperlink" Target="https://www.databreaches.net/ankle-foot-center-of-tampa-bay-breach-affecting-156000-included-social-security-numbers-as-well-as-phi/" TargetMode="External"/><Relationship Id="rId309" Type="http://schemas.openxmlformats.org/officeDocument/2006/relationships/hyperlink" Target="https://www.zdnet.com/article/university-of-wisconsin-hacked-75000-social-security-numbers-student-names-exposed/" TargetMode="External"/><Relationship Id="rId308" Type="http://schemas.openxmlformats.org/officeDocument/2006/relationships/hyperlink" Target="http://www.pcmag.com/article2/0,2817,2390683,00.asp" TargetMode="External"/><Relationship Id="rId307" Type="http://schemas.openxmlformats.org/officeDocument/2006/relationships/hyperlink" Target="https://blog.playstation.com/archive/2011/04/28/playstation-network-and-qriocity-outage-faq/" TargetMode="External"/><Relationship Id="rId306" Type="http://schemas.openxmlformats.org/officeDocument/2006/relationships/hyperlink" Target="https://www.theguardian.com/technology/2011/apr/04/epsilon-email-hack" TargetMode="External"/><Relationship Id="rId301" Type="http://schemas.openxmlformats.org/officeDocument/2006/relationships/hyperlink" Target="https://www-ft-com.libezproxy.open.ac.uk/content/819f5b1c-eb80-11e0-a576-00144feab49a" TargetMode="External"/><Relationship Id="rId300" Type="http://schemas.openxmlformats.org/officeDocument/2006/relationships/hyperlink" Target="https://www.infosecurity-magazine.com/news/south-shore-hospital-data-breach-may-affect-up-to/" TargetMode="External"/><Relationship Id="rId206" Type="http://schemas.openxmlformats.org/officeDocument/2006/relationships/hyperlink" Target="https://www.poverenik.rs/en/press-releases/1953-povreda-prava-na-zastitu-podataka-o-licnosti-skoro-svih-punoletnih-gradjana-srbije.html" TargetMode="External"/><Relationship Id="rId327" Type="http://schemas.openxmlformats.org/officeDocument/2006/relationships/hyperlink" Target="http://www.guelphmercury.com/news-story/2200845-honda-canada-hit-by-online-security-breach-283-000-car-owners-personal-data-stolen/" TargetMode="External"/><Relationship Id="rId205" Type="http://schemas.openxmlformats.org/officeDocument/2006/relationships/hyperlink" Target="http://money.cnn.com/2014/08/18/technology/security/hospital-chs-hack/" TargetMode="External"/><Relationship Id="rId326" Type="http://schemas.openxmlformats.org/officeDocument/2006/relationships/hyperlink" Target="https://privacyrights.org/data-breaches/sony-playstation-network-psn-sony-online-entertainment-soe" TargetMode="External"/><Relationship Id="rId204" Type="http://schemas.openxmlformats.org/officeDocument/2006/relationships/hyperlink" Target="https://www.nbcnews.com/tech/security/youve-got-hacked-aol-confirms-significant-number-mail-users-hit-n91701" TargetMode="External"/><Relationship Id="rId325" Type="http://schemas.openxmlformats.org/officeDocument/2006/relationships/hyperlink" Target="http://news.cnet.com/8301-27080_3-20068386-245/sf-utilities-agency-warns-of-potential-breach/" TargetMode="External"/><Relationship Id="rId203" Type="http://schemas.openxmlformats.org/officeDocument/2006/relationships/hyperlink" Target="http://krebsonsecurity.com/2014/08/stealthy-razor-thin-atm-insert-skimmers/" TargetMode="External"/><Relationship Id="rId324" Type="http://schemas.openxmlformats.org/officeDocument/2006/relationships/hyperlink" Target="https://www.alphr.com/news/security/368062/nhs-loses-laptop-holding-8m-patient-records" TargetMode="External"/><Relationship Id="rId209" Type="http://schemas.openxmlformats.org/officeDocument/2006/relationships/hyperlink" Target="http://www.usatoday.com/story/news/nation/2014/02/26/indiana-university-data-breach/5830685/" TargetMode="External"/><Relationship Id="rId208" Type="http://schemas.openxmlformats.org/officeDocument/2006/relationships/hyperlink" Target="http://news.iu.edu/releases/iu/2014/02/data-exposure-disclosure.shtml" TargetMode="External"/><Relationship Id="rId329" Type="http://schemas.openxmlformats.org/officeDocument/2006/relationships/hyperlink" Target="https://www.databreaches.net/or-deputies-man-used-dmv-database-in-id-theft/" TargetMode="External"/><Relationship Id="rId207" Type="http://schemas.openxmlformats.org/officeDocument/2006/relationships/hyperlink" Target="http://www.buzzfeed.com/tomgara/sony-hack" TargetMode="External"/><Relationship Id="rId328" Type="http://schemas.openxmlformats.org/officeDocument/2006/relationships/hyperlink" Target="http://www.nbcnews.com/id/43086769/ns/technology_and_science-security/t/huge-data-breach-puts-risk/" TargetMode="External"/><Relationship Id="rId202" Type="http://schemas.openxmlformats.org/officeDocument/2006/relationships/hyperlink" Target="http://www.nytimes.com/2014/01/24/business/neiman-marcus-breach-affected-1-1-million-cards.html" TargetMode="External"/><Relationship Id="rId323" Type="http://schemas.openxmlformats.org/officeDocument/2006/relationships/hyperlink" Target="https://www.inforisktoday.com/400000-affected-by-stolen-pc-a-3853" TargetMode="External"/><Relationship Id="rId201" Type="http://schemas.openxmlformats.org/officeDocument/2006/relationships/hyperlink" Target="https://healthitsecurity.com/news/ucla-health-reaches-7.5m-settlement-over-2015-breach-of-4.5m" TargetMode="External"/><Relationship Id="rId322" Type="http://schemas.openxmlformats.org/officeDocument/2006/relationships/hyperlink" Target="http://databreachinvestigation.blogspot.com/2011/04/thief-gets-away-with-eisenhower-medical.html" TargetMode="External"/><Relationship Id="rId200" Type="http://schemas.openxmlformats.org/officeDocument/2006/relationships/hyperlink" Target="https://www.nytimes.com/2015/02/05/business/hackers-breached-data-of-millions-insurer-says.html" TargetMode="External"/><Relationship Id="rId321" Type="http://schemas.openxmlformats.org/officeDocument/2006/relationships/hyperlink" Target="https://spectrum.ieee.org/riskfactor/computing/it/health-net-data-breaches-affects-19-million-people" TargetMode="External"/><Relationship Id="rId320" Type="http://schemas.openxmlformats.org/officeDocument/2006/relationships/hyperlink" Target="http://www.pcmag.com/article2/0,2817,2388200,00.asp" TargetMode="External"/><Relationship Id="rId316" Type="http://schemas.openxmlformats.org/officeDocument/2006/relationships/hyperlink" Target="http://www.zdnet.com/blog/gamification/sega-1-3-million-customer-records-hacked-lulzsec-promises-retribution/481" TargetMode="External"/><Relationship Id="rId315" Type="http://schemas.openxmlformats.org/officeDocument/2006/relationships/hyperlink" Target="https://venturebeat.com/2011/06/13/lulzsec-bethesda-hack/" TargetMode="External"/><Relationship Id="rId314" Type="http://schemas.openxmlformats.org/officeDocument/2006/relationships/hyperlink" Target="http://www.pcmag.com/article2/0,2817,2387186,00.asp" TargetMode="External"/><Relationship Id="rId313" Type="http://schemas.openxmlformats.org/officeDocument/2006/relationships/hyperlink" Target="http://writerspace.com" TargetMode="External"/><Relationship Id="rId319" Type="http://schemas.openxmlformats.org/officeDocument/2006/relationships/hyperlink" Target="http://www.databreaches.net/?p=19198" TargetMode="External"/><Relationship Id="rId318" Type="http://schemas.openxmlformats.org/officeDocument/2006/relationships/hyperlink" Target="http://mashable.com/2011/06/02/sony-pictures-hacked/" TargetMode="External"/><Relationship Id="rId317" Type="http://schemas.openxmlformats.org/officeDocument/2006/relationships/hyperlink" Target="http://www.pcworld.com/article/229891/Citigroup_Hack_Nets_Over_200k_in_Stolen_Customer_Details.html" TargetMode="External"/><Relationship Id="rId312" Type="http://schemas.openxmlformats.org/officeDocument/2006/relationships/hyperlink" Target="https://www.databreaches.net/southern-california-medical-legal-consultants-reveals-that-300000-workers-compensation-applicants-names-and-social-security-numbers-were-exposed-on-internet/" TargetMode="External"/><Relationship Id="rId311" Type="http://schemas.openxmlformats.org/officeDocument/2006/relationships/hyperlink" Target="http://www.ehackingnews.com/2011/12/hackers-compromised-38-million-chinese.html" TargetMode="External"/><Relationship Id="rId310" Type="http://schemas.openxmlformats.org/officeDocument/2006/relationships/hyperlink" Target="https://www.nytimes.com/2011/12/26/technology/hackers-breach-the-web-site-of-stratfor-global-intelligence.html?ref=technology&amp;mtrref=bits.blogs.nytimes.com&amp;gwh=A41315BCE5C521B2A0D451BEFF0886E9&amp;gwt=pay"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www.channel4.com/news/adult-friendfinder-dating-hack-internet-dark-web" TargetMode="External"/><Relationship Id="rId194" Type="http://schemas.openxmlformats.org/officeDocument/2006/relationships/hyperlink" Target="http://www.reuters.com/article/2015/10/02/us-tmobile-dataprotection-idUSKCN0RV5PL20151002" TargetMode="External"/><Relationship Id="rId193" Type="http://schemas.openxmlformats.org/officeDocument/2006/relationships/hyperlink" Target="http://www.bbc.co.uk/news/uk-34611857" TargetMode="External"/><Relationship Id="rId192" Type="http://schemas.openxmlformats.org/officeDocument/2006/relationships/hyperlink" Target="https://www.bbc.co.uk/news/business-34743185" TargetMode="External"/><Relationship Id="rId191" Type="http://schemas.openxmlformats.org/officeDocument/2006/relationships/hyperlink" Target="https://theintercept.com/2015/11/11/securus-hack-prison-phone-company-exposes-thousands-of-calls-lawyers-and-clients/" TargetMode="External"/><Relationship Id="rId187" Type="http://schemas.openxmlformats.org/officeDocument/2006/relationships/hyperlink" Target="http://www.theguardian.com/world/2015/mar/30/personal-details-of-world-leaders-accidentally-revealed-by-g20-organisers" TargetMode="External"/><Relationship Id="rId186" Type="http://schemas.openxmlformats.org/officeDocument/2006/relationships/hyperlink" Target="http://www.washingtonpost.com/world/national-security/chinese-hackers-breach-federal-governments-personnel-office/2015/06/04/889c0e52-0af7-11e5-95fd-d580f1c5d44e_story.html?tid=hpModule_04941f10-8a79-11e2-98d9-3012c1cd8d1e" TargetMode="External"/><Relationship Id="rId185" Type="http://schemas.openxmlformats.org/officeDocument/2006/relationships/hyperlink" Target="http://www.reuters.com/article/2015/07/09/us-cybersecurity-usa-idUSKCN0PJ2M420150709?feedType=RSS&amp;feedName=topNews&amp;utm_source=twitter" TargetMode="External"/><Relationship Id="rId184" Type="http://schemas.openxmlformats.org/officeDocument/2006/relationships/hyperlink" Target="http://www.bbc.co.uk/news/world-us-canada-33120405" TargetMode="External"/><Relationship Id="rId189" Type="http://schemas.openxmlformats.org/officeDocument/2006/relationships/hyperlink" Target="http://krebsonsecurity.com/2015/05/mobile-spy-software-maker-mspy-hacked-customer-data-leaked/" TargetMode="External"/><Relationship Id="rId188" Type="http://schemas.openxmlformats.org/officeDocument/2006/relationships/hyperlink" Target="http://money.cnn.com/2015/05/26/pf/taxes/irs-website-data-hack/index.html" TargetMode="External"/><Relationship Id="rId183" Type="http://schemas.openxmlformats.org/officeDocument/2006/relationships/hyperlink" Target="http://krebsonsecurity.com/2015/07/online-cheating-site-ashleymadison-hacked/" TargetMode="External"/><Relationship Id="rId182" Type="http://schemas.openxmlformats.org/officeDocument/2006/relationships/hyperlink" Target="http://ashleymadison.com" TargetMode="External"/><Relationship Id="rId181" Type="http://schemas.openxmlformats.org/officeDocument/2006/relationships/hyperlink" Target="http://www.theguardian.com/technology/2015/jul/06/hacking-team-hacked-firm-sold-spying-tools-to-repressive-regimes-documents-claim" TargetMode="External"/><Relationship Id="rId180" Type="http://schemas.openxmlformats.org/officeDocument/2006/relationships/hyperlink" Target="http://www.troyhunt.com/2015/11/when-children-are-breached-inside.html" TargetMode="External"/><Relationship Id="rId176" Type="http://schemas.openxmlformats.org/officeDocument/2006/relationships/hyperlink" Target="https://www.reddit.com/r/apple/comments/3wq9fc/massive_data_breach/" TargetMode="External"/><Relationship Id="rId297" Type="http://schemas.openxmlformats.org/officeDocument/2006/relationships/hyperlink" Target="http://www.fosters.com/apps/pbcs.dll/article?AID=/20110120/GJNEWS_01/701209744" TargetMode="External"/><Relationship Id="rId175" Type="http://schemas.openxmlformats.org/officeDocument/2006/relationships/hyperlink" Target="https://www.bbc.co.uk/news/technology-35100330" TargetMode="External"/><Relationship Id="rId296" Type="http://schemas.openxmlformats.org/officeDocument/2006/relationships/hyperlink" Target="https://www.inforisktoday.com/new-york-breach-affects-17-million-a-3349" TargetMode="External"/><Relationship Id="rId174" Type="http://schemas.openxmlformats.org/officeDocument/2006/relationships/hyperlink" Target="https://www.upguard.com/breaches/the-rnc-files" TargetMode="External"/><Relationship Id="rId295" Type="http://schemas.openxmlformats.org/officeDocument/2006/relationships/hyperlink" Target="https://www.bbc.co.uk/news/technology-37232635" TargetMode="External"/><Relationship Id="rId173" Type="http://schemas.openxmlformats.org/officeDocument/2006/relationships/hyperlink" Target="http://uk.reuters.com/article/us-usa-voters-breach-idUKKBN0UB1E020151229" TargetMode="External"/><Relationship Id="rId294" Type="http://schemas.openxmlformats.org/officeDocument/2006/relationships/hyperlink" Target="http://www.infoworld.com/article/2615754/cyber-crime/south-carolina-reveals-massive-data-breach-of-social-security-numbers--credit-cards.html" TargetMode="External"/><Relationship Id="rId179" Type="http://schemas.openxmlformats.org/officeDocument/2006/relationships/hyperlink" Target="http://www.theguardian.com/technology/2015/dec/02/vtech-hack-us-hong-kong-investigate-children-exposed" TargetMode="External"/><Relationship Id="rId178" Type="http://schemas.openxmlformats.org/officeDocument/2006/relationships/hyperlink" Target="https://www.csoonline.com/article/3017171/database-leak-exposes-3-3-million-hello-kitty-fans.html" TargetMode="External"/><Relationship Id="rId299" Type="http://schemas.openxmlformats.org/officeDocument/2006/relationships/hyperlink" Target="https://www-ft-com.libezproxy.open.ac.uk/content/819f5b1c-eb80-11e0-a576-00144feab49a" TargetMode="External"/><Relationship Id="rId177" Type="http://schemas.openxmlformats.org/officeDocument/2006/relationships/hyperlink" Target="https://www.dailydot.com/debug/invest-bank-hacker-buba/" TargetMode="External"/><Relationship Id="rId298" Type="http://schemas.openxmlformats.org/officeDocument/2006/relationships/hyperlink" Target="https://www.infosecurity-magazine.com/news/south-shore-hospital-data-breach-may-affect-up-to/" TargetMode="External"/><Relationship Id="rId198" Type="http://schemas.openxmlformats.org/officeDocument/2006/relationships/hyperlink" Target="https://www.nytimes.com/2015/02/05/business/hackers-breached-data-of-millions-insurer-says.html" TargetMode="External"/><Relationship Id="rId197" Type="http://schemas.openxmlformats.org/officeDocument/2006/relationships/hyperlink" Target="http://www.theguardian.com/business/2015/mar/29/british-airways-frequent-flyer-accounts-hacked" TargetMode="External"/><Relationship Id="rId196" Type="http://schemas.openxmlformats.org/officeDocument/2006/relationships/hyperlink" Target="http://www.theguardian.com/technology/2015/aug/10/carphone-warehouse-uk-data-watchdog-investigating-customer-hack" TargetMode="External"/><Relationship Id="rId195" Type="http://schemas.openxmlformats.org/officeDocument/2006/relationships/hyperlink" Target="http://techcrunch.com/2015/03/27/slack-got-hacked/" TargetMode="External"/><Relationship Id="rId199" Type="http://schemas.openxmlformats.org/officeDocument/2006/relationships/hyperlink" Target="https://healthitsecurity.com/news/ucla-health-reaches-7.5m-settlement-over-2015-breach-of-4.5m" TargetMode="External"/><Relationship Id="rId150" Type="http://schemas.openxmlformats.org/officeDocument/2006/relationships/hyperlink" Target="https://www.forbes.com/sites/moneybuilder/2016/07/08/this-week-in-credit-card-news-wendys-data-breach-affects-1000-stores-card-fraud-dropping/" TargetMode="External"/><Relationship Id="rId271" Type="http://schemas.openxmlformats.org/officeDocument/2006/relationships/hyperlink" Target="http://www.zdnet.com/blog/security/3-million-bank-accounts-hacked-in-iran/11577" TargetMode="External"/><Relationship Id="rId392" Type="http://schemas.openxmlformats.org/officeDocument/2006/relationships/hyperlink" Target="http://gcn.com/Articles/2009/02/02/VA-data-breach-suit-settlement.aspx" TargetMode="External"/><Relationship Id="rId270" Type="http://schemas.openxmlformats.org/officeDocument/2006/relationships/hyperlink" Target="https://www.infosecurity-magazine.com/news/data-breach-hits-228000-south-carolina-medicaid/" TargetMode="External"/><Relationship Id="rId391" Type="http://schemas.openxmlformats.org/officeDocument/2006/relationships/hyperlink" Target="http://techcrunch.com/2006/08/06/aol-proudly-releases-massive-amounts-of-user-search-data/" TargetMode="External"/><Relationship Id="rId390" Type="http://schemas.openxmlformats.org/officeDocument/2006/relationships/hyperlink" Target="https://www.cnbc.com/id/20775257" TargetMode="External"/><Relationship Id="rId1" Type="http://schemas.openxmlformats.org/officeDocument/2006/relationships/hyperlink" Target="https://techcrunch.com/2020/05/24/thai-billions-internet-records-leak/" TargetMode="External"/><Relationship Id="rId2" Type="http://schemas.openxmlformats.org/officeDocument/2006/relationships/hyperlink" Target="https://techcrunch.com/2020/06/09/nintendo-accounts-affected-breach/?guccounter=1&amp;guce_referrer=aHR0cHM6Ly9nYW1lcy5zbGFzaGRvdC5vcmcvc3RvcnkvMjAvMDYvMDkvMTg0MjIzNy9uaW50ZW5kby1ub3ctc2F5cy0zMDAwMDAtYWNjb3VudHMtYnJlYWNoZWQtYnktaGFja2Vycz91dG1fc291cmNlPXJzczEuMG1haW5saW5rYW5vbiZ1dG1fbWVkaXVtPWZlZWQ&amp;guce_referrer_sig=AQAAAIXC8IvaFgPdt5t-CUm7yPEhKblsmme4097SUtEWdSkjyrdsxVYiQBfbdpekm_Y29T7evb-5zNNl2-ZHfNSmVkKFnE5vClvpvsaPYykOO8WtAX76dZoL2EUkVL8XfmMQBVlNF43T5MATGNeSnwn6Ta6ELVBXnf_ZTsmVaemjk1Vf" TargetMode="External"/><Relationship Id="rId3" Type="http://schemas.openxmlformats.org/officeDocument/2006/relationships/hyperlink" Target="https://www.zdnet.com/article/details-of-44m-pakistani-mobile-users-leaked-online-part-of-bigger-115m-cache/" TargetMode="External"/><Relationship Id="rId149" Type="http://schemas.openxmlformats.org/officeDocument/2006/relationships/hyperlink" Target="https://www.zdnet.com/article/ubuntu-forums-hack-exposes-two-million-users/" TargetMode="External"/><Relationship Id="rId4" Type="http://schemas.openxmlformats.org/officeDocument/2006/relationships/hyperlink" Target="https://www.nextgov.com/cybersecurity/2020/05/us-marshals-service-breach-exposed-personal-data-387000-prisoners/165305/" TargetMode="External"/><Relationship Id="rId148" Type="http://schemas.openxmlformats.org/officeDocument/2006/relationships/hyperlink" Target="https://www.neowin.net/news/microsoft-owned-linkedin-is-sending-emails-to-users-about-a-lyndacom-data-breach" TargetMode="External"/><Relationship Id="rId269" Type="http://schemas.openxmlformats.org/officeDocument/2006/relationships/hyperlink" Target="http://www.washingtonpost.com/business/technology/faq-the-global-payments-hack/2012/04/02/gIQAIHLLrS_story.html" TargetMode="External"/><Relationship Id="rId9" Type="http://schemas.openxmlformats.org/officeDocument/2006/relationships/hyperlink" Target="https://www.bbc.co.uk/news/business-51760510" TargetMode="External"/><Relationship Id="rId143" Type="http://schemas.openxmlformats.org/officeDocument/2006/relationships/hyperlink" Target="http://www.businessinsider.com/turkish-citizenship-database-allegedly-hacked-and-leaked-2016-4?r=UK&amp;IR=T" TargetMode="External"/><Relationship Id="rId264" Type="http://schemas.openxmlformats.org/officeDocument/2006/relationships/hyperlink" Target="http://www.reuters.com/article/2013/09/26/us-cyberattacks-databrokers-idUSBRE98P03220130926" TargetMode="External"/><Relationship Id="rId385" Type="http://schemas.openxmlformats.org/officeDocument/2006/relationships/hyperlink" Target="https://www.comparebusinessproducts.com/fyi/15-most-massive-data-breaches-history" TargetMode="External"/><Relationship Id="rId142" Type="http://schemas.openxmlformats.org/officeDocument/2006/relationships/hyperlink" Target="https://www.bbc.co.uk/news/technology-36168860" TargetMode="External"/><Relationship Id="rId263" Type="http://schemas.openxmlformats.org/officeDocument/2006/relationships/hyperlink" Target="http://www.usatoday.com/story/cybertruth/2013/09/26/lexisnexis-dunn--bradstreet-altegrity-hacked/2878769/" TargetMode="External"/><Relationship Id="rId384" Type="http://schemas.openxmlformats.org/officeDocument/2006/relationships/hyperlink" Target="http://www.pcworld.com/article/137865/article.html" TargetMode="External"/><Relationship Id="rId141" Type="http://schemas.openxmlformats.org/officeDocument/2006/relationships/hyperlink" Target="http://news.softpedia.com/news/syrian-government-hacked-43-gb-of-data-spilled-online-by-hacktivists-502765.shtml" TargetMode="External"/><Relationship Id="rId262" Type="http://schemas.openxmlformats.org/officeDocument/2006/relationships/hyperlink" Target="https://www.bbc.co.uk/news/technology-24740873" TargetMode="External"/><Relationship Id="rId383" Type="http://schemas.openxmlformats.org/officeDocument/2006/relationships/hyperlink" Target="https://www.computerweekly.com/news/2240104003/Hackney-NHS-trust-encrypts-IT-equipment-following-loss-of-child-data" TargetMode="External"/><Relationship Id="rId140" Type="http://schemas.openxmlformats.org/officeDocument/2006/relationships/hyperlink" Target="http://blog.trendmicro.com/trendlabs-security-intelligence/55m-registered-voters-risk-philippine-commission-elections-hacked/" TargetMode="External"/><Relationship Id="rId261" Type="http://schemas.openxmlformats.org/officeDocument/2006/relationships/hyperlink" Target="http://www.securityweek.com/attacker-steals-data-2-million-vodafone-germany-customers" TargetMode="External"/><Relationship Id="rId382" Type="http://schemas.openxmlformats.org/officeDocument/2006/relationships/hyperlink" Target="http://www.pcworld.com/article/135117/article.html" TargetMode="External"/><Relationship Id="rId5" Type="http://schemas.openxmlformats.org/officeDocument/2006/relationships/hyperlink" Target="https://9to5mac.com/2020/05/15/db8151dd/" TargetMode="External"/><Relationship Id="rId147" Type="http://schemas.openxmlformats.org/officeDocument/2006/relationships/hyperlink" Target="http://lynda.com" TargetMode="External"/><Relationship Id="rId268" Type="http://schemas.openxmlformats.org/officeDocument/2006/relationships/hyperlink" Target="http://www.zdnet.com/blog/security/chinese-hacker-arrested-for-leaking-6-million-logins/11064" TargetMode="External"/><Relationship Id="rId389" Type="http://schemas.openxmlformats.org/officeDocument/2006/relationships/hyperlink" Target="http://www.wired.com/threatlevel/2008/07/ameritrade-hack/" TargetMode="External"/><Relationship Id="rId6" Type="http://schemas.openxmlformats.org/officeDocument/2006/relationships/hyperlink" Target="https://www.bbc.co.uk/news/technology-52722626" TargetMode="External"/><Relationship Id="rId146" Type="http://schemas.openxmlformats.org/officeDocument/2006/relationships/hyperlink" Target="http://www.bbc.co.uk/news/technology-38350987" TargetMode="External"/><Relationship Id="rId267" Type="http://schemas.openxmlformats.org/officeDocument/2006/relationships/hyperlink" Target="http://www.huffingtonpost.com/2013/12/19/target-hacked-customer-credit-card-data-accessed_n_4471672.html?utm_hp_ref=mostpopular" TargetMode="External"/><Relationship Id="rId388" Type="http://schemas.openxmlformats.org/officeDocument/2006/relationships/hyperlink" Target="http://news.bbc.co.uk/2/hi/uk_news/7103911.stm" TargetMode="External"/><Relationship Id="rId7" Type="http://schemas.openxmlformats.org/officeDocument/2006/relationships/hyperlink" Target="https://www.forbes.com/sites/daveywinder/2020/01/22/microsoft-security-shocker-as-250-million-customer-records-exposed-online/" TargetMode="External"/><Relationship Id="rId145" Type="http://schemas.openxmlformats.org/officeDocument/2006/relationships/hyperlink" Target="http://www.zdnet.com/article/over-25-million-accounts-stolen-after-mail-ru-forums-raided-by-hackers/" TargetMode="External"/><Relationship Id="rId266" Type="http://schemas.openxmlformats.org/officeDocument/2006/relationships/hyperlink" Target="http://krebsonsecurity.com/2013/09/data-broker-giants-hacked-by-id-theft-service/" TargetMode="External"/><Relationship Id="rId387" Type="http://schemas.openxmlformats.org/officeDocument/2006/relationships/hyperlink" Target="http://www.pcworld.com/article/131453/article.html" TargetMode="External"/><Relationship Id="rId8" Type="http://schemas.openxmlformats.org/officeDocument/2006/relationships/hyperlink" Target="https://www.zdnet.com/article/dutch-government-loses-hard-drives-with-data-of-6-9-million-registered-donors/" TargetMode="External"/><Relationship Id="rId144" Type="http://schemas.openxmlformats.org/officeDocument/2006/relationships/hyperlink" Target="https://www.healthcare-informatics.com/news-item/cybersecurity/breaking-massive-cyber-attack-banner-health-affects-37m-individuals" TargetMode="External"/><Relationship Id="rId265" Type="http://schemas.openxmlformats.org/officeDocument/2006/relationships/hyperlink" Target="http://ssndob.ms" TargetMode="External"/><Relationship Id="rId386" Type="http://schemas.openxmlformats.org/officeDocument/2006/relationships/hyperlink" Target="http://www.zdnet.com/wi-fi-hack-caused-tk-maxx-security-breach-3039286991/" TargetMode="External"/><Relationship Id="rId260" Type="http://schemas.openxmlformats.org/officeDocument/2006/relationships/hyperlink" Target="http://www.govtech.com/security/San-Diego-Sues-Experian-Over-Alleged-2010-Breach.html" TargetMode="External"/><Relationship Id="rId381" Type="http://schemas.openxmlformats.org/officeDocument/2006/relationships/hyperlink" Target="http://news.bbc.co.uk/1/hi/uk_politics/7147715.stm" TargetMode="External"/><Relationship Id="rId380" Type="http://schemas.openxmlformats.org/officeDocument/2006/relationships/hyperlink" Target="http://news.bbc.co.uk/1/hi/6956349.stm" TargetMode="External"/><Relationship Id="rId139" Type="http://schemas.openxmlformats.org/officeDocument/2006/relationships/hyperlink" Target="http://panamapapers.sueddeutsche.de/articles/56febff0a1bb8d3c3495adf4/" TargetMode="External"/><Relationship Id="rId138" Type="http://schemas.openxmlformats.org/officeDocument/2006/relationships/hyperlink" Target="https://www.cnbc.com/2016/09/22/yahoo-data-breach-is-among-the-biggest-in-history.html" TargetMode="External"/><Relationship Id="rId259" Type="http://schemas.openxmlformats.org/officeDocument/2006/relationships/hyperlink" Target="https://krebsonsecurity.com/2014/03/experian-lapse-allowed-id-theft-service-to-access-200-million-consumer-records/" TargetMode="External"/><Relationship Id="rId137" Type="http://schemas.openxmlformats.org/officeDocument/2006/relationships/hyperlink" Target="https://www.vice.com/en_us/article/8q88k5/hackers-stole-68-million-passwords-from-tumblr-new-analysis-reveals" TargetMode="External"/><Relationship Id="rId258" Type="http://schemas.openxmlformats.org/officeDocument/2006/relationships/hyperlink" Target="http://www.wired.co.uk/news/archive/2013-11/13/mac-rumours-forums-hacked" TargetMode="External"/><Relationship Id="rId379" Type="http://schemas.openxmlformats.org/officeDocument/2006/relationships/hyperlink" Target="http://monster.com" TargetMode="External"/><Relationship Id="rId132" Type="http://schemas.openxmlformats.org/officeDocument/2006/relationships/hyperlink" Target="https://thehackernews.com/2017/09/viacom-amazon-server.html" TargetMode="External"/><Relationship Id="rId253" Type="http://schemas.openxmlformats.org/officeDocument/2006/relationships/hyperlink" Target="http://boingboing.net/2013/05/23/terracom-and-yourtel-threaten.html" TargetMode="External"/><Relationship Id="rId374" Type="http://schemas.openxmlformats.org/officeDocument/2006/relationships/hyperlink" Target="https://infowatch.com/analytics/leaks_monitoring/1304" TargetMode="External"/><Relationship Id="rId131" Type="http://schemas.openxmlformats.org/officeDocument/2006/relationships/hyperlink" Target="https://www.theverge.com/2017/9/1/16244304/instagram-hack-api-bug-doxagram-selena-gomez" TargetMode="External"/><Relationship Id="rId252" Type="http://schemas.openxmlformats.org/officeDocument/2006/relationships/hyperlink" Target="http://arstechnica.com/security/2013/05/drupal-org-resets-login-credentials-after-hack-exposes-password-data/" TargetMode="External"/><Relationship Id="rId373" Type="http://schemas.openxmlformats.org/officeDocument/2006/relationships/hyperlink" Target="https://www.chron.com/news/houston-texas/article/89-000-lottery-winners-affected-by-security-breach-1603025.php" TargetMode="External"/><Relationship Id="rId130" Type="http://schemas.openxmlformats.org/officeDocument/2006/relationships/hyperlink" Target="https://www.silicon.co.uk/cloud/data-breach-mobile-numbers-malaysia-224079" TargetMode="External"/><Relationship Id="rId251" Type="http://schemas.openxmlformats.org/officeDocument/2006/relationships/hyperlink" Target="https://www.reuters.com/article/us-yahoojapan/yahoo-japan-suspects-22-million-user-ids-leaked-kyodo-idUSBRE94G0P620130517" TargetMode="External"/><Relationship Id="rId372" Type="http://schemas.openxmlformats.org/officeDocument/2006/relationships/hyperlink" Target="http://www.geek.com/articles/news/government-servers-in-chile-hacked-6-million-personal-records-made-public-20080514/" TargetMode="External"/><Relationship Id="rId250" Type="http://schemas.openxmlformats.org/officeDocument/2006/relationships/hyperlink" Target="https://www.esecurityplanet.com/hackers/kirkwood-community-college-hacked.html" TargetMode="External"/><Relationship Id="rId371" Type="http://schemas.openxmlformats.org/officeDocument/2006/relationships/hyperlink" Target="http://news.bbc.co.uk/2/hi/americas/7395295.stm" TargetMode="External"/><Relationship Id="rId136" Type="http://schemas.openxmlformats.org/officeDocument/2006/relationships/hyperlink" Target="https://money.cnn.com/2012/06/06/technology/linkedin-password-hack/?iid=EL" TargetMode="External"/><Relationship Id="rId257" Type="http://schemas.openxmlformats.org/officeDocument/2006/relationships/hyperlink" Target="http://macrumours.com" TargetMode="External"/><Relationship Id="rId378" Type="http://schemas.openxmlformats.org/officeDocument/2006/relationships/hyperlink" Target="http://news.bbc.co.uk/1/hi/england/gloucestershire/7639006.stm" TargetMode="External"/><Relationship Id="rId135" Type="http://schemas.openxmlformats.org/officeDocument/2006/relationships/hyperlink" Target="http://money.cnn.com/2016/05/19/technology/linkedin-hack/" TargetMode="External"/><Relationship Id="rId256" Type="http://schemas.openxmlformats.org/officeDocument/2006/relationships/hyperlink" Target="http://www.privacyrights.org/data-breach" TargetMode="External"/><Relationship Id="rId377" Type="http://schemas.openxmlformats.org/officeDocument/2006/relationships/hyperlink" Target="http://infowatch.com/node/1289" TargetMode="External"/><Relationship Id="rId134" Type="http://schemas.openxmlformats.org/officeDocument/2006/relationships/hyperlink" Target="https://thehackernews.com/2017/09/hacker-track-car.html" TargetMode="External"/><Relationship Id="rId255" Type="http://schemas.openxmlformats.org/officeDocument/2006/relationships/hyperlink" Target="https://www.reuters.com/article/us-usa-hack-washingtonstate-idUSBRE9480YY20130509" TargetMode="External"/><Relationship Id="rId376" Type="http://schemas.openxmlformats.org/officeDocument/2006/relationships/hyperlink" Target="https://www.dw.com/en/telekom-says-data-from-17-million-customers-was-stolen/a-3690132" TargetMode="External"/><Relationship Id="rId133" Type="http://schemas.openxmlformats.org/officeDocument/2006/relationships/hyperlink" Target="https://www.consumer.ftc.gov/blog/2017/09/equifax-data-breach-what-do" TargetMode="External"/><Relationship Id="rId254" Type="http://schemas.openxmlformats.org/officeDocument/2006/relationships/hyperlink" Target="http://www.wired.co.uk/news/archive/2013-05/23/reporter-google-breach-hacker" TargetMode="External"/><Relationship Id="rId375" Type="http://schemas.openxmlformats.org/officeDocument/2006/relationships/hyperlink" Target="http://news.bbc.co.uk/1/hi/uk_politics/7667507.stm" TargetMode="External"/><Relationship Id="rId172" Type="http://schemas.openxmlformats.org/officeDocument/2006/relationships/hyperlink" Target="https://techcrunch.com/2015/02/27/uber-database-breach-exposed-information-of-50000-drivers-company-confirms/" TargetMode="External"/><Relationship Id="rId293" Type="http://schemas.openxmlformats.org/officeDocument/2006/relationships/hyperlink" Target="http://www.wired.co.uk/news/archive/2012-11/22/greece-id-theft" TargetMode="External"/><Relationship Id="rId171" Type="http://schemas.openxmlformats.org/officeDocument/2006/relationships/hyperlink" Target="https://www.computerweekly.com/news/2240242508/Premera-hack-exposes-11-million-financial-and-medical-records" TargetMode="External"/><Relationship Id="rId292" Type="http://schemas.openxmlformats.org/officeDocument/2006/relationships/hyperlink" Target="http://news.cnet.com/8301-1009_3-57509595-83/udid-leak-source-idd-bluetoad-mobile-firm-says-it-was-hacked/" TargetMode="External"/><Relationship Id="rId170" Type="http://schemas.openxmlformats.org/officeDocument/2006/relationships/hyperlink" Target="http://blog.twitch.tv/2015/03/important-notice-about-your-twitch-account/" TargetMode="External"/><Relationship Id="rId291" Type="http://schemas.openxmlformats.org/officeDocument/2006/relationships/hyperlink" Target="http://news.cnet.com/8301-1009_3-57505330-83/antisec-claims-to-have-snatched-12m-apple-device-ids-from-fbi/" TargetMode="External"/><Relationship Id="rId290" Type="http://schemas.openxmlformats.org/officeDocument/2006/relationships/hyperlink" Target="http://www.pcworld.com/article/252647/reborn_lulzsec_claims_hack_of_dating_site_for_military_personnel.html" TargetMode="External"/><Relationship Id="rId165" Type="http://schemas.openxmlformats.org/officeDocument/2006/relationships/hyperlink" Target="http://newsroom.questdiagnostics.com/2016-12-12-Quest-Diagnostics-Provides-Notice-of-Data-Security-Incident" TargetMode="External"/><Relationship Id="rId286" Type="http://schemas.openxmlformats.org/officeDocument/2006/relationships/hyperlink" Target="https://www.zdnet.com/article/last-fm-investigating-security-issue-passwords-leaked/" TargetMode="External"/><Relationship Id="rId164" Type="http://schemas.openxmlformats.org/officeDocument/2006/relationships/hyperlink" Target="http://www.nytimes.com/2016/07/29/world/asia/north-korea-hacking-interpark.html" TargetMode="External"/><Relationship Id="rId285" Type="http://schemas.openxmlformats.org/officeDocument/2006/relationships/hyperlink" Target="http://www.zdnet.com/article/hackers-stole-43-million-last-fm-account-details-in-2012-breach/" TargetMode="External"/><Relationship Id="rId163" Type="http://schemas.openxmlformats.org/officeDocument/2006/relationships/hyperlink" Target="https://techcrunch.com/2016/10/20/weebly-hacked-43-million-credentials-stolen/" TargetMode="External"/><Relationship Id="rId284" Type="http://schemas.openxmlformats.org/officeDocument/2006/relationships/hyperlink" Target="http://last.fm" TargetMode="External"/><Relationship Id="rId162" Type="http://schemas.openxmlformats.org/officeDocument/2006/relationships/hyperlink" Target="http://www.zdnet.com/article/dailymotion-hack-exposes-millions-of-accounts/" TargetMode="External"/><Relationship Id="rId283" Type="http://schemas.openxmlformats.org/officeDocument/2006/relationships/hyperlink" Target="https://www.helpnetsecurity.com/2012/07/12/nearly-half-a-million-yahoo-passwords-leaked-following-hack/" TargetMode="External"/><Relationship Id="rId169" Type="http://schemas.openxmlformats.org/officeDocument/2006/relationships/hyperlink" Target="https://krebsonsecurity.com/2015/05/carefirst-blue-cross-breach-hits-1-1m/" TargetMode="External"/><Relationship Id="rId168" Type="http://schemas.openxmlformats.org/officeDocument/2006/relationships/hyperlink" Target="http://www.digitaltrends.com/computing/clixsense-hacked/" TargetMode="External"/><Relationship Id="rId289" Type="http://schemas.openxmlformats.org/officeDocument/2006/relationships/hyperlink" Target="http://militarysingles.com" TargetMode="External"/><Relationship Id="rId167" Type="http://schemas.openxmlformats.org/officeDocument/2006/relationships/hyperlink" Target="https://www.vice.com/en_us/article/vv7pgd/nearly-800000-brazzers-porn-site-accounts-exposed-in-forum-hack" TargetMode="External"/><Relationship Id="rId288" Type="http://schemas.openxmlformats.org/officeDocument/2006/relationships/hyperlink" Target="http://www.forbes.com/sites/andygreenberg/2012/07/23/eight-million-passwords-spilled-from-gaming-site-gamigo-months-after-breach/" TargetMode="External"/><Relationship Id="rId166" Type="http://schemas.openxmlformats.org/officeDocument/2006/relationships/hyperlink" Target="http://www.zdnet.com/article/adultfriendfinder-network-hack-exposes-secrets-of-412-million-users/" TargetMode="External"/><Relationship Id="rId287" Type="http://schemas.openxmlformats.org/officeDocument/2006/relationships/hyperlink" Target="http://news.cnet.com/8301-1009_3-57449325-83/what-the-password-leaks-mean-to-you-faq/?tag=mncol;txt" TargetMode="External"/><Relationship Id="rId161" Type="http://schemas.openxmlformats.org/officeDocument/2006/relationships/hyperlink" Target="http://venturebeat.com/2016/08/02/hackers-break-into-telegram-revealing-15-million-users-phone-numbers/" TargetMode="External"/><Relationship Id="rId282" Type="http://schemas.openxmlformats.org/officeDocument/2006/relationships/hyperlink" Target="http://news.cnet.com/8301-1009_3-57482215-83/hackers-accused-of-stealing-data-from-9m-korean-mobile-users/" TargetMode="External"/><Relationship Id="rId160" Type="http://schemas.openxmlformats.org/officeDocument/2006/relationships/hyperlink" Target="http://www.abc.net.au/news/2016-10-28/red-cross-blood-service-admits-to-data-breach/7974036" TargetMode="External"/><Relationship Id="rId281" Type="http://schemas.openxmlformats.org/officeDocument/2006/relationships/hyperlink" Target="http://www.koreatimes.co.kr/www/news/biz/2012/07/113_116143.html" TargetMode="External"/><Relationship Id="rId280" Type="http://schemas.openxmlformats.org/officeDocument/2006/relationships/hyperlink" Target="http://news.cnet.com/8301-1009_3-57469944-83/formspring-disables-user-passwords-in-security-breach/?tag=mncol;txt" TargetMode="External"/><Relationship Id="rId159" Type="http://schemas.openxmlformats.org/officeDocument/2006/relationships/hyperlink" Target="http://www.threemediacentre.co.uk/news/2017/handsetfraud-update.aspx" TargetMode="External"/><Relationship Id="rId154" Type="http://schemas.openxmlformats.org/officeDocument/2006/relationships/hyperlink" Target="http://www.bbc.co.uk/news/world-europe-36645519" TargetMode="External"/><Relationship Id="rId275" Type="http://schemas.openxmlformats.org/officeDocument/2006/relationships/hyperlink" Target="https://www.reuters.com/article/us-usa-hackers-utah/european-hackers-suspected-in-utah-medicaid-files-breach-idUSBRE83404G20120405" TargetMode="External"/><Relationship Id="rId396" Type="http://schemas.openxmlformats.org/officeDocument/2006/relationships/hyperlink" Target="https://www.computerweekly.com/news/2240076956/Personal-data-on-200000-HP-employees-stolen" TargetMode="External"/><Relationship Id="rId153" Type="http://schemas.openxmlformats.org/officeDocument/2006/relationships/hyperlink" Target="https://thestack.com/security/2016/06/29/2-million-person-terror-database-leaked-online/" TargetMode="External"/><Relationship Id="rId274" Type="http://schemas.openxmlformats.org/officeDocument/2006/relationships/hyperlink" Target="http://www.rawstory.com/rs/2012/04/26/texas-attorney-general-exposes-millions-of-voters-social-security-numbers/" TargetMode="External"/><Relationship Id="rId395" Type="http://schemas.openxmlformats.org/officeDocument/2006/relationships/hyperlink" Target="http://www.computerworld.com/s/article/9001150/KDDI_suffers_massive_data_breach" TargetMode="External"/><Relationship Id="rId152" Type="http://schemas.openxmlformats.org/officeDocument/2006/relationships/hyperlink" Target="https://torrentfreak.com/utorrent-forums-hacked-passwords-compromised-160608/" TargetMode="External"/><Relationship Id="rId273" Type="http://schemas.openxmlformats.org/officeDocument/2006/relationships/hyperlink" Target="http://news.emory.edu/stories/2012/04/ehc_missing_data/campus.html" TargetMode="External"/><Relationship Id="rId394" Type="http://schemas.openxmlformats.org/officeDocument/2006/relationships/hyperlink" Target="http://abcnews.go.com/Technology/story?id=2160425&amp;page=1" TargetMode="External"/><Relationship Id="rId151" Type="http://schemas.openxmlformats.org/officeDocument/2006/relationships/hyperlink" Target="http://news.trust.org/item/20160729204542-r98dj" TargetMode="External"/><Relationship Id="rId272" Type="http://schemas.openxmlformats.org/officeDocument/2006/relationships/hyperlink" Target="https://www.businessinsider.com/california-child-support-data-breach-2012-4?IR=T" TargetMode="External"/><Relationship Id="rId393" Type="http://schemas.openxmlformats.org/officeDocument/2006/relationships/hyperlink" Target="https://www.va.gov/oig/pubs/VAOIG-06-02238-163.pdf" TargetMode="External"/><Relationship Id="rId158" Type="http://schemas.openxmlformats.org/officeDocument/2006/relationships/hyperlink" Target="https://www.vice.com/en_us/article/pgkk8v/427-million-myspace-passwords-emails-data-breach" TargetMode="External"/><Relationship Id="rId279" Type="http://schemas.openxmlformats.org/officeDocument/2006/relationships/hyperlink" Target="http://www.forbes.com/sites/andygreenberg/2012/01/15/zappos-says-hackers-accessed-24-million-customers-account-details/" TargetMode="External"/><Relationship Id="rId157" Type="http://schemas.openxmlformats.org/officeDocument/2006/relationships/hyperlink" Target="https://www.ibtimes.co.uk/fling-com-breach-passwords-sexual-preferences-40-million-users-sale-dark-web-1558711" TargetMode="External"/><Relationship Id="rId278" Type="http://schemas.openxmlformats.org/officeDocument/2006/relationships/hyperlink" Target="https://www.databreaches.net/more-breaches-you-may-not-have-known-about/" TargetMode="External"/><Relationship Id="rId399" Type="http://schemas.openxmlformats.org/officeDocument/2006/relationships/hyperlink" Target="https://www.wired.com/2005/06/cardsystems-data-left-unsecured/" TargetMode="External"/><Relationship Id="rId156" Type="http://schemas.openxmlformats.org/officeDocument/2006/relationships/hyperlink" Target="https://motherboard.vice.com/en_us/article/pgkp57/a-teen-hacker-is-targeting-russian-sites-as-revenge-for-the-mh17-crash" TargetMode="External"/><Relationship Id="rId277" Type="http://schemas.openxmlformats.org/officeDocument/2006/relationships/hyperlink" Target="https://www.databreaches.net/nyseg-and-rge-notify-customers-of-unauthorized-access-to-customer-data/" TargetMode="External"/><Relationship Id="rId398" Type="http://schemas.openxmlformats.org/officeDocument/2006/relationships/hyperlink" Target="http://www.nytimes.com/2005/06/07/business/07data.html?pagewanted=all&amp;_moc.semityn.www" TargetMode="External"/><Relationship Id="rId155" Type="http://schemas.openxmlformats.org/officeDocument/2006/relationships/hyperlink" Target="http://motherboard.vice.com/read/another-day-another-hack-100-million-accounts-for-vk-russias-facebook" TargetMode="External"/><Relationship Id="rId276" Type="http://schemas.openxmlformats.org/officeDocument/2006/relationships/hyperlink" Target="https://www.forbes.com/sites/erikkain/2012/08/09/its-official-blizzard-hacked-account-information-stolen/" TargetMode="External"/><Relationship Id="rId397" Type="http://schemas.openxmlformats.org/officeDocument/2006/relationships/hyperlink" Target="http://www.nbcnews.com/id/7561268/" TargetMode="External"/><Relationship Id="rId40" Type="http://schemas.openxmlformats.org/officeDocument/2006/relationships/hyperlink" Target="https://www.theregister.co.uk/2019/02/11/620_million_hacked_accounts_dark_web/" TargetMode="External"/><Relationship Id="rId42" Type="http://schemas.openxmlformats.org/officeDocument/2006/relationships/hyperlink" Target="https://www.theregister.co.uk/2019/02/11/620_million_hacked_accounts_dark_web/" TargetMode="External"/><Relationship Id="rId41" Type="http://schemas.openxmlformats.org/officeDocument/2006/relationships/hyperlink" Target="https://www.theregister.co.uk/2019/02/11/620_million_hacked_accounts_dark_web/" TargetMode="External"/><Relationship Id="rId44" Type="http://schemas.openxmlformats.org/officeDocument/2006/relationships/hyperlink" Target="https://techcrunch.com/2019/02/14/hacker-strikes-again/" TargetMode="External"/><Relationship Id="rId43" Type="http://schemas.openxmlformats.org/officeDocument/2006/relationships/hyperlink" Target="https://www.theregister.co.uk/2019/02/11/620_million_hacked_accounts_dark_web/" TargetMode="External"/><Relationship Id="rId46" Type="http://schemas.openxmlformats.org/officeDocument/2006/relationships/hyperlink" Target="https://techcrunch.com/2019/01/31/houzz-data-breach/" TargetMode="External"/><Relationship Id="rId45" Type="http://schemas.openxmlformats.org/officeDocument/2006/relationships/hyperlink" Target="https://techcrunch.com/2019/02/14/hacker-strikes-again/" TargetMode="External"/><Relationship Id="rId48" Type="http://schemas.openxmlformats.org/officeDocument/2006/relationships/hyperlink" Target="https://techcrunch.com/2019/02/14/hacker-strikes-again/" TargetMode="External"/><Relationship Id="rId47" Type="http://schemas.openxmlformats.org/officeDocument/2006/relationships/hyperlink" Target="http://ge.tt" TargetMode="External"/><Relationship Id="rId49" Type="http://schemas.openxmlformats.org/officeDocument/2006/relationships/hyperlink" Target="https://techcrunch.com/2019/02/14/hacker-strikes-again/" TargetMode="External"/><Relationship Id="rId31" Type="http://schemas.openxmlformats.org/officeDocument/2006/relationships/hyperlink" Target="https://www.theregister.co.uk/2019/02/11/620_million_hacked_accounts_dark_web/" TargetMode="External"/><Relationship Id="rId30" Type="http://schemas.openxmlformats.org/officeDocument/2006/relationships/hyperlink" Target="https://thenextweb.com/eu/2019/02/18/2-7-million-patient-calls-to-swedish-healthcare-hotline-left-unprotected-online/" TargetMode="External"/><Relationship Id="rId33" Type="http://schemas.openxmlformats.org/officeDocument/2006/relationships/hyperlink" Target="https://www.theregister.co.uk/2019/02/11/620_million_hacked_accounts_dark_web/" TargetMode="External"/><Relationship Id="rId32" Type="http://schemas.openxmlformats.org/officeDocument/2006/relationships/hyperlink" Target="https://www.theregister.co.uk/2019/02/11/620_million_hacked_accounts_dark_web/" TargetMode="External"/><Relationship Id="rId35" Type="http://schemas.openxmlformats.org/officeDocument/2006/relationships/hyperlink" Target="https://www.theregister.co.uk/2019/02/11/620_million_hacked_accounts_dark_web/" TargetMode="External"/><Relationship Id="rId34" Type="http://schemas.openxmlformats.org/officeDocument/2006/relationships/hyperlink" Target="https://www.theregister.co.uk/2019/02/11/620_million_hacked_accounts_dark_web/" TargetMode="External"/><Relationship Id="rId37" Type="http://schemas.openxmlformats.org/officeDocument/2006/relationships/hyperlink" Target="https://www.theregister.co.uk/2019/02/11/620_million_hacked_accounts_dark_web/" TargetMode="External"/><Relationship Id="rId36" Type="http://schemas.openxmlformats.org/officeDocument/2006/relationships/hyperlink" Target="https://www.theregister.co.uk/2019/02/11/620_million_hacked_accounts_dark_web/" TargetMode="External"/><Relationship Id="rId39" Type="http://schemas.openxmlformats.org/officeDocument/2006/relationships/hyperlink" Target="https://www.theregister.co.uk/2019/02/11/620_million_hacked_accounts_dark_web/" TargetMode="External"/><Relationship Id="rId38" Type="http://schemas.openxmlformats.org/officeDocument/2006/relationships/hyperlink" Target="https://www.theregister.co.uk/2019/02/11/620_million_hacked_accounts_dark_web/" TargetMode="External"/><Relationship Id="rId20" Type="http://schemas.openxmlformats.org/officeDocument/2006/relationships/hyperlink" Target="https://www.zdnet.com/article/amca-data-breach-has-now-gone-over-the-20-million-mark/" TargetMode="External"/><Relationship Id="rId22" Type="http://schemas.openxmlformats.org/officeDocument/2006/relationships/hyperlink" Target="https://www.zdnet.com/article/australian-tech-unicorn-canva-suffers-security-breach/" TargetMode="External"/><Relationship Id="rId21" Type="http://schemas.openxmlformats.org/officeDocument/2006/relationships/hyperlink" Target="https://www.theguardian.com/australia-news/2019/jun/04/australian-national-university-hit-by-huge-data-breach" TargetMode="External"/><Relationship Id="rId24" Type="http://schemas.openxmlformats.org/officeDocument/2006/relationships/hyperlink" Target="https://techcrunch.com/2019/05/20/instagram-influencer-celebrity-accounts-scraped/" TargetMode="External"/><Relationship Id="rId23" Type="http://schemas.openxmlformats.org/officeDocument/2006/relationships/hyperlink" Target="https://krebsonsecurity.com/2019/05/first-american-financial-corp-leaked-hundreds-of-millions-of-title-insurance-records/" TargetMode="External"/><Relationship Id="rId401" Type="http://schemas.openxmlformats.org/officeDocument/2006/relationships/drawing" Target="../drawings/drawing9.xml"/><Relationship Id="rId26" Type="http://schemas.openxmlformats.org/officeDocument/2006/relationships/hyperlink" Target="https://www.bleepingcomputer.com/news/security/toyota-security-breach-exposes-personal-info-of-31-million-clients/" TargetMode="External"/><Relationship Id="rId25" Type="http://schemas.openxmlformats.org/officeDocument/2006/relationships/hyperlink" Target="https://techcrunch.com/2019/04/22/hotspot-password-leak/" TargetMode="External"/><Relationship Id="rId28" Type="http://schemas.openxmlformats.org/officeDocument/2006/relationships/hyperlink" Target="https://www.theguardian.com/world/2019/mar/11/china-database-lists-breedready-status-of-18-million-women" TargetMode="External"/><Relationship Id="rId27" Type="http://schemas.openxmlformats.org/officeDocument/2006/relationships/hyperlink" Target="https://global.toyota/jp/newsroom/corporate/27465617.html" TargetMode="External"/><Relationship Id="rId400" Type="http://schemas.openxmlformats.org/officeDocument/2006/relationships/hyperlink" Target="http://money.cnn.com/2004/06/23/technology/aol_spam/" TargetMode="External"/><Relationship Id="rId29" Type="http://schemas.openxmlformats.org/officeDocument/2006/relationships/hyperlink" Target="https://computersweden.idg.se/2.2683/1.714787/inspelade-samtal-1177-vardguiden-oskyddade-internet" TargetMode="External"/><Relationship Id="rId11" Type="http://schemas.openxmlformats.org/officeDocument/2006/relationships/hyperlink" Target="https://www.techradar.com/uk/news/tesco-clubcard-holders-warned-of-major-security-issue" TargetMode="External"/><Relationship Id="rId10" Type="http://schemas.openxmlformats.org/officeDocument/2006/relationships/hyperlink" Target="https://www.which.co.uk/news/2020/03/boots-advantage-card-tesco-clubcard-both-suffer-data-breaches-in-same-week/" TargetMode="External"/><Relationship Id="rId13" Type="http://schemas.openxmlformats.org/officeDocument/2006/relationships/hyperlink" Target="https://www.welivesecurity.com/2020/04/16/half-million-zoom-accounts-sale-dark-web/" TargetMode="External"/><Relationship Id="rId12" Type="http://schemas.openxmlformats.org/officeDocument/2006/relationships/hyperlink" Target="https://news.marriott.com/news/2020/03/31/marriott-international-notifies-guests-of-property-system-incident" TargetMode="External"/><Relationship Id="rId15" Type="http://schemas.openxmlformats.org/officeDocument/2006/relationships/hyperlink" Target="https://www.zdnet.com/article/exclusive-details-of-10-6-million-of-mgm-hotel-guests-posted-on-a-hacking-forum/" TargetMode="External"/><Relationship Id="rId14" Type="http://schemas.openxmlformats.org/officeDocument/2006/relationships/hyperlink" Target="https://www.nytimes.com/2020/02/10/world/middleeast/israeli-voters-leak.html?action=click&amp;module=News&amp;pgtype=Homepage" TargetMode="External"/><Relationship Id="rId17" Type="http://schemas.openxmlformats.org/officeDocument/2006/relationships/hyperlink" Target="https://krebsonsecurity.com/2020/01/wawa-breach-may-have-compromised-more-than-30-million-payment-cards/" TargetMode="External"/><Relationship Id="rId16" Type="http://schemas.openxmlformats.org/officeDocument/2006/relationships/hyperlink" Target="https://www.tellerreport.com/news/2020-01-22---big-data-leak--media--at-buchbinder-car-rental-company--customer-data-was-open-.BJ-S5Jk8Z8.html" TargetMode="External"/><Relationship Id="rId19" Type="http://schemas.openxmlformats.org/officeDocument/2006/relationships/hyperlink" Target="https://www.washingtonpost.com/technology/2019/06/10/us-customs-border-protection-says-photos-travelers-into-out-country-were-recently-taken-data-breach/?utm_term=.69c66aaf152f" TargetMode="External"/><Relationship Id="rId18" Type="http://schemas.openxmlformats.org/officeDocument/2006/relationships/hyperlink" Target="https://www.cbc.ca/news/canada/montreal/desjardins-data-breach-1.5344216" TargetMode="External"/><Relationship Id="rId84" Type="http://schemas.openxmlformats.org/officeDocument/2006/relationships/hyperlink" Target="https://www.theguardian.com/business/2018/sep/06/british-airways-customer-data-stolen-from-its-website" TargetMode="External"/><Relationship Id="rId83" Type="http://schemas.openxmlformats.org/officeDocument/2006/relationships/hyperlink" Target="https://techcrunch.com/2018/08/23/millions-of-texas-voter-records-exposed-online/" TargetMode="External"/><Relationship Id="rId86" Type="http://schemas.openxmlformats.org/officeDocument/2006/relationships/hyperlink" Target="https://www.theguardian.com/technology/2018/mar/30/hackers-steal-data-150m-myfitnesspal-app-users-under-armour" TargetMode="External"/><Relationship Id="rId85" Type="http://schemas.openxmlformats.org/officeDocument/2006/relationships/hyperlink" Target="https://motherboard.vice.com/en_us/article/a3qpk5/t-mobile-hack-data-breach-api-customer-data" TargetMode="External"/><Relationship Id="rId88" Type="http://schemas.openxmlformats.org/officeDocument/2006/relationships/hyperlink" Target="https://medium.com/@intideceukelaire/this-popular-facebook-app-publicly-exposed-your-data-for-years-12483418eff8" TargetMode="External"/><Relationship Id="rId87" Type="http://schemas.openxmlformats.org/officeDocument/2006/relationships/hyperlink" Target="https://www.itgovernance.eu/blog/en/breach-at-norways-largest-healthcare-authority-was-a-disaster-waiting-to-happen" TargetMode="External"/><Relationship Id="rId89" Type="http://schemas.openxmlformats.org/officeDocument/2006/relationships/hyperlink" Target="https://www.bbc.co.uk/news/technology-44628874" TargetMode="External"/><Relationship Id="rId80" Type="http://schemas.openxmlformats.org/officeDocument/2006/relationships/hyperlink" Target="https://www.bloombergquint.com/technology/hack-of-dna-website-exposes-data-from-92-million-user-accounts" TargetMode="External"/><Relationship Id="rId82" Type="http://schemas.openxmlformats.org/officeDocument/2006/relationships/hyperlink" Target="https://www.khaleejtimes.com/nation/dubai//dubais-careem-admits-to-data-breach-of-14-million-users" TargetMode="External"/><Relationship Id="rId81" Type="http://schemas.openxmlformats.org/officeDocument/2006/relationships/hyperlink" Target="https://www.nytimes.com/2018/04/01/technology/saks-lord-taylor-credit-cards.html" TargetMode="External"/><Relationship Id="rId73" Type="http://schemas.openxmlformats.org/officeDocument/2006/relationships/hyperlink" Target="https://www.nytimes.com/2018/11/30/business/marriott-data-breach.html" TargetMode="External"/><Relationship Id="rId72" Type="http://schemas.openxmlformats.org/officeDocument/2006/relationships/hyperlink" Target="https://www.nytimes.com/2018/12/04/technology/quora-hack-data-breach.html" TargetMode="External"/><Relationship Id="rId75" Type="http://schemas.openxmlformats.org/officeDocument/2006/relationships/hyperlink" Target="http://www.flanderstoday.eu/business/nmbs-data-leak-was-breach-privacy" TargetMode="External"/><Relationship Id="rId74" Type="http://schemas.openxmlformats.org/officeDocument/2006/relationships/hyperlink" Target="https://www.cnet.com/news/marriott-says-hackers-stole-more-than-5-million-passport-numbers/" TargetMode="External"/><Relationship Id="rId77" Type="http://schemas.openxmlformats.org/officeDocument/2006/relationships/hyperlink" Target="https://krebsonsecurity.com/2018/04/panerabread-com-leaks-millions-of-customer-records/" TargetMode="External"/><Relationship Id="rId76" Type="http://schemas.openxmlformats.org/officeDocument/2006/relationships/hyperlink" Target="https://www.theguardian.com/news/2018/mar/17/cambridge-analytica-facebook-influence-us-election?CMP=twt_gu" TargetMode="External"/><Relationship Id="rId79" Type="http://schemas.openxmlformats.org/officeDocument/2006/relationships/hyperlink" Target="https://www.bbc.co.uk/news/business-45016906" TargetMode="External"/><Relationship Id="rId78" Type="http://schemas.openxmlformats.org/officeDocument/2006/relationships/hyperlink" Target="https://medium.com/@djhoulihan/no-panera-bread-doesnt-take-security-seriously-bf078027f815" TargetMode="External"/><Relationship Id="rId71" Type="http://schemas.openxmlformats.org/officeDocument/2006/relationships/hyperlink" Target="https://www.theverge.com/2018/12/10/18134541/google-plus-privacy-api-data-leak-developers" TargetMode="External"/><Relationship Id="rId70" Type="http://schemas.openxmlformats.org/officeDocument/2006/relationships/hyperlink" Target="https://blog.hackenproof.com/industry-news/202-million-private-resumes-exposed" TargetMode="External"/><Relationship Id="rId62" Type="http://schemas.openxmlformats.org/officeDocument/2006/relationships/hyperlink" Target="https://arstechnica.com/information-technology/2019/10/data-for-a-whopping-26-million-stolen-payment-cards-leaked-in-hack-of-fraud-bazaar/" TargetMode="External"/><Relationship Id="rId61" Type="http://schemas.openxmlformats.org/officeDocument/2006/relationships/hyperlink" Target="https://techcrunch.com/2019/09/26/doordash-data-breach/" TargetMode="External"/><Relationship Id="rId64" Type="http://schemas.openxmlformats.org/officeDocument/2006/relationships/hyperlink" Target="https://www.dataviper.io/blog/2019/pdl-data-exposure-billion-people/" TargetMode="External"/><Relationship Id="rId63" Type="http://schemas.openxmlformats.org/officeDocument/2006/relationships/hyperlink" Target="https://www.dataviper.io/blog/2019/pdl-data-exposure-billion-people/" TargetMode="External"/><Relationship Id="rId66" Type="http://schemas.openxmlformats.org/officeDocument/2006/relationships/hyperlink" Target="https://www.straitstimes.com/singapore/personal-info-of-15m-singhealth-patients-including-pm-lee-stolen-in-singapores-most" TargetMode="External"/><Relationship Id="rId65" Type="http://schemas.openxmlformats.org/officeDocument/2006/relationships/hyperlink" Target="http://fortune.com/2018/12/18/click2gov-local-government-portals-hackers-credit-card-breach/" TargetMode="External"/><Relationship Id="rId68" Type="http://schemas.openxmlformats.org/officeDocument/2006/relationships/hyperlink" Target="https://krebsonsecurity.com/2018/09/govpaynow-com-leaks-14m-records/" TargetMode="External"/><Relationship Id="rId67" Type="http://schemas.openxmlformats.org/officeDocument/2006/relationships/hyperlink" Target="http://govpaynow.com" TargetMode="External"/><Relationship Id="rId60" Type="http://schemas.openxmlformats.org/officeDocument/2006/relationships/hyperlink" Target="https://www.fastcompany.com/90399734/the-phone-numbers-of-419-million-facebook-accounts-have-been-leaked" TargetMode="External"/><Relationship Id="rId69" Type="http://schemas.openxmlformats.org/officeDocument/2006/relationships/hyperlink" Target="https://www.abc.net.au/news/2018-10-25/cathay-pacific-data-breach-affects-9.4-million-customers/10429878" TargetMode="External"/><Relationship Id="rId51" Type="http://schemas.openxmlformats.org/officeDocument/2006/relationships/hyperlink" Target="https://techcrunch.com/2019/02/14/hacker-strikes-again/" TargetMode="External"/><Relationship Id="rId50" Type="http://schemas.openxmlformats.org/officeDocument/2006/relationships/hyperlink" Target="https://techcrunch.com/2019/02/14/hacker-strikes-again/" TargetMode="External"/><Relationship Id="rId53" Type="http://schemas.openxmlformats.org/officeDocument/2006/relationships/hyperlink" Target="https://petapixel.com/2019/02/13/500px-hacked-personal-data-stolen-from-all-14-8-million-users/" TargetMode="External"/><Relationship Id="rId52" Type="http://schemas.openxmlformats.org/officeDocument/2006/relationships/hyperlink" Target="https://techcrunch.com/2019/02/14/hacker-strikes-again/" TargetMode="External"/><Relationship Id="rId55" Type="http://schemas.openxmlformats.org/officeDocument/2006/relationships/hyperlink" Target="https://www.zdnet.com/article/town-of-salem-game-suffers-data-breach-exposing-7-6-million-user-details/" TargetMode="External"/><Relationship Id="rId54" Type="http://schemas.openxmlformats.org/officeDocument/2006/relationships/hyperlink" Target="https://www.zdnet.com/article/data-of-2-4-million-blur-password-manager-users-left-exposed-online/" TargetMode="External"/><Relationship Id="rId57" Type="http://schemas.openxmlformats.org/officeDocument/2006/relationships/hyperlink" Target="https://www.zdnet.com/article/hacker-steals-data-of-millions-of-bulgarians-emails-it-to-local-media/" TargetMode="External"/><Relationship Id="rId56" Type="http://schemas.openxmlformats.org/officeDocument/2006/relationships/hyperlink" Target="https://www.bleepingcomputer.com/news/security/over-275-million-records-exposed-by-unsecured-mongodb-database/" TargetMode="External"/><Relationship Id="rId59" Type="http://schemas.openxmlformats.org/officeDocument/2006/relationships/hyperlink" Target="https://www.theguardian.com/technology/2019/aug/14/major-breach-found-in-biometrics-system-used-by-banks-uk-police-and-defence-firms" TargetMode="External"/><Relationship Id="rId58" Type="http://schemas.openxmlformats.org/officeDocument/2006/relationships/hyperlink" Target="https://www.forbes.com/sites/rachelsandler/2019/07/29/capital-one-says-hacker-breached-accounts-of-100-million-people-ex-amazon-employee-arrested/" TargetMode="External"/><Relationship Id="rId107" Type="http://schemas.openxmlformats.org/officeDocument/2006/relationships/hyperlink" Target="https://techcrunch.com/2018/09/19/newegg-credit-card-data-breach/" TargetMode="External"/><Relationship Id="rId228" Type="http://schemas.openxmlformats.org/officeDocument/2006/relationships/hyperlink" Target="http://www.nbcnews.com/technology/scribd-hack-exposes-thousands-users-1B9239618" TargetMode="External"/><Relationship Id="rId349" Type="http://schemas.openxmlformats.org/officeDocument/2006/relationships/hyperlink" Target="https://www.darkreading.com/attacks-and-breaches/heartland-payment-systems-hit-by-data-security-breach/d/d-id/1075770" TargetMode="External"/><Relationship Id="rId106" Type="http://schemas.openxmlformats.org/officeDocument/2006/relationships/hyperlink" Target="https://newsroom.fb.com/news/2018/10/update-on-security-issue/" TargetMode="External"/><Relationship Id="rId227" Type="http://schemas.openxmlformats.org/officeDocument/2006/relationships/hyperlink" Target="http://nakedsecurity.sophos.com/2013/04/05/scribd-worlds-largest-online-library-admits-to-network-intrusion-password-breach/" TargetMode="External"/><Relationship Id="rId348" Type="http://schemas.openxmlformats.org/officeDocument/2006/relationships/hyperlink" Target="http://www.forbes.com/sites/andygreenberg/2010/10/22/wikileaks-reveals-the-biggest-classified-data-breach-in-history/" TargetMode="External"/><Relationship Id="rId105" Type="http://schemas.openxmlformats.org/officeDocument/2006/relationships/hyperlink" Target="https://www.businessinsider.com.au/facebook-thinks-spammers-responsible-hack-stole-info-from-29-million-users-2018-10?r=US&amp;IR=T" TargetMode="External"/><Relationship Id="rId226" Type="http://schemas.openxmlformats.org/officeDocument/2006/relationships/hyperlink" Target="https://thehackernews.com/2011/12/tianya-chinas-biggest-online-forum-40.html" TargetMode="External"/><Relationship Id="rId347" Type="http://schemas.openxmlformats.org/officeDocument/2006/relationships/hyperlink" Target="https://www.bankinfosecurity.com/cleveland-federal-reserve-hacked-a-3115" TargetMode="External"/><Relationship Id="rId104" Type="http://schemas.openxmlformats.org/officeDocument/2006/relationships/hyperlink" Target="https://www.hcanews.com/news/update-94k-hit-in-cms-data-breach" TargetMode="External"/><Relationship Id="rId225" Type="http://schemas.openxmlformats.org/officeDocument/2006/relationships/hyperlink" Target="http://www.scmagazine.com.au/News/349585,28-million-clear-text-passwords-found-after-tianya65279-hack.aspx" TargetMode="External"/><Relationship Id="rId346" Type="http://schemas.openxmlformats.org/officeDocument/2006/relationships/hyperlink" Target="https://www.wsj.com/articles/SB10001424052702304434404575150024174102954" TargetMode="External"/><Relationship Id="rId109" Type="http://schemas.openxmlformats.org/officeDocument/2006/relationships/hyperlink" Target="https://www.wired.com/story/apollo-breach-linkedin-salesforce-data/" TargetMode="External"/><Relationship Id="rId108" Type="http://schemas.openxmlformats.org/officeDocument/2006/relationships/hyperlink" Target="https://www.housingwire.com/articles/36597-guaranteed-rate-ordered-to-pay-25m-to-mount-olympus-mortgage-for-data-theft/" TargetMode="External"/><Relationship Id="rId229" Type="http://schemas.openxmlformats.org/officeDocument/2006/relationships/hyperlink" Target="http://nakedsecurity.sophos.com/2013/04/27/livingsocial-hacked-50-million-affected/" TargetMode="External"/><Relationship Id="rId220" Type="http://schemas.openxmlformats.org/officeDocument/2006/relationships/hyperlink" Target="http://www.theguardian.com/technology/2014/jun/16/dominos-pizza-ransom-hack-data" TargetMode="External"/><Relationship Id="rId341" Type="http://schemas.openxmlformats.org/officeDocument/2006/relationships/hyperlink" Target="https://www.thelantern.com/2010/12/hacked-data-breach-costly-for-ohio-state-victims-of-compromised-info/" TargetMode="External"/><Relationship Id="rId340" Type="http://schemas.openxmlformats.org/officeDocument/2006/relationships/hyperlink" Target="https://www.databreaches.net/puerto-rico-dept-of-health-reports-breach-affecting-400000-triple-s-salud-fined-100k/" TargetMode="External"/><Relationship Id="rId103" Type="http://schemas.openxmlformats.org/officeDocument/2006/relationships/hyperlink" Target="https://www.bbc.co.uk/news/technology-46261209" TargetMode="External"/><Relationship Id="rId224" Type="http://schemas.openxmlformats.org/officeDocument/2006/relationships/hyperlink" Target="http://news.softpedia.com/news/Citi-Exposes-Details-of-150-000-Individuals-Who-Went-into-Bankruptcy-369979.shtml" TargetMode="External"/><Relationship Id="rId345" Type="http://schemas.openxmlformats.org/officeDocument/2006/relationships/hyperlink" Target="https://www.pcworld.idg.com.au/article/351659/new_york_hospital_loses_data_130_000_via_fedex/" TargetMode="External"/><Relationship Id="rId102" Type="http://schemas.openxmlformats.org/officeDocument/2006/relationships/hyperlink" Target="https://www.bleepingcomputer.com/news/security/sky-brasil-exposes-32-million-customer-records/" TargetMode="External"/><Relationship Id="rId223" Type="http://schemas.openxmlformats.org/officeDocument/2006/relationships/hyperlink" Target="https://privacylaw.proskauer.com/2013/08/articles/identity-theft/a-1-2-million-photocopier-mistake-health-plan-settles-with-hhs-in-hipaa-breach-case/" TargetMode="External"/><Relationship Id="rId344" Type="http://schemas.openxmlformats.org/officeDocument/2006/relationships/hyperlink" Target="http://www.guardian.co.uk/technology/2010/jun/10/apple-ipad-security-leak?INTCMP=SRCH" TargetMode="External"/><Relationship Id="rId101" Type="http://schemas.openxmlformats.org/officeDocument/2006/relationships/hyperlink" Target="https://www.dailymail.co.uk/sciencetech/article-6415441/Furry-erotica-site-hit-data-breach-exposed-hundreds-thousands-users-information.html" TargetMode="External"/><Relationship Id="rId222" Type="http://schemas.openxmlformats.org/officeDocument/2006/relationships/hyperlink" Target="https://www.technologyreview.com/s/517551/prosecutors-describe-massive-breach-of-credit-card-data/" TargetMode="External"/><Relationship Id="rId343" Type="http://schemas.openxmlformats.org/officeDocument/2006/relationships/hyperlink" Target="http://www.databreaches.net/?p=12611" TargetMode="External"/><Relationship Id="rId100" Type="http://schemas.openxmlformats.org/officeDocument/2006/relationships/hyperlink" Target="https://www.zdnet.com/article/dell-announces-security-breach/" TargetMode="External"/><Relationship Id="rId221" Type="http://schemas.openxmlformats.org/officeDocument/2006/relationships/hyperlink" Target="http://www.theguardian.com/technology/2014/aug/05/mozilla-leak-developer-email-addresses-passwords-firefox" TargetMode="External"/><Relationship Id="rId342" Type="http://schemas.openxmlformats.org/officeDocument/2006/relationships/hyperlink" Target="http://www.healthcareinfosecurity.com/chicago-breach-affects-180000-a-2496" TargetMode="External"/><Relationship Id="rId217" Type="http://schemas.openxmlformats.org/officeDocument/2006/relationships/hyperlink" Target="http://thenextweb.com/google/2014/09/10/4-93-million-gmail-usernames-passwords-published-google-says-evidence-systems-compromised/" TargetMode="External"/><Relationship Id="rId338" Type="http://schemas.openxmlformats.org/officeDocument/2006/relationships/hyperlink" Target="http://www.guardian.co.uk/technology/2010/dec/13/gawker-hackers-passwords-twitter-wikileaks?INTCMP=SRCH" TargetMode="External"/><Relationship Id="rId216" Type="http://schemas.openxmlformats.org/officeDocument/2006/relationships/hyperlink" Target="http://fortune.com/2014/12/19/staples-cards-affected-breach/" TargetMode="External"/><Relationship Id="rId337" Type="http://schemas.openxmlformats.org/officeDocument/2006/relationships/hyperlink" Target="http://gawker.com" TargetMode="External"/><Relationship Id="rId215" Type="http://schemas.openxmlformats.org/officeDocument/2006/relationships/hyperlink" Target="http://www.jal.co.jp/en/info/other/140924.html" TargetMode="External"/><Relationship Id="rId336" Type="http://schemas.openxmlformats.org/officeDocument/2006/relationships/hyperlink" Target="http://www.guardian.co.uk/news/datablog/2010/nov/29/wikileaks-cables-data" TargetMode="External"/><Relationship Id="rId214" Type="http://schemas.openxmlformats.org/officeDocument/2006/relationships/hyperlink" Target="http://online.wsj.com/articles/japan-airlines-reports-hacker-attack-1412053828" TargetMode="External"/><Relationship Id="rId335" Type="http://schemas.openxmlformats.org/officeDocument/2006/relationships/hyperlink" Target="https://www.databreaches.net/bcbs-of-tenn-breach-lessons-learned/" TargetMode="External"/><Relationship Id="rId219" Type="http://schemas.openxmlformats.org/officeDocument/2006/relationships/hyperlink" Target="http://www.securityweek.com/20-million-people-fall-victim-south-korea-data-leak" TargetMode="External"/><Relationship Id="rId218" Type="http://schemas.openxmlformats.org/officeDocument/2006/relationships/hyperlink" Target="http://krebsonsecurity.com/2014/09/banks-credit-card-breach-at-home-depot/" TargetMode="External"/><Relationship Id="rId339" Type="http://schemas.openxmlformats.org/officeDocument/2006/relationships/hyperlink" Target="http://www.mediaite.com/online/gawker-medias-entire-commenter-database-appears-to-have-been-hacked/" TargetMode="External"/><Relationship Id="rId330" Type="http://schemas.openxmlformats.org/officeDocument/2006/relationships/hyperlink" Target="https://uk.reuters.com/article/us-korea-hacking-nexon/data-of-13-million-south-korean-online-game-subscribers-hacked-idUSTRE7AP09H20111126" TargetMode="External"/><Relationship Id="rId213" Type="http://schemas.openxmlformats.org/officeDocument/2006/relationships/hyperlink" Target="http://www.reuters.com/article/us-hsbc-turkey-cybersecurity/hsbc-turkey-says-customer-credit-card-data-stolen-idUSKCN0IW1RR20141112" TargetMode="External"/><Relationship Id="rId334" Type="http://schemas.openxmlformats.org/officeDocument/2006/relationships/hyperlink" Target="https://www.databreachtoday.com/avmed-sued-over-laptop-breach-a-3111" TargetMode="External"/><Relationship Id="rId212" Type="http://schemas.openxmlformats.org/officeDocument/2006/relationships/hyperlink" Target="https://medium.com/@vijayp/f6bc289679a1" TargetMode="External"/><Relationship Id="rId333" Type="http://schemas.openxmlformats.org/officeDocument/2006/relationships/hyperlink" Target="http://www.reuters.com/article/us-data-breach-texas-idUSTRE78S5JG20110929" TargetMode="External"/><Relationship Id="rId211" Type="http://schemas.openxmlformats.org/officeDocument/2006/relationships/hyperlink" Target="http://dealbook.nytimes.com/2014/10/02/jpmorgan-discovers-further-cyber-security-issues/?_php=true&amp;_type=blogs&amp;_r=0" TargetMode="External"/><Relationship Id="rId332" Type="http://schemas.openxmlformats.org/officeDocument/2006/relationships/hyperlink" Target="https://blog.trendmicro.com/sutter-health-sued-for-1-billion-following-data-breach/" TargetMode="External"/><Relationship Id="rId210" Type="http://schemas.openxmlformats.org/officeDocument/2006/relationships/hyperlink" Target="http://www.cityam.com/1406190300/ecb-website-hacked" TargetMode="External"/><Relationship Id="rId331" Type="http://schemas.openxmlformats.org/officeDocument/2006/relationships/hyperlink" Target="https://www.law360.com/articles/277961/nemours-says-data-breach-affected-1-6m-patients" TargetMode="External"/><Relationship Id="rId370" Type="http://schemas.openxmlformats.org/officeDocument/2006/relationships/hyperlink" Target="http://archive.sltrib.com/story.php?ref=/ci_9540210" TargetMode="External"/><Relationship Id="rId129" Type="http://schemas.openxmlformats.org/officeDocument/2006/relationships/hyperlink" Target="https://www.lowyat.net/2017/146339/46-2-million-mobile-phone-numbers-leaked-from-2014-data-breach/" TargetMode="External"/><Relationship Id="rId128" Type="http://schemas.openxmlformats.org/officeDocument/2006/relationships/hyperlink" Target="https://www.bleepingcomputer.com/news/security/paypal-says-1-6-million-customer-details-stolen-in-breach-at-canadian-subsidiary/" TargetMode="External"/><Relationship Id="rId249" Type="http://schemas.openxmlformats.org/officeDocument/2006/relationships/hyperlink" Target="http://www.digitaltrends.com/mobile/evernote-hack-50-million-users-forced-to-reset-passwords/" TargetMode="External"/><Relationship Id="rId127" Type="http://schemas.openxmlformats.org/officeDocument/2006/relationships/hyperlink" Target="https://blog.imgur.com/2017/11/24/notice-of-data-breach/" TargetMode="External"/><Relationship Id="rId248" Type="http://schemas.openxmlformats.org/officeDocument/2006/relationships/hyperlink" Target="http://www.wired.co.uk/news/archive/2013-03/04/evernote-hacked" TargetMode="External"/><Relationship Id="rId369" Type="http://schemas.openxmlformats.org/officeDocument/2006/relationships/hyperlink" Target="http://www.sfgate.com/bayarea/article/Stanford-employees-data-on-stolen-laptop-3281185.php" TargetMode="External"/><Relationship Id="rId126" Type="http://schemas.openxmlformats.org/officeDocument/2006/relationships/hyperlink" Target="https://www.hackread.com/zomato-hacked-17-million-accounts-sold-on-dark-web/" TargetMode="External"/><Relationship Id="rId247" Type="http://schemas.openxmlformats.org/officeDocument/2006/relationships/hyperlink" Target="https://www.facebook.com/notes/facebook-security/important-message-from-facebooks-white-hat-program/10151437074840766" TargetMode="External"/><Relationship Id="rId368" Type="http://schemas.openxmlformats.org/officeDocument/2006/relationships/hyperlink" Target="https://www.networkworld.com/article/2344552/security/latest--lost--laptop-holds-treasure-trove-of-unencrypted-at-t-payroll-data.html" TargetMode="External"/><Relationship Id="rId121" Type="http://schemas.openxmlformats.org/officeDocument/2006/relationships/hyperlink" Target="https://www.thelocal.se/20170717/swedish-authority-handed-over-keys-to-the-kingdom-in-it-security-slip-up" TargetMode="External"/><Relationship Id="rId242" Type="http://schemas.openxmlformats.org/officeDocument/2006/relationships/hyperlink" Target="https://uk.reuters.com/article/net-us-nasdaq-cybercrime-website/nasdaq-forum-website-hacked-passwords-compromised-idUSBRE96H1F520130718" TargetMode="External"/><Relationship Id="rId363" Type="http://schemas.openxmlformats.org/officeDocument/2006/relationships/hyperlink" Target="http://news.bbc.co.uk/1/hi/uk_politics/7608155.stm" TargetMode="External"/><Relationship Id="rId120" Type="http://schemas.openxmlformats.org/officeDocument/2006/relationships/hyperlink" Target="https://www.databreaches.net/waterly-app-potentially-exposed-up-to-1-million-israelis-details-researcher/" TargetMode="External"/><Relationship Id="rId241" Type="http://schemas.openxmlformats.org/officeDocument/2006/relationships/hyperlink" Target="http://www.guardian.co.uk/technology/2013/jul/22/apple-developer-site-hacked" TargetMode="External"/><Relationship Id="rId362" Type="http://schemas.openxmlformats.org/officeDocument/2006/relationships/hyperlink" Target="https://www.networkworld.com/article/2274502/security-oversight-may-have-enabled-countrywide-breach.html" TargetMode="External"/><Relationship Id="rId240" Type="http://schemas.openxmlformats.org/officeDocument/2006/relationships/hyperlink" Target="http://status.ovh.net/?do=details&amp;id=5070" TargetMode="External"/><Relationship Id="rId361" Type="http://schemas.openxmlformats.org/officeDocument/2006/relationships/hyperlink" Target="https://www.reuters.com/article/us-mellon-breach-idUSN2143343820080521" TargetMode="External"/><Relationship Id="rId360" Type="http://schemas.openxmlformats.org/officeDocument/2006/relationships/hyperlink" Target="https://www.computerworld.com/article/2536837/thieves-pilfer-backup-tapes-holding-2m-medical-records.html" TargetMode="External"/><Relationship Id="rId125" Type="http://schemas.openxmlformats.org/officeDocument/2006/relationships/hyperlink" Target="http://www.cbc.ca/beta/news/technology/bell-data-breach-customer-names-phone-numbers-emails-leak-1.4116608" TargetMode="External"/><Relationship Id="rId246" Type="http://schemas.openxmlformats.org/officeDocument/2006/relationships/hyperlink" Target="http://uk.businessinsider.com/snowden-leaks-timeline-2016-9" TargetMode="External"/><Relationship Id="rId367" Type="http://schemas.openxmlformats.org/officeDocument/2006/relationships/hyperlink" Target="http://english.donga.com/srv/service.php3?biid=2008090631088" TargetMode="External"/><Relationship Id="rId124" Type="http://schemas.openxmlformats.org/officeDocument/2006/relationships/hyperlink" Target="http://www.zdnet.com/article/font-sharing-site-dafont-hacked-thousands-of-accounts-stolen/" TargetMode="External"/><Relationship Id="rId245" Type="http://schemas.openxmlformats.org/officeDocument/2006/relationships/hyperlink" Target="https://www.zdnet.com/article/club-nintendo-site-hacked-customer-data-exposed/" TargetMode="External"/><Relationship Id="rId366" Type="http://schemas.openxmlformats.org/officeDocument/2006/relationships/hyperlink" Target="https://www.darkreading.com/attacks-breaches/hacker-steals-data-on-18m-auction-customers-in-south-korea/d/d-id/1129325" TargetMode="External"/><Relationship Id="rId123" Type="http://schemas.openxmlformats.org/officeDocument/2006/relationships/hyperlink" Target="https://www.theguardian.com/technology/2017/mar/06/email-addresses-spam-leak-river-city-media" TargetMode="External"/><Relationship Id="rId244" Type="http://schemas.openxmlformats.org/officeDocument/2006/relationships/hyperlink" Target="http://arstechnica.com/security/2013/07/hack-exposes-e-mail-addresses-password-data-for-2-million-ubuntu-forum-users/" TargetMode="External"/><Relationship Id="rId365" Type="http://schemas.openxmlformats.org/officeDocument/2006/relationships/hyperlink" Target="http://auction.co.kr" TargetMode="External"/><Relationship Id="rId122" Type="http://schemas.openxmlformats.org/officeDocument/2006/relationships/hyperlink" Target="http://www.scmp.com/news/hong-kong/politics/article/2082566/laptops-containing-37-million-hong-kong-voters-data-stolen" TargetMode="External"/><Relationship Id="rId243" Type="http://schemas.openxmlformats.org/officeDocument/2006/relationships/hyperlink" Target="https://www.bbc.co.uk/news/technology-23159997" TargetMode="External"/><Relationship Id="rId364" Type="http://schemas.openxmlformats.org/officeDocument/2006/relationships/hyperlink" Target="http://www.theregister.co.uk/2008/12/29/rbs_worldpay_breach/" TargetMode="External"/><Relationship Id="rId95" Type="http://schemas.openxmlformats.org/officeDocument/2006/relationships/hyperlink" Target="https://www.upguard.com/breaches/s3-localblox" TargetMode="External"/><Relationship Id="rId94" Type="http://schemas.openxmlformats.org/officeDocument/2006/relationships/hyperlink" Target="https://thenextweb.com/security/2018/03/14/jewelry-site-accidentally-leaks-personal-details-plaintext-passwords-1-3m-users/" TargetMode="External"/><Relationship Id="rId97" Type="http://schemas.openxmlformats.org/officeDocument/2006/relationships/hyperlink" Target="https://www.theverge.com/2018/6/7/17438516/ticketfly-hack-personal-information-26-million-customers-leaked" TargetMode="External"/><Relationship Id="rId96" Type="http://schemas.openxmlformats.org/officeDocument/2006/relationships/hyperlink" Target="https://www.reuters.com/article/us-twitter-passwords/twitter-urges-all-users-to-change-passwords-after-glitch-idUSKBN1I42JG" TargetMode="External"/><Relationship Id="rId99" Type="http://schemas.openxmlformats.org/officeDocument/2006/relationships/hyperlink" Target="https://techcrunch.com/2018/11/27/urban-massage-data-exposed-customers-creepy-clients/?guccounter=1" TargetMode="External"/><Relationship Id="rId98" Type="http://schemas.openxmlformats.org/officeDocument/2006/relationships/hyperlink" Target="https://www.theguardian.com/technology/2018/nov/21/amazon-hit-with-major-data-breach-days-before-black-friday" TargetMode="External"/><Relationship Id="rId91" Type="http://schemas.openxmlformats.org/officeDocument/2006/relationships/hyperlink" Target="http://www.zdnet.com/article/another-data-leak-hits-india-aadhaar-biometric-database/" TargetMode="External"/><Relationship Id="rId90" Type="http://schemas.openxmlformats.org/officeDocument/2006/relationships/hyperlink" Target="https://www.bleepingcomputer.com/news/security/thousands-of-apps-leak-sensitive-data-via-misconfigured-firebase-backends/" TargetMode="External"/><Relationship Id="rId93" Type="http://schemas.openxmlformats.org/officeDocument/2006/relationships/hyperlink" Target="https://www.usnews.com/news/business/articles/2018-03-20/orbitz-legacy-travel-booking-platform-likely-hacked" TargetMode="External"/><Relationship Id="rId92" Type="http://schemas.openxmlformats.org/officeDocument/2006/relationships/hyperlink" Target="https://www.nbcnews.com/feature/nbc-out/security-flaws-gay-dating-app-grindr-expose-users-location-data-n858446" TargetMode="External"/><Relationship Id="rId118" Type="http://schemas.openxmlformats.org/officeDocument/2006/relationships/hyperlink" Target="http://www.zdnet.com/article/popular-virtual-keyboard-leaks-31-million-user-data/" TargetMode="External"/><Relationship Id="rId239" Type="http://schemas.openxmlformats.org/officeDocument/2006/relationships/hyperlink" Target="http://healthitsecurity.com/2013/08/27/advocate-medical-group-endures-massive-data-breach/" TargetMode="External"/><Relationship Id="rId117" Type="http://schemas.openxmlformats.org/officeDocument/2006/relationships/hyperlink" Target="https://uk.pcmag.com/cex/90937/cex-hack-up-to-2m-customers-potentially-affected" TargetMode="External"/><Relationship Id="rId238" Type="http://schemas.openxmlformats.org/officeDocument/2006/relationships/hyperlink" Target="https://www.databreaches.net/stolen-florida-dept-of-juvenile-justice-device-contained-records-of-more-than-100000-youth-and-employees/" TargetMode="External"/><Relationship Id="rId359" Type="http://schemas.openxmlformats.org/officeDocument/2006/relationships/hyperlink" Target="https://www.networkworld.com/article/2284998/lan-wan/details-emerging-on-hannaford-data-breach.html" TargetMode="External"/><Relationship Id="rId116" Type="http://schemas.openxmlformats.org/officeDocument/2006/relationships/hyperlink" Target="https://www.theguardian.com/technology/2017/aug/30/spambot-leaks-700m-email-addresses-huge-data-breach-passwords" TargetMode="External"/><Relationship Id="rId237" Type="http://schemas.openxmlformats.org/officeDocument/2006/relationships/hyperlink" Target="https://www.healthcareitnews.com/news/walgreens-company-announces-data-breach" TargetMode="External"/><Relationship Id="rId358" Type="http://schemas.openxmlformats.org/officeDocument/2006/relationships/hyperlink" Target="https://www.computerworld.com/article/2536195/programmer-who-stole-drive-containing-1-million-bank-records-gets-42-months.html" TargetMode="External"/><Relationship Id="rId115" Type="http://schemas.openxmlformats.org/officeDocument/2006/relationships/hyperlink" Target="http://www.bgr.in/news/indian-hacker-group-leaks-data-of-1-7-million-snapchat-users-after-ceos-poor-country-comments-report/" TargetMode="External"/><Relationship Id="rId236" Type="http://schemas.openxmlformats.org/officeDocument/2006/relationships/hyperlink" Target="https://edition.cnn.com/2013/02/01/tech/social-media/twitter-hacked/index.html" TargetMode="External"/><Relationship Id="rId357" Type="http://schemas.openxmlformats.org/officeDocument/2006/relationships/hyperlink" Target="http://www.wired.com/threatlevel/2009/10/probe-targets-archives-handling-of-data-on-70-million-vets/" TargetMode="External"/><Relationship Id="rId119" Type="http://schemas.openxmlformats.org/officeDocument/2006/relationships/hyperlink" Target="https://www.vice.com/en_us/article/3daywj/hacker-steals-900-gb-of-cellebrite-data" TargetMode="External"/><Relationship Id="rId110" Type="http://schemas.openxmlformats.org/officeDocument/2006/relationships/hyperlink" Target="http://www.zdnet.com/article/disqus-confirms-comments-tool-hacked/" TargetMode="External"/><Relationship Id="rId231" Type="http://schemas.openxmlformats.org/officeDocument/2006/relationships/hyperlink" Target="http://www.nytimes.com/2016/12/14/technology/yahoo-hack.html?action=Click&amp;contentCollection=BreakingNews&amp;contentID=64651831&amp;pgtype=Homepage&amp;_r=0" TargetMode="External"/><Relationship Id="rId352" Type="http://schemas.openxmlformats.org/officeDocument/2006/relationships/hyperlink" Target="https://www.computerworld.com/article/2530152/checkfree-warns-5-million-customers-after-hack.html" TargetMode="External"/><Relationship Id="rId230" Type="http://schemas.openxmlformats.org/officeDocument/2006/relationships/hyperlink" Target="http://bits.blogs.nytimes.com/2013/04/26/living-social-hack-exposes-data-for-50-million-customers/" TargetMode="External"/><Relationship Id="rId351" Type="http://schemas.openxmlformats.org/officeDocument/2006/relationships/hyperlink" Target="http://techcrunch.com/2009/12/14/rockyou-hack-security-myspace-facebook-passwords/" TargetMode="External"/><Relationship Id="rId350" Type="http://schemas.openxmlformats.org/officeDocument/2006/relationships/hyperlink" Target="http://edition.cnn.com/2009/US/12/17/theft.security.breach/index.html" TargetMode="External"/><Relationship Id="rId114" Type="http://schemas.openxmlformats.org/officeDocument/2006/relationships/hyperlink" Target="https://www.theguardian.com/business/2017/apr/09/wonga-data-breach-could-affect-250000-uk-customers?CMP=Share_iOSApp_Other" TargetMode="External"/><Relationship Id="rId235" Type="http://schemas.openxmlformats.org/officeDocument/2006/relationships/hyperlink" Target="https://www.esecurityplanet.com/network-security/central-hudson-gas-and-electric-hacked.html" TargetMode="External"/><Relationship Id="rId356" Type="http://schemas.openxmlformats.org/officeDocument/2006/relationships/hyperlink" Target="https://www.computerworld.com/article/2521838/security0/health-net-says-1-5m-medical-records-lost-in-data-breach.html" TargetMode="External"/><Relationship Id="rId113" Type="http://schemas.openxmlformats.org/officeDocument/2006/relationships/hyperlink" Target="https://www.bloomberg.com/news/articles/2017-11-21/uber-concealed-cyberattack-that-exposed-57-million-people-s-data" TargetMode="External"/><Relationship Id="rId234" Type="http://schemas.openxmlformats.org/officeDocument/2006/relationships/hyperlink" Target="http://www1.udel.edu/udaily/2014/jul/resources073013.html" TargetMode="External"/><Relationship Id="rId355" Type="http://schemas.openxmlformats.org/officeDocument/2006/relationships/hyperlink" Target="https://www.cnet.com/news/uc-berkeley-computers-hacked-160000-at-risk/" TargetMode="External"/><Relationship Id="rId112" Type="http://schemas.openxmlformats.org/officeDocument/2006/relationships/hyperlink" Target="https://www.cnet.com/news/yahoo-says-forged-cookie-attack-accessed-about-32m-accounts/" TargetMode="External"/><Relationship Id="rId233" Type="http://schemas.openxmlformats.org/officeDocument/2006/relationships/hyperlink" Target="https://www.bbc.co.uk/news/technology-25572661" TargetMode="External"/><Relationship Id="rId354" Type="http://schemas.openxmlformats.org/officeDocument/2006/relationships/hyperlink" Target="https://www.digitalhealth.net/2009/05/virginia-department-of-health-hacked/" TargetMode="External"/><Relationship Id="rId111" Type="http://schemas.openxmlformats.org/officeDocument/2006/relationships/hyperlink" Target="https://threatpost.com/leaky-rootsweb-server-exposes-some-ancestry-com-user-data/129248/" TargetMode="External"/><Relationship Id="rId232" Type="http://schemas.openxmlformats.org/officeDocument/2006/relationships/hyperlink" Target="https://www.bbc.co.uk/news/business-41493494" TargetMode="External"/><Relationship Id="rId353" Type="http://schemas.openxmlformats.org/officeDocument/2006/relationships/hyperlink" Target="http://voices.washingtonpost.com/securityfix/2009/07/network_solutions_hack_comprom.html" TargetMode="External"/><Relationship Id="rId305" Type="http://schemas.openxmlformats.org/officeDocument/2006/relationships/hyperlink" Target="https://blog.playstation.com/archive/2011/04/28/playstation-network-and-qriocity-outage-faq/" TargetMode="External"/><Relationship Id="rId304" Type="http://schemas.openxmlformats.org/officeDocument/2006/relationships/hyperlink" Target="https://www.theguardian.com/technology/2011/apr/04/epsilon-email-hack" TargetMode="External"/><Relationship Id="rId303" Type="http://schemas.openxmlformats.org/officeDocument/2006/relationships/hyperlink" Target="https://uk.pcmag.com/news/105457/texas-security-breach-exposes-35m-records" TargetMode="External"/><Relationship Id="rId302" Type="http://schemas.openxmlformats.org/officeDocument/2006/relationships/hyperlink" Target="https://abcnews.go.com/Business/morgan-stanley-smith-barney-breach-losing-client-data/story?id=14008632" TargetMode="External"/><Relationship Id="rId309" Type="http://schemas.openxmlformats.org/officeDocument/2006/relationships/hyperlink" Target="http://www.ehackingnews.com/2011/12/hackers-compromised-38-million-chinese.html" TargetMode="External"/><Relationship Id="rId308" Type="http://schemas.openxmlformats.org/officeDocument/2006/relationships/hyperlink" Target="https://www.nytimes.com/2011/12/26/technology/hackers-breach-the-web-site-of-stratfor-global-intelligence.html?ref=technology&amp;mtrref=bits.blogs.nytimes.com&amp;gwh=A41315BCE5C521B2A0D451BEFF0886E9&amp;gwt=pay" TargetMode="External"/><Relationship Id="rId307" Type="http://schemas.openxmlformats.org/officeDocument/2006/relationships/hyperlink" Target="https://www.zdnet.com/article/university-of-wisconsin-hacked-75000-social-security-numbers-student-names-exposed/" TargetMode="External"/><Relationship Id="rId306" Type="http://schemas.openxmlformats.org/officeDocument/2006/relationships/hyperlink" Target="http://www.pcmag.com/article2/0,2817,2390683,00.asp" TargetMode="External"/><Relationship Id="rId301" Type="http://schemas.openxmlformats.org/officeDocument/2006/relationships/hyperlink" Target="http://www.nbcnews.com/id/44235153/ns/technology_and_science-security/t/data-breach-hits-yale-university/" TargetMode="External"/><Relationship Id="rId300" Type="http://schemas.openxmlformats.org/officeDocument/2006/relationships/hyperlink" Target="https://www.databreaches.net/ankle-foot-center-of-tampa-bay-breach-affecting-156000-included-social-security-numbers-as-well-as-phi/" TargetMode="External"/><Relationship Id="rId206" Type="http://schemas.openxmlformats.org/officeDocument/2006/relationships/hyperlink" Target="http://news.iu.edu/releases/iu/2014/02/data-exposure-disclosure.shtml" TargetMode="External"/><Relationship Id="rId327" Type="http://schemas.openxmlformats.org/officeDocument/2006/relationships/hyperlink" Target="https://www.databreaches.net/or-deputies-man-used-dmv-database-in-id-theft/" TargetMode="External"/><Relationship Id="rId205" Type="http://schemas.openxmlformats.org/officeDocument/2006/relationships/hyperlink" Target="http://www.buzzfeed.com/tomgara/sony-hack" TargetMode="External"/><Relationship Id="rId326" Type="http://schemas.openxmlformats.org/officeDocument/2006/relationships/hyperlink" Target="http://www.nbcnews.com/id/43086769/ns/technology_and_science-security/t/huge-data-breach-puts-risk/" TargetMode="External"/><Relationship Id="rId204" Type="http://schemas.openxmlformats.org/officeDocument/2006/relationships/hyperlink" Target="https://www.poverenik.rs/en/press-releases/1953-povreda-prava-na-zastitu-podataka-o-licnosti-skoro-svih-punoletnih-gradjana-srbije.html" TargetMode="External"/><Relationship Id="rId325" Type="http://schemas.openxmlformats.org/officeDocument/2006/relationships/hyperlink" Target="http://www.guelphmercury.com/news-story/2200845-honda-canada-hit-by-online-security-breach-283-000-car-owners-personal-data-stolen/" TargetMode="External"/><Relationship Id="rId203" Type="http://schemas.openxmlformats.org/officeDocument/2006/relationships/hyperlink" Target="http://money.cnn.com/2014/08/18/technology/security/hospital-chs-hack/" TargetMode="External"/><Relationship Id="rId324" Type="http://schemas.openxmlformats.org/officeDocument/2006/relationships/hyperlink" Target="https://privacyrights.org/data-breaches/sony-playstation-network-psn-sony-online-entertainment-soe" TargetMode="External"/><Relationship Id="rId209" Type="http://schemas.openxmlformats.org/officeDocument/2006/relationships/hyperlink" Target="http://time.com/3151681/ups-hack/" TargetMode="External"/><Relationship Id="rId208" Type="http://schemas.openxmlformats.org/officeDocument/2006/relationships/hyperlink" Target="https://www.businessinsider.com/cyber-thieves-took-data-on-145-million-ebay-customers-by-hacking-3-corporate-employees-2014-5?r=US&amp;IR=T" TargetMode="External"/><Relationship Id="rId329" Type="http://schemas.openxmlformats.org/officeDocument/2006/relationships/hyperlink" Target="https://www.finextra.com/newsarticle/23243/restaurant-depot-hacked-by-russian-cyber-criminals" TargetMode="External"/><Relationship Id="rId207" Type="http://schemas.openxmlformats.org/officeDocument/2006/relationships/hyperlink" Target="http://www.usatoday.com/story/news/nation/2014/02/26/indiana-university-data-breach/5830685/" TargetMode="External"/><Relationship Id="rId328" Type="http://schemas.openxmlformats.org/officeDocument/2006/relationships/hyperlink" Target="http://www.bbc.co.uk/news/technology-15690187" TargetMode="External"/><Relationship Id="rId202" Type="http://schemas.openxmlformats.org/officeDocument/2006/relationships/hyperlink" Target="https://www.nbcnews.com/tech/security/youve-got-hacked-aol-confirms-significant-number-mail-users-hit-n91701" TargetMode="External"/><Relationship Id="rId323" Type="http://schemas.openxmlformats.org/officeDocument/2006/relationships/hyperlink" Target="http://news.cnet.com/8301-27080_3-20068386-245/sf-utilities-agency-warns-of-potential-breach/" TargetMode="External"/><Relationship Id="rId201" Type="http://schemas.openxmlformats.org/officeDocument/2006/relationships/hyperlink" Target="http://krebsonsecurity.com/2014/08/stealthy-razor-thin-atm-insert-skimmers/" TargetMode="External"/><Relationship Id="rId322" Type="http://schemas.openxmlformats.org/officeDocument/2006/relationships/hyperlink" Target="https://www.alphr.com/news/security/368062/nhs-loses-laptop-holding-8m-patient-records" TargetMode="External"/><Relationship Id="rId200" Type="http://schemas.openxmlformats.org/officeDocument/2006/relationships/hyperlink" Target="http://www.nytimes.com/2014/01/24/business/neiman-marcus-breach-affected-1-1-million-cards.html" TargetMode="External"/><Relationship Id="rId321" Type="http://schemas.openxmlformats.org/officeDocument/2006/relationships/hyperlink" Target="https://www.inforisktoday.com/400000-affected-by-stolen-pc-a-3853" TargetMode="External"/><Relationship Id="rId320" Type="http://schemas.openxmlformats.org/officeDocument/2006/relationships/hyperlink" Target="http://databreachinvestigation.blogspot.com/2011/04/thief-gets-away-with-eisenhower-medical.html" TargetMode="External"/><Relationship Id="rId316" Type="http://schemas.openxmlformats.org/officeDocument/2006/relationships/hyperlink" Target="http://mashable.com/2011/06/02/sony-pictures-hacked/" TargetMode="External"/><Relationship Id="rId315" Type="http://schemas.openxmlformats.org/officeDocument/2006/relationships/hyperlink" Target="http://www.pcworld.com/article/229891/Citigroup_Hack_Nets_Over_200k_in_Stolen_Customer_Details.html" TargetMode="External"/><Relationship Id="rId314" Type="http://schemas.openxmlformats.org/officeDocument/2006/relationships/hyperlink" Target="http://www.zdnet.com/blog/gamification/sega-1-3-million-customer-records-hacked-lulzsec-promises-retribution/481" TargetMode="External"/><Relationship Id="rId313" Type="http://schemas.openxmlformats.org/officeDocument/2006/relationships/hyperlink" Target="https://venturebeat.com/2011/06/13/lulzsec-bethesda-hack/" TargetMode="External"/><Relationship Id="rId319" Type="http://schemas.openxmlformats.org/officeDocument/2006/relationships/hyperlink" Target="https://spectrum.ieee.org/riskfactor/computing/it/health-net-data-breaches-affects-19-million-people" TargetMode="External"/><Relationship Id="rId318" Type="http://schemas.openxmlformats.org/officeDocument/2006/relationships/hyperlink" Target="http://www.pcmag.com/article2/0,2817,2388200,00.asp" TargetMode="External"/><Relationship Id="rId317" Type="http://schemas.openxmlformats.org/officeDocument/2006/relationships/hyperlink" Target="http://www.databreaches.net/?p=19198" TargetMode="External"/><Relationship Id="rId312" Type="http://schemas.openxmlformats.org/officeDocument/2006/relationships/hyperlink" Target="http://www.pcmag.com/article2/0,2817,2387186,00.asp" TargetMode="External"/><Relationship Id="rId311" Type="http://schemas.openxmlformats.org/officeDocument/2006/relationships/hyperlink" Target="http://writerspace.com" TargetMode="External"/><Relationship Id="rId310" Type="http://schemas.openxmlformats.org/officeDocument/2006/relationships/hyperlink" Target="https://www.databreaches.net/southern-california-medical-legal-consultants-reveals-that-300000-workers-compensation-applicants-names-and-social-security-numbers-were-exposed-on-internet/"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www.reuters.com/article/2015/07/09/us-cybersecurity-usa-idUSKCN0PJ2M420150709?feedType=RSS&amp;feedName=topNews&amp;utm_source=twitter" TargetMode="External"/><Relationship Id="rId194" Type="http://schemas.openxmlformats.org/officeDocument/2006/relationships/hyperlink" Target="http://krebsonsecurity.com/2015/05/mobile-spy-software-maker-mspy-hacked-customer-data-leaked/" TargetMode="External"/><Relationship Id="rId193" Type="http://schemas.openxmlformats.org/officeDocument/2006/relationships/hyperlink" Target="http://money.cnn.com/2015/05/26/pf/taxes/irs-website-data-hack/index.html" TargetMode="External"/><Relationship Id="rId192" Type="http://schemas.openxmlformats.org/officeDocument/2006/relationships/hyperlink" Target="http://www.theguardian.com/world/2015/mar/30/personal-details-of-world-leaders-accidentally-revealed-by-g20-organisers" TargetMode="External"/><Relationship Id="rId191" Type="http://schemas.openxmlformats.org/officeDocument/2006/relationships/hyperlink" Target="http://www.washingtonpost.com/world/national-security/chinese-hackers-breach-federal-governments-personnel-office/2015/06/04/889c0e52-0af7-11e5-95fd-d580f1c5d44e_story.html?tid=hpModule_04941f10-8a79-11e2-98d9-3012c1cd8d1e" TargetMode="External"/><Relationship Id="rId187" Type="http://schemas.openxmlformats.org/officeDocument/2006/relationships/hyperlink" Target="http://ashleymadison.com" TargetMode="External"/><Relationship Id="rId186" Type="http://schemas.openxmlformats.org/officeDocument/2006/relationships/hyperlink" Target="http://www.theguardian.com/technology/2015/jul/06/hacking-team-hacked-firm-sold-spying-tools-to-repressive-regimes-documents-claim" TargetMode="External"/><Relationship Id="rId185" Type="http://schemas.openxmlformats.org/officeDocument/2006/relationships/hyperlink" Target="http://www.troyhunt.com/2015/11/when-children-are-breached-inside.html" TargetMode="External"/><Relationship Id="rId184" Type="http://schemas.openxmlformats.org/officeDocument/2006/relationships/hyperlink" Target="http://www.theguardian.com/technology/2015/dec/02/vtech-hack-us-hong-kong-investigate-children-exposed" TargetMode="External"/><Relationship Id="rId189" Type="http://schemas.openxmlformats.org/officeDocument/2006/relationships/hyperlink" Target="http://www.bbc.co.uk/news/world-us-canada-33120405" TargetMode="External"/><Relationship Id="rId188" Type="http://schemas.openxmlformats.org/officeDocument/2006/relationships/hyperlink" Target="http://krebsonsecurity.com/2015/07/online-cheating-site-ashleymadison-hacked/" TargetMode="External"/><Relationship Id="rId183" Type="http://schemas.openxmlformats.org/officeDocument/2006/relationships/hyperlink" Target="https://www.csoonline.com/article/3017171/database-leak-exposes-3-3-million-hello-kitty-fans.html" TargetMode="External"/><Relationship Id="rId182" Type="http://schemas.openxmlformats.org/officeDocument/2006/relationships/hyperlink" Target="https://www.dailydot.com/debug/invest-bank-hacker-buba/" TargetMode="External"/><Relationship Id="rId181" Type="http://schemas.openxmlformats.org/officeDocument/2006/relationships/hyperlink" Target="https://www.reddit.com/r/apple/comments/3wq9fc/massive_data_breach/" TargetMode="External"/><Relationship Id="rId180" Type="http://schemas.openxmlformats.org/officeDocument/2006/relationships/hyperlink" Target="https://www.bbc.co.uk/news/technology-35100330" TargetMode="External"/><Relationship Id="rId176" Type="http://schemas.openxmlformats.org/officeDocument/2006/relationships/hyperlink" Target="https://www.computerweekly.com/news/2240242508/Premera-hack-exposes-11-million-financial-and-medical-records" TargetMode="External"/><Relationship Id="rId297" Type="http://schemas.openxmlformats.org/officeDocument/2006/relationships/hyperlink" Target="http://news.cnet.com/8301-1009_3-57505330-83/antisec-claims-to-have-snatched-12m-apple-device-ids-from-fbi/" TargetMode="External"/><Relationship Id="rId175" Type="http://schemas.openxmlformats.org/officeDocument/2006/relationships/hyperlink" Target="http://blog.twitch.tv/2015/03/important-notice-about-your-twitch-account/" TargetMode="External"/><Relationship Id="rId296" Type="http://schemas.openxmlformats.org/officeDocument/2006/relationships/hyperlink" Target="http://www.pcworld.com/article/252647/reborn_lulzsec_claims_hack_of_dating_site_for_military_personnel.html" TargetMode="External"/><Relationship Id="rId174" Type="http://schemas.openxmlformats.org/officeDocument/2006/relationships/hyperlink" Target="https://krebsonsecurity.com/2015/05/carefirst-blue-cross-breach-hits-1-1m/" TargetMode="External"/><Relationship Id="rId295" Type="http://schemas.openxmlformats.org/officeDocument/2006/relationships/hyperlink" Target="http://militarysingles.com" TargetMode="External"/><Relationship Id="rId173" Type="http://schemas.openxmlformats.org/officeDocument/2006/relationships/hyperlink" Target="http://www.digitaltrends.com/computing/clixsense-hacked/" TargetMode="External"/><Relationship Id="rId294" Type="http://schemas.openxmlformats.org/officeDocument/2006/relationships/hyperlink" Target="http://www.forbes.com/sites/andygreenberg/2012/07/23/eight-million-passwords-spilled-from-gaming-site-gamigo-months-after-breach/" TargetMode="External"/><Relationship Id="rId179" Type="http://schemas.openxmlformats.org/officeDocument/2006/relationships/hyperlink" Target="https://www.upguard.com/breaches/the-rnc-files" TargetMode="External"/><Relationship Id="rId178" Type="http://schemas.openxmlformats.org/officeDocument/2006/relationships/hyperlink" Target="http://uk.reuters.com/article/us-usa-voters-breach-idUKKBN0UB1E020151229" TargetMode="External"/><Relationship Id="rId299" Type="http://schemas.openxmlformats.org/officeDocument/2006/relationships/hyperlink" Target="http://www.wired.co.uk/news/archive/2012-11/22/greece-id-theft" TargetMode="External"/><Relationship Id="rId177" Type="http://schemas.openxmlformats.org/officeDocument/2006/relationships/hyperlink" Target="https://techcrunch.com/2015/02/27/uber-database-breach-exposed-information-of-50000-drivers-company-confirms/" TargetMode="External"/><Relationship Id="rId298" Type="http://schemas.openxmlformats.org/officeDocument/2006/relationships/hyperlink" Target="http://news.cnet.com/8301-1009_3-57509595-83/udid-leak-source-idd-bluetoad-mobile-firm-says-it-was-hacked/" TargetMode="External"/><Relationship Id="rId198" Type="http://schemas.openxmlformats.org/officeDocument/2006/relationships/hyperlink" Target="http://www.bbc.co.uk/news/uk-34611857" TargetMode="External"/><Relationship Id="rId197" Type="http://schemas.openxmlformats.org/officeDocument/2006/relationships/hyperlink" Target="https://www.bbc.co.uk/news/business-34743185" TargetMode="External"/><Relationship Id="rId196" Type="http://schemas.openxmlformats.org/officeDocument/2006/relationships/hyperlink" Target="https://theintercept.com/2015/11/11/securus-hack-prison-phone-company-exposes-thousands-of-calls-lawyers-and-clients/" TargetMode="External"/><Relationship Id="rId195" Type="http://schemas.openxmlformats.org/officeDocument/2006/relationships/hyperlink" Target="http://www.channel4.com/news/adult-friendfinder-dating-hack-internet-dark-web" TargetMode="External"/><Relationship Id="rId199" Type="http://schemas.openxmlformats.org/officeDocument/2006/relationships/hyperlink" Target="http://www.reuters.com/article/2015/10/02/us-tmobile-dataprotection-idUSKCN0RV5PL20151002" TargetMode="External"/><Relationship Id="rId150" Type="http://schemas.openxmlformats.org/officeDocument/2006/relationships/hyperlink" Target="http://www.zdnet.com/article/over-25-million-accounts-stolen-after-mail-ru-forums-raided-by-hackers/" TargetMode="External"/><Relationship Id="rId271" Type="http://schemas.openxmlformats.org/officeDocument/2006/relationships/hyperlink" Target="http://ssndob.ms" TargetMode="External"/><Relationship Id="rId392" Type="http://schemas.openxmlformats.org/officeDocument/2006/relationships/hyperlink" Target="http://news.bbc.co.uk/1/hi/6956349.stm" TargetMode="External"/><Relationship Id="rId270" Type="http://schemas.openxmlformats.org/officeDocument/2006/relationships/hyperlink" Target="http://www.reuters.com/article/2013/09/26/us-cyberattacks-databrokers-idUSBRE98P03220130926" TargetMode="External"/><Relationship Id="rId391" Type="http://schemas.openxmlformats.org/officeDocument/2006/relationships/hyperlink" Target="http://monster.com" TargetMode="External"/><Relationship Id="rId390" Type="http://schemas.openxmlformats.org/officeDocument/2006/relationships/hyperlink" Target="http://news.bbc.co.uk/1/hi/england/gloucestershire/7639006.stm" TargetMode="External"/><Relationship Id="rId1" Type="http://schemas.openxmlformats.org/officeDocument/2006/relationships/hyperlink" Target="https://techcrunch.com/2020/05/24/thai-billions-internet-records-leak/" TargetMode="External"/><Relationship Id="rId2" Type="http://schemas.openxmlformats.org/officeDocument/2006/relationships/hyperlink" Target="https://techcrunch.com/2020/06/09/nintendo-accounts-affected-breach/?guccounter=1&amp;guce_referrer=aHR0cHM6Ly9nYW1lcy5zbGFzaGRvdC5vcmcvc3RvcnkvMjAvMDYvMDkvMTg0MjIzNy9uaW50ZW5kby1ub3ctc2F5cy0zMDAwMDAtYWNjb3VudHMtYnJlYWNoZWQtYnktaGFja2Vycz91dG1fc291cmNlPXJzczEuMG1haW5saW5rYW5vbiZ1dG1fbWVkaXVtPWZlZWQ&amp;guce_referrer_sig=AQAAAIXC8IvaFgPdt5t-CUm7yPEhKblsmme4097SUtEWdSkjyrdsxVYiQBfbdpekm_Y29T7evb-5zNNl2-ZHfNSmVkKFnE5vClvpvsaPYykOO8WtAX76dZoL2EUkVL8XfmMQBVlNF43T5MATGNeSnwn6Ta6ELVBXnf_ZTsmVaemjk1Vf" TargetMode="External"/><Relationship Id="rId3" Type="http://schemas.openxmlformats.org/officeDocument/2006/relationships/hyperlink" Target="https://www.zdnet.com/article/details-of-44m-pakistani-mobile-users-leaked-online-part-of-bigger-115m-cache/" TargetMode="External"/><Relationship Id="rId149" Type="http://schemas.openxmlformats.org/officeDocument/2006/relationships/hyperlink" Target="https://www.healthcare-informatics.com/news-item/cybersecurity/breaking-massive-cyber-attack-banner-health-affects-37m-individuals" TargetMode="External"/><Relationship Id="rId4" Type="http://schemas.openxmlformats.org/officeDocument/2006/relationships/hyperlink" Target="https://www.nextgov.com/cybersecurity/2020/05/us-marshals-service-breach-exposed-personal-data-387000-prisoners/165305/" TargetMode="External"/><Relationship Id="rId148" Type="http://schemas.openxmlformats.org/officeDocument/2006/relationships/hyperlink" Target="http://www.businessinsider.com/turkish-citizenship-database-allegedly-hacked-and-leaked-2016-4?r=UK&amp;IR=T" TargetMode="External"/><Relationship Id="rId269" Type="http://schemas.openxmlformats.org/officeDocument/2006/relationships/hyperlink" Target="http://www.usatoday.com/story/cybertruth/2013/09/26/lexisnexis-dunn--bradstreet-altegrity-hacked/2878769/" TargetMode="External"/><Relationship Id="rId9" Type="http://schemas.openxmlformats.org/officeDocument/2006/relationships/hyperlink" Target="https://www.bbc.co.uk/news/business-51760510" TargetMode="External"/><Relationship Id="rId143" Type="http://schemas.openxmlformats.org/officeDocument/2006/relationships/hyperlink" Target="https://www.cnbc.com/2016/09/22/yahoo-data-breach-is-among-the-biggest-in-history.html" TargetMode="External"/><Relationship Id="rId264" Type="http://schemas.openxmlformats.org/officeDocument/2006/relationships/hyperlink" Target="http://www.wired.co.uk/news/archive/2013-11/13/mac-rumours-forums-hacked" TargetMode="External"/><Relationship Id="rId385" Type="http://schemas.openxmlformats.org/officeDocument/2006/relationships/hyperlink" Target="https://www.chron.com/news/houston-texas/article/89-000-lottery-winners-affected-by-security-breach-1603025.php" TargetMode="External"/><Relationship Id="rId142" Type="http://schemas.openxmlformats.org/officeDocument/2006/relationships/hyperlink" Target="https://www.vice.com/en_us/article/8q88k5/hackers-stole-68-million-passwords-from-tumblr-new-analysis-reveals" TargetMode="External"/><Relationship Id="rId263" Type="http://schemas.openxmlformats.org/officeDocument/2006/relationships/hyperlink" Target="http://macrumours.com" TargetMode="External"/><Relationship Id="rId384" Type="http://schemas.openxmlformats.org/officeDocument/2006/relationships/hyperlink" Target="http://www.nbc29.com/Global/story.asp?S=9313271&amp;nav=menu496_2_5" TargetMode="External"/><Relationship Id="rId141" Type="http://schemas.openxmlformats.org/officeDocument/2006/relationships/hyperlink" Target="https://money.cnn.com/2012/06/06/technology/linkedin-password-hack/?iid=EL" TargetMode="External"/><Relationship Id="rId262" Type="http://schemas.openxmlformats.org/officeDocument/2006/relationships/hyperlink" Target="http://www.privacyrights.org/data-breach" TargetMode="External"/><Relationship Id="rId383" Type="http://schemas.openxmlformats.org/officeDocument/2006/relationships/hyperlink" Target="http://www.geek.com/articles/news/government-servers-in-chile-hacked-6-million-personal-records-made-public-20080514/" TargetMode="External"/><Relationship Id="rId140" Type="http://schemas.openxmlformats.org/officeDocument/2006/relationships/hyperlink" Target="http://money.cnn.com/2016/05/19/technology/linkedin-hack/" TargetMode="External"/><Relationship Id="rId261" Type="http://schemas.openxmlformats.org/officeDocument/2006/relationships/hyperlink" Target="https://www.reuters.com/article/us-usa-hack-washingtonstate-idUSBRE9480YY20130509" TargetMode="External"/><Relationship Id="rId382" Type="http://schemas.openxmlformats.org/officeDocument/2006/relationships/hyperlink" Target="http://news.bbc.co.uk/2/hi/americas/7395295.stm" TargetMode="External"/><Relationship Id="rId5" Type="http://schemas.openxmlformats.org/officeDocument/2006/relationships/hyperlink" Target="https://9to5mac.com/2020/05/15/db8151dd/" TargetMode="External"/><Relationship Id="rId147" Type="http://schemas.openxmlformats.org/officeDocument/2006/relationships/hyperlink" Target="https://www.bbc.co.uk/news/technology-36168860" TargetMode="External"/><Relationship Id="rId268" Type="http://schemas.openxmlformats.org/officeDocument/2006/relationships/hyperlink" Target="https://www.bbc.co.uk/news/technology-24740873" TargetMode="External"/><Relationship Id="rId389" Type="http://schemas.openxmlformats.org/officeDocument/2006/relationships/hyperlink" Target="http://infowatch.com/node/1289" TargetMode="External"/><Relationship Id="rId6" Type="http://schemas.openxmlformats.org/officeDocument/2006/relationships/hyperlink" Target="https://www.bbc.co.uk/news/technology-52722626" TargetMode="External"/><Relationship Id="rId146" Type="http://schemas.openxmlformats.org/officeDocument/2006/relationships/hyperlink" Target="http://news.softpedia.com/news/syrian-government-hacked-43-gb-of-data-spilled-online-by-hacktivists-502765.shtml" TargetMode="External"/><Relationship Id="rId267" Type="http://schemas.openxmlformats.org/officeDocument/2006/relationships/hyperlink" Target="http://www.securityweek.com/attacker-steals-data-2-million-vodafone-germany-customers" TargetMode="External"/><Relationship Id="rId388" Type="http://schemas.openxmlformats.org/officeDocument/2006/relationships/hyperlink" Target="https://www.dw.com/en/telekom-says-data-from-17-million-customers-was-stolen/a-3690132" TargetMode="External"/><Relationship Id="rId7" Type="http://schemas.openxmlformats.org/officeDocument/2006/relationships/hyperlink" Target="https://www.forbes.com/sites/daveywinder/2020/01/22/microsoft-security-shocker-as-250-million-customer-records-exposed-online/" TargetMode="External"/><Relationship Id="rId145" Type="http://schemas.openxmlformats.org/officeDocument/2006/relationships/hyperlink" Target="http://blog.trendmicro.com/trendlabs-security-intelligence/55m-registered-voters-risk-philippine-commission-elections-hacked/" TargetMode="External"/><Relationship Id="rId266" Type="http://schemas.openxmlformats.org/officeDocument/2006/relationships/hyperlink" Target="http://www.govtech.com/security/San-Diego-Sues-Experian-Over-Alleged-2010-Breach.html" TargetMode="External"/><Relationship Id="rId387" Type="http://schemas.openxmlformats.org/officeDocument/2006/relationships/hyperlink" Target="http://news.bbc.co.uk/1/hi/uk_politics/7667507.stm" TargetMode="External"/><Relationship Id="rId8" Type="http://schemas.openxmlformats.org/officeDocument/2006/relationships/hyperlink" Target="https://www.zdnet.com/article/dutch-government-loses-hard-drives-with-data-of-6-9-million-registered-donors/" TargetMode="External"/><Relationship Id="rId144" Type="http://schemas.openxmlformats.org/officeDocument/2006/relationships/hyperlink" Target="http://panamapapers.sueddeutsche.de/articles/56febff0a1bb8d3c3495adf4/" TargetMode="External"/><Relationship Id="rId265" Type="http://schemas.openxmlformats.org/officeDocument/2006/relationships/hyperlink" Target="https://krebsonsecurity.com/2014/03/experian-lapse-allowed-id-theft-service-to-access-200-million-consumer-records/" TargetMode="External"/><Relationship Id="rId386" Type="http://schemas.openxmlformats.org/officeDocument/2006/relationships/hyperlink" Target="https://infowatch.com/analytics/leaks_monitoring/1304" TargetMode="External"/><Relationship Id="rId260" Type="http://schemas.openxmlformats.org/officeDocument/2006/relationships/hyperlink" Target="http://www.wired.co.uk/news/archive/2013-05/23/reporter-google-breach-hacker" TargetMode="External"/><Relationship Id="rId381" Type="http://schemas.openxmlformats.org/officeDocument/2006/relationships/hyperlink" Target="http://archive.sltrib.com/story.php?ref=/ci_9540210" TargetMode="External"/><Relationship Id="rId380" Type="http://schemas.openxmlformats.org/officeDocument/2006/relationships/hyperlink" Target="http://www.sfgate.com/bayarea/article/Stanford-employees-data-on-stolen-laptop-3281185.php" TargetMode="External"/><Relationship Id="rId139" Type="http://schemas.openxmlformats.org/officeDocument/2006/relationships/hyperlink" Target="https://thehackernews.com/2017/09/hacker-track-car.html" TargetMode="External"/><Relationship Id="rId138" Type="http://schemas.openxmlformats.org/officeDocument/2006/relationships/hyperlink" Target="https://www.consumer.ftc.gov/blog/2017/09/equifax-data-breach-what-do" TargetMode="External"/><Relationship Id="rId259" Type="http://schemas.openxmlformats.org/officeDocument/2006/relationships/hyperlink" Target="http://boingboing.net/2013/05/23/terracom-and-yourtel-threaten.html" TargetMode="External"/><Relationship Id="rId137" Type="http://schemas.openxmlformats.org/officeDocument/2006/relationships/hyperlink" Target="https://thehackernews.com/2017/09/viacom-amazon-server.html" TargetMode="External"/><Relationship Id="rId258" Type="http://schemas.openxmlformats.org/officeDocument/2006/relationships/hyperlink" Target="http://arstechnica.com/security/2013/05/drupal-org-resets-login-credentials-after-hack-exposes-password-data/" TargetMode="External"/><Relationship Id="rId379" Type="http://schemas.openxmlformats.org/officeDocument/2006/relationships/hyperlink" Target="https://www.networkworld.com/article/2344552/security/latest--lost--laptop-holds-treasure-trove-of-unencrypted-at-t-payroll-data.html" TargetMode="External"/><Relationship Id="rId132" Type="http://schemas.openxmlformats.org/officeDocument/2006/relationships/hyperlink" Target="https://blog.imgur.com/2017/11/24/notice-of-data-breach/" TargetMode="External"/><Relationship Id="rId253" Type="http://schemas.openxmlformats.org/officeDocument/2006/relationships/hyperlink" Target="https://www.facebook.com/notes/facebook-security/important-message-from-facebooks-white-hat-program/10151437074840766" TargetMode="External"/><Relationship Id="rId374" Type="http://schemas.openxmlformats.org/officeDocument/2006/relationships/hyperlink" Target="https://www.networkworld.com/article/2274502/lan-wan/security-oversight-may-have-enabled-countrywide-breach.html" TargetMode="External"/><Relationship Id="rId131" Type="http://schemas.openxmlformats.org/officeDocument/2006/relationships/hyperlink" Target="https://www.hackread.com/zomato-hacked-17-million-accounts-sold-on-dark-web/" TargetMode="External"/><Relationship Id="rId252" Type="http://schemas.openxmlformats.org/officeDocument/2006/relationships/hyperlink" Target="http://uk.businessinsider.com/snowden-leaks-timeline-2016-9" TargetMode="External"/><Relationship Id="rId373" Type="http://schemas.openxmlformats.org/officeDocument/2006/relationships/hyperlink" Target="http://news.bbc.co.uk/1/hi/uk_politics/7608155.stm" TargetMode="External"/><Relationship Id="rId130" Type="http://schemas.openxmlformats.org/officeDocument/2006/relationships/hyperlink" Target="http://www.cbc.ca/beta/news/technology/bell-data-breach-customer-names-phone-numbers-emails-leak-1.4116608" TargetMode="External"/><Relationship Id="rId251" Type="http://schemas.openxmlformats.org/officeDocument/2006/relationships/hyperlink" Target="https://www.zdnet.com/article/club-nintendo-site-hacked-customer-data-exposed/" TargetMode="External"/><Relationship Id="rId372" Type="http://schemas.openxmlformats.org/officeDocument/2006/relationships/hyperlink" Target="https://www.networkworld.com/article/2274502/security-oversight-may-have-enabled-countrywide-breach.html" TargetMode="External"/><Relationship Id="rId250" Type="http://schemas.openxmlformats.org/officeDocument/2006/relationships/hyperlink" Target="http://arstechnica.com/security/2013/07/hack-exposes-e-mail-addresses-password-data-for-2-million-ubuntu-forum-users/" TargetMode="External"/><Relationship Id="rId371" Type="http://schemas.openxmlformats.org/officeDocument/2006/relationships/hyperlink" Target="https://www.reuters.com/article/us-mellon-breach-idUSN2143343820080521" TargetMode="External"/><Relationship Id="rId136" Type="http://schemas.openxmlformats.org/officeDocument/2006/relationships/hyperlink" Target="https://www.theverge.com/2017/9/1/16244304/instagram-hack-api-bug-doxagram-selena-gomez" TargetMode="External"/><Relationship Id="rId257" Type="http://schemas.openxmlformats.org/officeDocument/2006/relationships/hyperlink" Target="https://www.reuters.com/article/us-yahoojapan/yahoo-japan-suspects-22-million-user-ids-leaked-kyodo-idUSBRE94G0P620130517" TargetMode="External"/><Relationship Id="rId378" Type="http://schemas.openxmlformats.org/officeDocument/2006/relationships/hyperlink" Target="http://english.donga.com/srv/service.php3?biid=2008090631088" TargetMode="External"/><Relationship Id="rId135" Type="http://schemas.openxmlformats.org/officeDocument/2006/relationships/hyperlink" Target="https://www.silicon.co.uk/cloud/data-breach-mobile-numbers-malaysia-224079" TargetMode="External"/><Relationship Id="rId256" Type="http://schemas.openxmlformats.org/officeDocument/2006/relationships/hyperlink" Target="https://www.esecurityplanet.com/hackers/kirkwood-community-college-hacked.html" TargetMode="External"/><Relationship Id="rId377" Type="http://schemas.openxmlformats.org/officeDocument/2006/relationships/hyperlink" Target="https://www.darkreading.com/attacks-breaches/hacker-steals-data-on-18m-auction-customers-in-south-korea/d/d-id/1129325" TargetMode="External"/><Relationship Id="rId134" Type="http://schemas.openxmlformats.org/officeDocument/2006/relationships/hyperlink" Target="https://www.lowyat.net/2017/146339/46-2-million-mobile-phone-numbers-leaked-from-2014-data-breach/" TargetMode="External"/><Relationship Id="rId255" Type="http://schemas.openxmlformats.org/officeDocument/2006/relationships/hyperlink" Target="http://www.digitaltrends.com/mobile/evernote-hack-50-million-users-forced-to-reset-passwords/" TargetMode="External"/><Relationship Id="rId376" Type="http://schemas.openxmlformats.org/officeDocument/2006/relationships/hyperlink" Target="http://auction.co.kr" TargetMode="External"/><Relationship Id="rId133" Type="http://schemas.openxmlformats.org/officeDocument/2006/relationships/hyperlink" Target="https://www.bleepingcomputer.com/news/security/paypal-says-1-6-million-customer-details-stolen-in-breach-at-canadian-subsidiary/" TargetMode="External"/><Relationship Id="rId254" Type="http://schemas.openxmlformats.org/officeDocument/2006/relationships/hyperlink" Target="http://www.wired.co.uk/news/archive/2013-03/04/evernote-hacked" TargetMode="External"/><Relationship Id="rId375" Type="http://schemas.openxmlformats.org/officeDocument/2006/relationships/hyperlink" Target="http://www.theregister.co.uk/2008/12/29/rbs_worldpay_breach/" TargetMode="External"/><Relationship Id="rId172" Type="http://schemas.openxmlformats.org/officeDocument/2006/relationships/hyperlink" Target="https://www.vice.com/en_us/article/vv7pgd/nearly-800000-brazzers-porn-site-accounts-exposed-in-forum-hack" TargetMode="External"/><Relationship Id="rId293" Type="http://schemas.openxmlformats.org/officeDocument/2006/relationships/hyperlink" Target="http://news.cnet.com/8301-1009_3-57449325-83/what-the-password-leaks-mean-to-you-faq/?tag=mncol;txt" TargetMode="External"/><Relationship Id="rId171" Type="http://schemas.openxmlformats.org/officeDocument/2006/relationships/hyperlink" Target="http://www.zdnet.com/article/adultfriendfinder-network-hack-exposes-secrets-of-412-million-users/" TargetMode="External"/><Relationship Id="rId292" Type="http://schemas.openxmlformats.org/officeDocument/2006/relationships/hyperlink" Target="https://www.zdnet.com/article/last-fm-investigating-security-issue-passwords-leaked/" TargetMode="External"/><Relationship Id="rId170" Type="http://schemas.openxmlformats.org/officeDocument/2006/relationships/hyperlink" Target="http://newsroom.questdiagnostics.com/2016-12-12-Quest-Diagnostics-Provides-Notice-of-Data-Security-Incident" TargetMode="External"/><Relationship Id="rId291" Type="http://schemas.openxmlformats.org/officeDocument/2006/relationships/hyperlink" Target="http://www.zdnet.com/article/hackers-stole-43-million-last-fm-account-details-in-2012-breach/" TargetMode="External"/><Relationship Id="rId290" Type="http://schemas.openxmlformats.org/officeDocument/2006/relationships/hyperlink" Target="http://last.fm" TargetMode="External"/><Relationship Id="rId165" Type="http://schemas.openxmlformats.org/officeDocument/2006/relationships/hyperlink" Target="http://www.abc.net.au/news/2016-10-28/red-cross-blood-service-admits-to-data-breach/7974036" TargetMode="External"/><Relationship Id="rId286" Type="http://schemas.openxmlformats.org/officeDocument/2006/relationships/hyperlink" Target="http://news.cnet.com/8301-1009_3-57469944-83/formspring-disables-user-passwords-in-security-breach/?tag=mncol;txt" TargetMode="External"/><Relationship Id="rId164" Type="http://schemas.openxmlformats.org/officeDocument/2006/relationships/hyperlink" Target="http://www.threemediacentre.co.uk/news/2017/handsetfraud-update.aspx" TargetMode="External"/><Relationship Id="rId285" Type="http://schemas.openxmlformats.org/officeDocument/2006/relationships/hyperlink" Target="http://www.forbes.com/sites/andygreenberg/2012/01/15/zappos-says-hackers-accessed-24-million-customers-account-details/" TargetMode="External"/><Relationship Id="rId163" Type="http://schemas.openxmlformats.org/officeDocument/2006/relationships/hyperlink" Target="https://www.vice.com/en_us/article/pgkk8v/427-million-myspace-passwords-emails-data-breach" TargetMode="External"/><Relationship Id="rId284" Type="http://schemas.openxmlformats.org/officeDocument/2006/relationships/hyperlink" Target="https://www.databreaches.net/more-breaches-you-may-not-have-known-about/" TargetMode="External"/><Relationship Id="rId162" Type="http://schemas.openxmlformats.org/officeDocument/2006/relationships/hyperlink" Target="https://www.ibtimes.co.uk/fling-com-breach-passwords-sexual-preferences-40-million-users-sale-dark-web-1558711" TargetMode="External"/><Relationship Id="rId283" Type="http://schemas.openxmlformats.org/officeDocument/2006/relationships/hyperlink" Target="https://www.databreaches.net/nyseg-and-rge-notify-customers-of-unauthorized-access-to-customer-data/" TargetMode="External"/><Relationship Id="rId169" Type="http://schemas.openxmlformats.org/officeDocument/2006/relationships/hyperlink" Target="http://www.nytimes.com/2016/07/29/world/asia/north-korea-hacking-interpark.html" TargetMode="External"/><Relationship Id="rId168" Type="http://schemas.openxmlformats.org/officeDocument/2006/relationships/hyperlink" Target="https://techcrunch.com/2016/10/20/weebly-hacked-43-million-credentials-stolen/" TargetMode="External"/><Relationship Id="rId289" Type="http://schemas.openxmlformats.org/officeDocument/2006/relationships/hyperlink" Target="https://www.helpnetsecurity.com/2012/07/12/nearly-half-a-million-yahoo-passwords-leaked-following-hack/" TargetMode="External"/><Relationship Id="rId167" Type="http://schemas.openxmlformats.org/officeDocument/2006/relationships/hyperlink" Target="http://www.zdnet.com/article/dailymotion-hack-exposes-millions-of-accounts/" TargetMode="External"/><Relationship Id="rId288" Type="http://schemas.openxmlformats.org/officeDocument/2006/relationships/hyperlink" Target="http://news.cnet.com/8301-1009_3-57482215-83/hackers-accused-of-stealing-data-from-9m-korean-mobile-users/" TargetMode="External"/><Relationship Id="rId166" Type="http://schemas.openxmlformats.org/officeDocument/2006/relationships/hyperlink" Target="http://venturebeat.com/2016/08/02/hackers-break-into-telegram-revealing-15-million-users-phone-numbers/" TargetMode="External"/><Relationship Id="rId287" Type="http://schemas.openxmlformats.org/officeDocument/2006/relationships/hyperlink" Target="http://www.koreatimes.co.kr/www/news/biz/2012/07/113_116143.html" TargetMode="External"/><Relationship Id="rId161" Type="http://schemas.openxmlformats.org/officeDocument/2006/relationships/hyperlink" Target="https://motherboard.vice.com/en_us/article/pgkp57/a-teen-hacker-is-targeting-russian-sites-as-revenge-for-the-mh17-crash" TargetMode="External"/><Relationship Id="rId282" Type="http://schemas.openxmlformats.org/officeDocument/2006/relationships/hyperlink" Target="https://www.forbes.com/sites/erikkain/2012/08/09/its-official-blizzard-hacked-account-information-stolen/" TargetMode="External"/><Relationship Id="rId160" Type="http://schemas.openxmlformats.org/officeDocument/2006/relationships/hyperlink" Target="http://motherboard.vice.com/read/another-day-another-hack-100-million-accounts-for-vk-russias-facebook" TargetMode="External"/><Relationship Id="rId281" Type="http://schemas.openxmlformats.org/officeDocument/2006/relationships/hyperlink" Target="https://www.reuters.com/article/us-usa-hackers-utah/european-hackers-suspected-in-utah-medicaid-files-breach-idUSBRE83404G20120405" TargetMode="External"/><Relationship Id="rId280" Type="http://schemas.openxmlformats.org/officeDocument/2006/relationships/hyperlink" Target="http://www.rawstory.com/rs/2012/04/26/texas-attorney-general-exposes-millions-of-voters-social-security-numbers/" TargetMode="External"/><Relationship Id="rId159" Type="http://schemas.openxmlformats.org/officeDocument/2006/relationships/hyperlink" Target="http://www.bbc.co.uk/news/world-europe-36645519" TargetMode="External"/><Relationship Id="rId154" Type="http://schemas.openxmlformats.org/officeDocument/2006/relationships/hyperlink" Target="https://www.zdnet.com/article/ubuntu-forums-hack-exposes-two-million-users/" TargetMode="External"/><Relationship Id="rId275" Type="http://schemas.openxmlformats.org/officeDocument/2006/relationships/hyperlink" Target="http://www.washingtonpost.com/business/technology/faq-the-global-payments-hack/2012/04/02/gIQAIHLLrS_story.html" TargetMode="External"/><Relationship Id="rId396" Type="http://schemas.openxmlformats.org/officeDocument/2006/relationships/hyperlink" Target="http://www.pcworld.com/article/137865/article.html" TargetMode="External"/><Relationship Id="rId153" Type="http://schemas.openxmlformats.org/officeDocument/2006/relationships/hyperlink" Target="https://www.neowin.net/news/microsoft-owned-linkedin-is-sending-emails-to-users-about-a-lyndacom-data-breach" TargetMode="External"/><Relationship Id="rId274" Type="http://schemas.openxmlformats.org/officeDocument/2006/relationships/hyperlink" Target="http://www.zdnet.com/blog/security/chinese-hacker-arrested-for-leaking-6-million-logins/11064" TargetMode="External"/><Relationship Id="rId395" Type="http://schemas.openxmlformats.org/officeDocument/2006/relationships/hyperlink" Target="https://www.computerweekly.com/news/2240104003/Hackney-NHS-trust-encrypts-IT-equipment-following-loss-of-child-data" TargetMode="External"/><Relationship Id="rId152" Type="http://schemas.openxmlformats.org/officeDocument/2006/relationships/hyperlink" Target="http://lynda.com" TargetMode="External"/><Relationship Id="rId273" Type="http://schemas.openxmlformats.org/officeDocument/2006/relationships/hyperlink" Target="http://www.huffingtonpost.com/2013/12/19/target-hacked-customer-credit-card-data-accessed_n_4471672.html?utm_hp_ref=mostpopular" TargetMode="External"/><Relationship Id="rId394" Type="http://schemas.openxmlformats.org/officeDocument/2006/relationships/hyperlink" Target="http://www.pcworld.com/article/135117/article.html" TargetMode="External"/><Relationship Id="rId151" Type="http://schemas.openxmlformats.org/officeDocument/2006/relationships/hyperlink" Target="http://www.bbc.co.uk/news/technology-38350987" TargetMode="External"/><Relationship Id="rId272" Type="http://schemas.openxmlformats.org/officeDocument/2006/relationships/hyperlink" Target="http://krebsonsecurity.com/2013/09/data-broker-giants-hacked-by-id-theft-service/" TargetMode="External"/><Relationship Id="rId393" Type="http://schemas.openxmlformats.org/officeDocument/2006/relationships/hyperlink" Target="http://news.bbc.co.uk/1/hi/uk_politics/7147715.stm" TargetMode="External"/><Relationship Id="rId158" Type="http://schemas.openxmlformats.org/officeDocument/2006/relationships/hyperlink" Target="https://thestack.com/security/2016/06/29/2-million-person-terror-database-leaked-online/" TargetMode="External"/><Relationship Id="rId279" Type="http://schemas.openxmlformats.org/officeDocument/2006/relationships/hyperlink" Target="http://news.emory.edu/stories/2012/04/ehc_missing_data/campus.html" TargetMode="External"/><Relationship Id="rId157" Type="http://schemas.openxmlformats.org/officeDocument/2006/relationships/hyperlink" Target="https://torrentfreak.com/utorrent-forums-hacked-passwords-compromised-160608/" TargetMode="External"/><Relationship Id="rId278" Type="http://schemas.openxmlformats.org/officeDocument/2006/relationships/hyperlink" Target="https://www.businessinsider.com/california-child-support-data-breach-2012-4?IR=T" TargetMode="External"/><Relationship Id="rId399" Type="http://schemas.openxmlformats.org/officeDocument/2006/relationships/hyperlink" Target="http://www.pcworld.com/article/131453/article.html" TargetMode="External"/><Relationship Id="rId156" Type="http://schemas.openxmlformats.org/officeDocument/2006/relationships/hyperlink" Target="http://news.trust.org/item/20160729204542-r98dj" TargetMode="External"/><Relationship Id="rId277" Type="http://schemas.openxmlformats.org/officeDocument/2006/relationships/hyperlink" Target="http://www.zdnet.com/blog/security/3-million-bank-accounts-hacked-in-iran/11577" TargetMode="External"/><Relationship Id="rId398" Type="http://schemas.openxmlformats.org/officeDocument/2006/relationships/hyperlink" Target="http://www.zdnet.com/wi-fi-hack-caused-tk-maxx-security-breach-3039286991/" TargetMode="External"/><Relationship Id="rId155" Type="http://schemas.openxmlformats.org/officeDocument/2006/relationships/hyperlink" Target="https://www.forbes.com/sites/moneybuilder/2016/07/08/this-week-in-credit-card-news-wendys-data-breach-affects-1000-stores-card-fraud-dropping/" TargetMode="External"/><Relationship Id="rId276" Type="http://schemas.openxmlformats.org/officeDocument/2006/relationships/hyperlink" Target="https://www.infosecurity-magazine.com/news/data-breach-hits-228000-south-carolina-medicaid/" TargetMode="External"/><Relationship Id="rId397" Type="http://schemas.openxmlformats.org/officeDocument/2006/relationships/hyperlink" Target="https://www.comparebusinessproducts.com/fyi/15-most-massive-data-breaches-history" TargetMode="External"/><Relationship Id="rId40" Type="http://schemas.openxmlformats.org/officeDocument/2006/relationships/hyperlink" Target="https://www.theregister.co.uk/2019/02/11/620_million_hacked_accounts_dark_web/" TargetMode="External"/><Relationship Id="rId42" Type="http://schemas.openxmlformats.org/officeDocument/2006/relationships/hyperlink" Target="https://www.theregister.co.uk/2019/02/11/620_million_hacked_accounts_dark_web/" TargetMode="External"/><Relationship Id="rId41" Type="http://schemas.openxmlformats.org/officeDocument/2006/relationships/hyperlink" Target="https://www.theregister.co.uk/2019/02/11/620_million_hacked_accounts_dark_web/" TargetMode="External"/><Relationship Id="rId44" Type="http://schemas.openxmlformats.org/officeDocument/2006/relationships/hyperlink" Target="https://techcrunch.com/2019/02/14/hacker-strikes-again/" TargetMode="External"/><Relationship Id="rId43" Type="http://schemas.openxmlformats.org/officeDocument/2006/relationships/hyperlink" Target="https://www.theregister.co.uk/2019/02/11/620_million_hacked_accounts_dark_web/" TargetMode="External"/><Relationship Id="rId46" Type="http://schemas.openxmlformats.org/officeDocument/2006/relationships/hyperlink" Target="https://techcrunch.com/2019/01/31/houzz-data-breach/" TargetMode="External"/><Relationship Id="rId45" Type="http://schemas.openxmlformats.org/officeDocument/2006/relationships/hyperlink" Target="https://techcrunch.com/2019/02/14/hacker-strikes-again/" TargetMode="External"/><Relationship Id="rId48" Type="http://schemas.openxmlformats.org/officeDocument/2006/relationships/hyperlink" Target="https://techcrunch.com/2019/02/14/hacker-strikes-again/" TargetMode="External"/><Relationship Id="rId47" Type="http://schemas.openxmlformats.org/officeDocument/2006/relationships/hyperlink" Target="http://ge.tt" TargetMode="External"/><Relationship Id="rId49" Type="http://schemas.openxmlformats.org/officeDocument/2006/relationships/hyperlink" Target="https://techcrunch.com/2019/02/14/hacker-strikes-again/" TargetMode="External"/><Relationship Id="rId31" Type="http://schemas.openxmlformats.org/officeDocument/2006/relationships/hyperlink" Target="https://www.theregister.co.uk/2019/02/11/620_million_hacked_accounts_dark_web/" TargetMode="External"/><Relationship Id="rId30" Type="http://schemas.openxmlformats.org/officeDocument/2006/relationships/hyperlink" Target="https://thenextweb.com/eu/2019/02/18/2-7-million-patient-calls-to-swedish-healthcare-hotline-left-unprotected-online/" TargetMode="External"/><Relationship Id="rId33" Type="http://schemas.openxmlformats.org/officeDocument/2006/relationships/hyperlink" Target="https://www.theregister.co.uk/2019/02/11/620_million_hacked_accounts_dark_web/" TargetMode="External"/><Relationship Id="rId32" Type="http://schemas.openxmlformats.org/officeDocument/2006/relationships/hyperlink" Target="https://www.theregister.co.uk/2019/02/11/620_million_hacked_accounts_dark_web/" TargetMode="External"/><Relationship Id="rId35" Type="http://schemas.openxmlformats.org/officeDocument/2006/relationships/hyperlink" Target="https://www.theregister.co.uk/2019/02/11/620_million_hacked_accounts_dark_web/" TargetMode="External"/><Relationship Id="rId34" Type="http://schemas.openxmlformats.org/officeDocument/2006/relationships/hyperlink" Target="https://www.theregister.co.uk/2019/02/11/620_million_hacked_accounts_dark_web/" TargetMode="External"/><Relationship Id="rId37" Type="http://schemas.openxmlformats.org/officeDocument/2006/relationships/hyperlink" Target="https://www.theregister.co.uk/2019/02/11/620_million_hacked_accounts_dark_web/" TargetMode="External"/><Relationship Id="rId36" Type="http://schemas.openxmlformats.org/officeDocument/2006/relationships/hyperlink" Target="https://www.theregister.co.uk/2019/02/11/620_million_hacked_accounts_dark_web/" TargetMode="External"/><Relationship Id="rId39" Type="http://schemas.openxmlformats.org/officeDocument/2006/relationships/hyperlink" Target="https://www.theregister.co.uk/2019/02/11/620_million_hacked_accounts_dark_web/" TargetMode="External"/><Relationship Id="rId38" Type="http://schemas.openxmlformats.org/officeDocument/2006/relationships/hyperlink" Target="https://www.theregister.co.uk/2019/02/11/620_million_hacked_accounts_dark_web/" TargetMode="External"/><Relationship Id="rId20" Type="http://schemas.openxmlformats.org/officeDocument/2006/relationships/hyperlink" Target="https://www.zdnet.com/article/amca-data-breach-has-now-gone-over-the-20-million-mark/" TargetMode="External"/><Relationship Id="rId22" Type="http://schemas.openxmlformats.org/officeDocument/2006/relationships/hyperlink" Target="https://www.zdnet.com/article/australian-tech-unicorn-canva-suffers-security-breach/" TargetMode="External"/><Relationship Id="rId21" Type="http://schemas.openxmlformats.org/officeDocument/2006/relationships/hyperlink" Target="https://www.theguardian.com/australia-news/2019/jun/04/australian-national-university-hit-by-huge-data-breach" TargetMode="External"/><Relationship Id="rId24" Type="http://schemas.openxmlformats.org/officeDocument/2006/relationships/hyperlink" Target="https://techcrunch.com/2019/05/20/instagram-influencer-celebrity-accounts-scraped/" TargetMode="External"/><Relationship Id="rId23" Type="http://schemas.openxmlformats.org/officeDocument/2006/relationships/hyperlink" Target="https://krebsonsecurity.com/2019/05/first-american-financial-corp-leaked-hundreds-of-millions-of-title-insurance-records/" TargetMode="External"/><Relationship Id="rId409" Type="http://schemas.openxmlformats.org/officeDocument/2006/relationships/hyperlink" Target="http://www.nbcnews.com/id/7561268/" TargetMode="External"/><Relationship Id="rId404" Type="http://schemas.openxmlformats.org/officeDocument/2006/relationships/hyperlink" Target="http://gcn.com/Articles/2009/02/02/VA-data-breach-suit-settlement.aspx" TargetMode="External"/><Relationship Id="rId403" Type="http://schemas.openxmlformats.org/officeDocument/2006/relationships/hyperlink" Target="http://techcrunch.com/2006/08/06/aol-proudly-releases-massive-amounts-of-user-search-data/" TargetMode="External"/><Relationship Id="rId402" Type="http://schemas.openxmlformats.org/officeDocument/2006/relationships/hyperlink" Target="https://www.cnbc.com/id/20775257" TargetMode="External"/><Relationship Id="rId401" Type="http://schemas.openxmlformats.org/officeDocument/2006/relationships/hyperlink" Target="http://www.wired.com/threatlevel/2008/07/ameritrade-hack/" TargetMode="External"/><Relationship Id="rId408" Type="http://schemas.openxmlformats.org/officeDocument/2006/relationships/hyperlink" Target="https://www.computerweekly.com/news/2240076956/Personal-data-on-200000-HP-employees-stolen" TargetMode="External"/><Relationship Id="rId407" Type="http://schemas.openxmlformats.org/officeDocument/2006/relationships/hyperlink" Target="http://www.computerworld.com/s/article/9001150/KDDI_suffers_massive_data_breach" TargetMode="External"/><Relationship Id="rId406" Type="http://schemas.openxmlformats.org/officeDocument/2006/relationships/hyperlink" Target="http://abcnews.go.com/Technology/story?id=2160425&amp;page=1" TargetMode="External"/><Relationship Id="rId405" Type="http://schemas.openxmlformats.org/officeDocument/2006/relationships/hyperlink" Target="https://www.va.gov/oig/pubs/VAOIG-06-02238-163.pdf" TargetMode="External"/><Relationship Id="rId26" Type="http://schemas.openxmlformats.org/officeDocument/2006/relationships/hyperlink" Target="https://www.bleepingcomputer.com/news/security/toyota-security-breach-exposes-personal-info-of-31-million-clients/" TargetMode="External"/><Relationship Id="rId25" Type="http://schemas.openxmlformats.org/officeDocument/2006/relationships/hyperlink" Target="https://techcrunch.com/2019/04/22/hotspot-password-leak/" TargetMode="External"/><Relationship Id="rId28" Type="http://schemas.openxmlformats.org/officeDocument/2006/relationships/hyperlink" Target="https://www.theguardian.com/world/2019/mar/11/china-database-lists-breedready-status-of-18-million-women" TargetMode="External"/><Relationship Id="rId27" Type="http://schemas.openxmlformats.org/officeDocument/2006/relationships/hyperlink" Target="https://global.toyota/jp/newsroom/corporate/27465617.html" TargetMode="External"/><Relationship Id="rId400" Type="http://schemas.openxmlformats.org/officeDocument/2006/relationships/hyperlink" Target="http://news.bbc.co.uk/2/hi/uk_news/7103911.stm" TargetMode="External"/><Relationship Id="rId29" Type="http://schemas.openxmlformats.org/officeDocument/2006/relationships/hyperlink" Target="https://computersweden.idg.se/2.2683/1.714787/inspelade-samtal-1177-vardguiden-oskyddade-internet" TargetMode="External"/><Relationship Id="rId11" Type="http://schemas.openxmlformats.org/officeDocument/2006/relationships/hyperlink" Target="https://www.techradar.com/uk/news/tesco-clubcard-holders-warned-of-major-security-issue" TargetMode="External"/><Relationship Id="rId10" Type="http://schemas.openxmlformats.org/officeDocument/2006/relationships/hyperlink" Target="https://www.which.co.uk/news/2020/03/boots-advantage-card-tesco-clubcard-both-suffer-data-breaches-in-same-week/" TargetMode="External"/><Relationship Id="rId13" Type="http://schemas.openxmlformats.org/officeDocument/2006/relationships/hyperlink" Target="https://www.welivesecurity.com/2020/04/16/half-million-zoom-accounts-sale-dark-web/" TargetMode="External"/><Relationship Id="rId12" Type="http://schemas.openxmlformats.org/officeDocument/2006/relationships/hyperlink" Target="https://news.marriott.com/news/2020/03/31/marriott-international-notifies-guests-of-property-system-incident" TargetMode="External"/><Relationship Id="rId15" Type="http://schemas.openxmlformats.org/officeDocument/2006/relationships/hyperlink" Target="https://www.zdnet.com/article/exclusive-details-of-10-6-million-of-mgm-hotel-guests-posted-on-a-hacking-forum/" TargetMode="External"/><Relationship Id="rId14" Type="http://schemas.openxmlformats.org/officeDocument/2006/relationships/hyperlink" Target="https://www.nytimes.com/2020/02/10/world/middleeast/israeli-voters-leak.html?action=click&amp;module=News&amp;pgtype=Homepage" TargetMode="External"/><Relationship Id="rId17" Type="http://schemas.openxmlformats.org/officeDocument/2006/relationships/hyperlink" Target="https://krebsonsecurity.com/2020/01/wawa-breach-may-have-compromised-more-than-30-million-payment-cards/" TargetMode="External"/><Relationship Id="rId16" Type="http://schemas.openxmlformats.org/officeDocument/2006/relationships/hyperlink" Target="https://www.tellerreport.com/news/2020-01-22---big-data-leak--media--at-buchbinder-car-rental-company--customer-data-was-open-.BJ-S5Jk8Z8.html" TargetMode="External"/><Relationship Id="rId19" Type="http://schemas.openxmlformats.org/officeDocument/2006/relationships/hyperlink" Target="https://www.washingtonpost.com/technology/2019/06/10/us-customs-border-protection-says-photos-travelers-into-out-country-were-recently-taken-data-breach/?utm_term=.69c66aaf152f" TargetMode="External"/><Relationship Id="rId18" Type="http://schemas.openxmlformats.org/officeDocument/2006/relationships/hyperlink" Target="https://www.cbc.ca/news/canada/montreal/desjardins-data-breach-1.5344216" TargetMode="External"/><Relationship Id="rId84" Type="http://schemas.openxmlformats.org/officeDocument/2006/relationships/hyperlink" Target="https://www.nytimes.com/2018/04/01/technology/saks-lord-taylor-credit-cards.html" TargetMode="External"/><Relationship Id="rId83" Type="http://schemas.openxmlformats.org/officeDocument/2006/relationships/hyperlink" Target="https://www.bloombergquint.com/technology/hack-of-dna-website-exposes-data-from-92-million-user-accounts" TargetMode="External"/><Relationship Id="rId86" Type="http://schemas.openxmlformats.org/officeDocument/2006/relationships/hyperlink" Target="https://techcrunch.com/2018/08/23/millions-of-texas-voter-records-exposed-online/" TargetMode="External"/><Relationship Id="rId85" Type="http://schemas.openxmlformats.org/officeDocument/2006/relationships/hyperlink" Target="https://www.khaleejtimes.com/nation/dubai//dubais-careem-admits-to-data-breach-of-14-million-users" TargetMode="External"/><Relationship Id="rId88" Type="http://schemas.openxmlformats.org/officeDocument/2006/relationships/hyperlink" Target="https://motherboard.vice.com/en_us/article/a3qpk5/t-mobile-hack-data-breach-api-customer-data" TargetMode="External"/><Relationship Id="rId87" Type="http://schemas.openxmlformats.org/officeDocument/2006/relationships/hyperlink" Target="https://www.theguardian.com/business/2018/sep/06/british-airways-customer-data-stolen-from-its-website" TargetMode="External"/><Relationship Id="rId89" Type="http://schemas.openxmlformats.org/officeDocument/2006/relationships/hyperlink" Target="https://www.theguardian.com/technology/2018/mar/30/hackers-steal-data-150m-myfitnesspal-app-users-under-armour" TargetMode="External"/><Relationship Id="rId80" Type="http://schemas.openxmlformats.org/officeDocument/2006/relationships/hyperlink" Target="https://krebsonsecurity.com/2018/04/panerabread-com-leaks-millions-of-customer-records/" TargetMode="External"/><Relationship Id="rId82" Type="http://schemas.openxmlformats.org/officeDocument/2006/relationships/hyperlink" Target="https://www.bbc.co.uk/news/business-45016906" TargetMode="External"/><Relationship Id="rId81" Type="http://schemas.openxmlformats.org/officeDocument/2006/relationships/hyperlink" Target="https://medium.com/@djhoulihan/no-panera-bread-doesnt-take-security-seriously-bf078027f815" TargetMode="External"/><Relationship Id="rId73" Type="http://schemas.openxmlformats.org/officeDocument/2006/relationships/hyperlink" Target="https://www.zdnet.com/article/wordpress-vulnerability-affects-a-third-of-most-popular-websites-online/" TargetMode="External"/><Relationship Id="rId72" Type="http://schemas.openxmlformats.org/officeDocument/2006/relationships/hyperlink" Target="https://www.zdnet.com/article/wordpress-plugs-bug-that-led-to-google-indexing-some-user-passwords/" TargetMode="External"/><Relationship Id="rId75" Type="http://schemas.openxmlformats.org/officeDocument/2006/relationships/hyperlink" Target="https://www.nytimes.com/2018/12/04/technology/quora-hack-data-breach.html" TargetMode="External"/><Relationship Id="rId74" Type="http://schemas.openxmlformats.org/officeDocument/2006/relationships/hyperlink" Target="https://www.theverge.com/2018/12/10/18134541/google-plus-privacy-api-data-leak-developers" TargetMode="External"/><Relationship Id="rId77" Type="http://schemas.openxmlformats.org/officeDocument/2006/relationships/hyperlink" Target="https://www.cnet.com/news/marriott-says-hackers-stole-more-than-5-million-passport-numbers/" TargetMode="External"/><Relationship Id="rId76" Type="http://schemas.openxmlformats.org/officeDocument/2006/relationships/hyperlink" Target="https://www.nytimes.com/2018/11/30/business/marriott-data-breach.html" TargetMode="External"/><Relationship Id="rId79" Type="http://schemas.openxmlformats.org/officeDocument/2006/relationships/hyperlink" Target="https://www.theguardian.com/news/2018/mar/17/cambridge-analytica-facebook-influence-us-election?CMP=twt_gu" TargetMode="External"/><Relationship Id="rId78" Type="http://schemas.openxmlformats.org/officeDocument/2006/relationships/hyperlink" Target="http://www.flanderstoday.eu/business/nmbs-data-leak-was-breach-privacy" TargetMode="External"/><Relationship Id="rId71" Type="http://schemas.openxmlformats.org/officeDocument/2006/relationships/hyperlink" Target="https://blog.hackenproof.com/industry-news/202-million-private-resumes-exposed" TargetMode="External"/><Relationship Id="rId70" Type="http://schemas.openxmlformats.org/officeDocument/2006/relationships/hyperlink" Target="https://www.abc.net.au/news/2018-10-25/cathay-pacific-data-breach-affects-9.4-million-customers/10429878" TargetMode="External"/><Relationship Id="rId62" Type="http://schemas.openxmlformats.org/officeDocument/2006/relationships/hyperlink" Target="https://arstechnica.com/information-technology/2019/10/data-for-a-whopping-26-million-stolen-payment-cards-leaked-in-hack-of-fraud-bazaar/" TargetMode="External"/><Relationship Id="rId61" Type="http://schemas.openxmlformats.org/officeDocument/2006/relationships/hyperlink" Target="https://techcrunch.com/2019/09/26/doordash-data-breach/" TargetMode="External"/><Relationship Id="rId64" Type="http://schemas.openxmlformats.org/officeDocument/2006/relationships/hyperlink" Target="https://www.dataviper.io/blog/2019/pdl-data-exposure-billion-people/" TargetMode="External"/><Relationship Id="rId63" Type="http://schemas.openxmlformats.org/officeDocument/2006/relationships/hyperlink" Target="https://www.businessinsider.in/tech/news/passwords-of-44-million-microsoft-users-compromised/articleshow/72433154.cms" TargetMode="External"/><Relationship Id="rId66" Type="http://schemas.openxmlformats.org/officeDocument/2006/relationships/hyperlink" Target="http://fortune.com/2018/12/18/click2gov-local-government-portals-hackers-credit-card-breach/" TargetMode="External"/><Relationship Id="rId65" Type="http://schemas.openxmlformats.org/officeDocument/2006/relationships/hyperlink" Target="https://www.dataviper.io/blog/2019/pdl-data-exposure-billion-people/" TargetMode="External"/><Relationship Id="rId68" Type="http://schemas.openxmlformats.org/officeDocument/2006/relationships/hyperlink" Target="http://govpaynow.com" TargetMode="External"/><Relationship Id="rId67" Type="http://schemas.openxmlformats.org/officeDocument/2006/relationships/hyperlink" Target="https://www.straitstimes.com/singapore/personal-info-of-15m-singhealth-patients-including-pm-lee-stolen-in-singapores-most" TargetMode="External"/><Relationship Id="rId60" Type="http://schemas.openxmlformats.org/officeDocument/2006/relationships/hyperlink" Target="https://www.fastcompany.com/90399734/the-phone-numbers-of-419-million-facebook-accounts-have-been-leaked" TargetMode="External"/><Relationship Id="rId69" Type="http://schemas.openxmlformats.org/officeDocument/2006/relationships/hyperlink" Target="https://krebsonsecurity.com/2018/09/govpaynow-com-leaks-14m-records/" TargetMode="External"/><Relationship Id="rId51" Type="http://schemas.openxmlformats.org/officeDocument/2006/relationships/hyperlink" Target="https://techcrunch.com/2019/02/14/hacker-strikes-again/" TargetMode="External"/><Relationship Id="rId50" Type="http://schemas.openxmlformats.org/officeDocument/2006/relationships/hyperlink" Target="https://techcrunch.com/2019/02/14/hacker-strikes-again/" TargetMode="External"/><Relationship Id="rId53" Type="http://schemas.openxmlformats.org/officeDocument/2006/relationships/hyperlink" Target="https://petapixel.com/2019/02/13/500px-hacked-personal-data-stolen-from-all-14-8-million-users/" TargetMode="External"/><Relationship Id="rId52" Type="http://schemas.openxmlformats.org/officeDocument/2006/relationships/hyperlink" Target="https://techcrunch.com/2019/02/14/hacker-strikes-again/" TargetMode="External"/><Relationship Id="rId55" Type="http://schemas.openxmlformats.org/officeDocument/2006/relationships/hyperlink" Target="https://www.zdnet.com/article/town-of-salem-game-suffers-data-breach-exposing-7-6-million-user-details/" TargetMode="External"/><Relationship Id="rId54" Type="http://schemas.openxmlformats.org/officeDocument/2006/relationships/hyperlink" Target="https://www.zdnet.com/article/data-of-2-4-million-blur-password-manager-users-left-exposed-online/" TargetMode="External"/><Relationship Id="rId57" Type="http://schemas.openxmlformats.org/officeDocument/2006/relationships/hyperlink" Target="https://www.zdnet.com/article/hacker-steals-data-of-millions-of-bulgarians-emails-it-to-local-media/" TargetMode="External"/><Relationship Id="rId56" Type="http://schemas.openxmlformats.org/officeDocument/2006/relationships/hyperlink" Target="https://www.bleepingcomputer.com/news/security/over-275-million-records-exposed-by-unsecured-mongodb-database/" TargetMode="External"/><Relationship Id="rId59" Type="http://schemas.openxmlformats.org/officeDocument/2006/relationships/hyperlink" Target="https://www.theguardian.com/technology/2019/aug/14/major-breach-found-in-biometrics-system-used-by-banks-uk-police-and-defence-firms" TargetMode="External"/><Relationship Id="rId58" Type="http://schemas.openxmlformats.org/officeDocument/2006/relationships/hyperlink" Target="https://www.forbes.com/sites/rachelsandler/2019/07/29/capital-one-says-hacker-breached-accounts-of-100-million-people-ex-amazon-employee-arrested/" TargetMode="External"/><Relationship Id="rId107" Type="http://schemas.openxmlformats.org/officeDocument/2006/relationships/hyperlink" Target="https://www.bbc.co.uk/news/technology-46261209" TargetMode="External"/><Relationship Id="rId228" Type="http://schemas.openxmlformats.org/officeDocument/2006/relationships/hyperlink" Target="https://privacylaw.proskauer.com/2013/08/articles/identity-theft/a-1-2-million-photocopier-mistake-health-plan-settles-with-hhs-in-hipaa-breach-case/" TargetMode="External"/><Relationship Id="rId349" Type="http://schemas.openxmlformats.org/officeDocument/2006/relationships/hyperlink" Target="http://www.databreaches.net/?p=12611" TargetMode="External"/><Relationship Id="rId106" Type="http://schemas.openxmlformats.org/officeDocument/2006/relationships/hyperlink" Target="https://www.bleepingcomputer.com/news/security/sky-brasil-exposes-32-million-customer-records/" TargetMode="External"/><Relationship Id="rId227" Type="http://schemas.openxmlformats.org/officeDocument/2006/relationships/hyperlink" Target="https://www.technologyreview.com/s/517551/prosecutors-describe-massive-breach-of-credit-card-data/" TargetMode="External"/><Relationship Id="rId348" Type="http://schemas.openxmlformats.org/officeDocument/2006/relationships/hyperlink" Target="http://www.healthcareinfosecurity.com/chicago-breach-affects-180000-a-2496" TargetMode="External"/><Relationship Id="rId105" Type="http://schemas.openxmlformats.org/officeDocument/2006/relationships/hyperlink" Target="https://www.dailymail.co.uk/sciencetech/article-6415441/Furry-erotica-site-hit-data-breach-exposed-hundreds-thousands-users-information.html" TargetMode="External"/><Relationship Id="rId226" Type="http://schemas.openxmlformats.org/officeDocument/2006/relationships/hyperlink" Target="http://www.theguardian.com/technology/2014/aug/05/mozilla-leak-developer-email-addresses-passwords-firefox" TargetMode="External"/><Relationship Id="rId347" Type="http://schemas.openxmlformats.org/officeDocument/2006/relationships/hyperlink" Target="https://www.thelantern.com/2010/12/hacked-data-breach-costly-for-ohio-state-victims-of-compromised-info/" TargetMode="External"/><Relationship Id="rId104" Type="http://schemas.openxmlformats.org/officeDocument/2006/relationships/hyperlink" Target="https://www.zdnet.com/article/dell-announces-security-breach/" TargetMode="External"/><Relationship Id="rId225" Type="http://schemas.openxmlformats.org/officeDocument/2006/relationships/hyperlink" Target="http://www.theguardian.com/technology/2014/jun/16/dominos-pizza-ransom-hack-data" TargetMode="External"/><Relationship Id="rId346" Type="http://schemas.openxmlformats.org/officeDocument/2006/relationships/hyperlink" Target="https://www.databreaches.net/puerto-rico-dept-of-health-reports-breach-affecting-400000-triple-s-salud-fined-100k/" TargetMode="External"/><Relationship Id="rId109" Type="http://schemas.openxmlformats.org/officeDocument/2006/relationships/hyperlink" Target="https://www.hcanews.com/news/update-94k-hit-in-cms-data-breach" TargetMode="External"/><Relationship Id="rId108" Type="http://schemas.openxmlformats.org/officeDocument/2006/relationships/hyperlink" Target="https://gizmodo.com/healthcare-gov-portal-suffers-data-breach-trump-offici-1829877392?IR=T" TargetMode="External"/><Relationship Id="rId229" Type="http://schemas.openxmlformats.org/officeDocument/2006/relationships/hyperlink" Target="http://news.softpedia.com/news/Citi-Exposes-Details-of-150-000-Individuals-Who-Went-into-Bankruptcy-369979.shtml" TargetMode="External"/><Relationship Id="rId220" Type="http://schemas.openxmlformats.org/officeDocument/2006/relationships/hyperlink" Target="http://www.jal.co.jp/en/info/other/140924.html" TargetMode="External"/><Relationship Id="rId341" Type="http://schemas.openxmlformats.org/officeDocument/2006/relationships/hyperlink" Target="https://www.databreaches.net/bcbs-of-tenn-breach-lessons-learned/" TargetMode="External"/><Relationship Id="rId340" Type="http://schemas.openxmlformats.org/officeDocument/2006/relationships/hyperlink" Target="https://www.databreachtoday.com/avmed-sued-over-laptop-breach-a-3111" TargetMode="External"/><Relationship Id="rId103" Type="http://schemas.openxmlformats.org/officeDocument/2006/relationships/hyperlink" Target="https://techcrunch.com/2018/11/27/urban-massage-data-exposed-customers-creepy-clients/?guccounter=1" TargetMode="External"/><Relationship Id="rId224" Type="http://schemas.openxmlformats.org/officeDocument/2006/relationships/hyperlink" Target="http://www.securityweek.com/20-million-people-fall-victim-south-korea-data-leak" TargetMode="External"/><Relationship Id="rId345" Type="http://schemas.openxmlformats.org/officeDocument/2006/relationships/hyperlink" Target="http://www.mediaite.com/online/gawker-medias-entire-commenter-database-appears-to-have-been-hacked/" TargetMode="External"/><Relationship Id="rId102" Type="http://schemas.openxmlformats.org/officeDocument/2006/relationships/hyperlink" Target="https://amp.theguardian.com/technology/2018/nov/21/amazon-hit-with-major-data-breach-days-before-black-friday" TargetMode="External"/><Relationship Id="rId223" Type="http://schemas.openxmlformats.org/officeDocument/2006/relationships/hyperlink" Target="http://krebsonsecurity.com/2014/09/banks-credit-card-breach-at-home-depot/" TargetMode="External"/><Relationship Id="rId344" Type="http://schemas.openxmlformats.org/officeDocument/2006/relationships/hyperlink" Target="http://www.guardian.co.uk/technology/2010/dec/13/gawker-hackers-passwords-twitter-wikileaks?INTCMP=SRCH" TargetMode="External"/><Relationship Id="rId101" Type="http://schemas.openxmlformats.org/officeDocument/2006/relationships/hyperlink" Target="https://www.theguardian.com/technology/2018/nov/21/amazon-hit-with-major-data-breach-days-before-black-friday" TargetMode="External"/><Relationship Id="rId222" Type="http://schemas.openxmlformats.org/officeDocument/2006/relationships/hyperlink" Target="http://thenextweb.com/google/2014/09/10/4-93-million-gmail-usernames-passwords-published-google-says-evidence-systems-compromised/" TargetMode="External"/><Relationship Id="rId343" Type="http://schemas.openxmlformats.org/officeDocument/2006/relationships/hyperlink" Target="http://gawker.com" TargetMode="External"/><Relationship Id="rId100" Type="http://schemas.openxmlformats.org/officeDocument/2006/relationships/hyperlink" Target="https://www.theverge.com/2018/6/7/17438516/ticketfly-hack-personal-information-26-million-customers-leaked" TargetMode="External"/><Relationship Id="rId221" Type="http://schemas.openxmlformats.org/officeDocument/2006/relationships/hyperlink" Target="http://fortune.com/2014/12/19/staples-cards-affected-breach/" TargetMode="External"/><Relationship Id="rId342" Type="http://schemas.openxmlformats.org/officeDocument/2006/relationships/hyperlink" Target="http://www.guardian.co.uk/news/datablog/2010/nov/29/wikileaks-cables-data" TargetMode="External"/><Relationship Id="rId217" Type="http://schemas.openxmlformats.org/officeDocument/2006/relationships/hyperlink" Target="https://medium.com/@vijayp/f6bc289679a1" TargetMode="External"/><Relationship Id="rId338" Type="http://schemas.openxmlformats.org/officeDocument/2006/relationships/hyperlink" Target="https://blog.trendmicro.com/sutter-health-sued-for-1-billion-following-data-breach/" TargetMode="External"/><Relationship Id="rId216" Type="http://schemas.openxmlformats.org/officeDocument/2006/relationships/hyperlink" Target="http://dealbook.nytimes.com/2014/10/02/jpmorgan-discovers-further-cyber-security-issues/?_php=true&amp;_type=blogs&amp;_r=0" TargetMode="External"/><Relationship Id="rId337" Type="http://schemas.openxmlformats.org/officeDocument/2006/relationships/hyperlink" Target="https://www.law360.com/articles/277961/nemours-says-data-breach-affected-1-6m-patients" TargetMode="External"/><Relationship Id="rId215" Type="http://schemas.openxmlformats.org/officeDocument/2006/relationships/hyperlink" Target="http://www.cityam.com/1406190300/ecb-website-hacked" TargetMode="External"/><Relationship Id="rId336" Type="http://schemas.openxmlformats.org/officeDocument/2006/relationships/hyperlink" Target="https://uk.reuters.com/article/us-korea-hacking-nexon/data-of-13-million-south-korean-online-game-subscribers-hacked-idUSTRE7AP09H20111126" TargetMode="External"/><Relationship Id="rId214" Type="http://schemas.openxmlformats.org/officeDocument/2006/relationships/hyperlink" Target="http://time.com/3151681/ups-hack/" TargetMode="External"/><Relationship Id="rId335" Type="http://schemas.openxmlformats.org/officeDocument/2006/relationships/hyperlink" Target="https://www.finextra.com/newsarticle/23243/restaurant-depot-hacked-by-russian-cyber-criminals" TargetMode="External"/><Relationship Id="rId219" Type="http://schemas.openxmlformats.org/officeDocument/2006/relationships/hyperlink" Target="http://online.wsj.com/articles/japan-airlines-reports-hacker-attack-1412053828" TargetMode="External"/><Relationship Id="rId218" Type="http://schemas.openxmlformats.org/officeDocument/2006/relationships/hyperlink" Target="http://www.reuters.com/article/us-hsbc-turkey-cybersecurity/hsbc-turkey-says-customer-credit-card-data-stolen-idUSKCN0IW1RR20141112" TargetMode="External"/><Relationship Id="rId339" Type="http://schemas.openxmlformats.org/officeDocument/2006/relationships/hyperlink" Target="http://www.reuters.com/article/us-data-breach-texas-idUSTRE78S5JG20110929" TargetMode="External"/><Relationship Id="rId330" Type="http://schemas.openxmlformats.org/officeDocument/2006/relationships/hyperlink" Target="https://privacyrights.org/data-breaches/sony-playstation-network-psn-sony-online-entertainment-soe" TargetMode="External"/><Relationship Id="rId213" Type="http://schemas.openxmlformats.org/officeDocument/2006/relationships/hyperlink" Target="https://www.businessinsider.com/cyber-thieves-took-data-on-145-million-ebay-customers-by-hacking-3-corporate-employees-2014-5?r=US&amp;IR=T" TargetMode="External"/><Relationship Id="rId334" Type="http://schemas.openxmlformats.org/officeDocument/2006/relationships/hyperlink" Target="http://www.bbc.co.uk/news/technology-15690187" TargetMode="External"/><Relationship Id="rId212" Type="http://schemas.openxmlformats.org/officeDocument/2006/relationships/hyperlink" Target="http://www.usatoday.com/story/news/nation/2014/02/26/indiana-university-data-breach/5830685/" TargetMode="External"/><Relationship Id="rId333" Type="http://schemas.openxmlformats.org/officeDocument/2006/relationships/hyperlink" Target="https://www.databreaches.net/or-deputies-man-used-dmv-database-in-id-theft/" TargetMode="External"/><Relationship Id="rId211" Type="http://schemas.openxmlformats.org/officeDocument/2006/relationships/hyperlink" Target="http://news.iu.edu/releases/iu/2014/02/data-exposure-disclosure.shtml" TargetMode="External"/><Relationship Id="rId332" Type="http://schemas.openxmlformats.org/officeDocument/2006/relationships/hyperlink" Target="http://www.nbcnews.com/id/43086769/ns/technology_and_science-security/t/huge-data-breach-puts-risk/" TargetMode="External"/><Relationship Id="rId210" Type="http://schemas.openxmlformats.org/officeDocument/2006/relationships/hyperlink" Target="http://www.buzzfeed.com/tomgara/sony-hack" TargetMode="External"/><Relationship Id="rId331" Type="http://schemas.openxmlformats.org/officeDocument/2006/relationships/hyperlink" Target="http://www.guelphmercury.com/news-story/2200845-honda-canada-hit-by-online-security-breach-283-000-car-owners-personal-data-stolen/" TargetMode="External"/><Relationship Id="rId370" Type="http://schemas.openxmlformats.org/officeDocument/2006/relationships/hyperlink" Target="https://www.computerworld.com/article/2536837/thieves-pilfer-backup-tapes-holding-2m-medical-records.html" TargetMode="External"/><Relationship Id="rId129" Type="http://schemas.openxmlformats.org/officeDocument/2006/relationships/hyperlink" Target="http://www.zdnet.com/article/font-sharing-site-dafont-hacked-thousands-of-accounts-stolen/" TargetMode="External"/><Relationship Id="rId128" Type="http://schemas.openxmlformats.org/officeDocument/2006/relationships/hyperlink" Target="https://www.theguardian.com/technology/2017/mar/06/email-addresses-spam-leak-river-city-media" TargetMode="External"/><Relationship Id="rId249" Type="http://schemas.openxmlformats.org/officeDocument/2006/relationships/hyperlink" Target="https://www.bbc.co.uk/news/technology-23159997" TargetMode="External"/><Relationship Id="rId127" Type="http://schemas.openxmlformats.org/officeDocument/2006/relationships/hyperlink" Target="http://www.scmp.com/news/hong-kong/politics/article/2082566/laptops-containing-37-million-hong-kong-voters-data-stolen" TargetMode="External"/><Relationship Id="rId248" Type="http://schemas.openxmlformats.org/officeDocument/2006/relationships/hyperlink" Target="https://uk.reuters.com/article/net-us-nasdaq-cybercrime-website/nasdaq-forum-website-hacked-passwords-compromised-idUSBRE96H1F520130718" TargetMode="External"/><Relationship Id="rId369" Type="http://schemas.openxmlformats.org/officeDocument/2006/relationships/hyperlink" Target="https://www.networkworld.com/article/2284998/lan-wan/details-emerging-on-hannaford-data-breach.html" TargetMode="External"/><Relationship Id="rId126" Type="http://schemas.openxmlformats.org/officeDocument/2006/relationships/hyperlink" Target="https://www.thelocal.se/20170717/swedish-authority-handed-over-keys-to-the-kingdom-in-it-security-slip-up" TargetMode="External"/><Relationship Id="rId247" Type="http://schemas.openxmlformats.org/officeDocument/2006/relationships/hyperlink" Target="http://www.guardian.co.uk/technology/2013/jul/22/apple-developer-site-hacked" TargetMode="External"/><Relationship Id="rId368" Type="http://schemas.openxmlformats.org/officeDocument/2006/relationships/hyperlink" Target="https://www.computerworld.com/article/2536195/programmer-who-stole-drive-containing-1-million-bank-records-gets-42-months.html" TargetMode="External"/><Relationship Id="rId121" Type="http://schemas.openxmlformats.org/officeDocument/2006/relationships/hyperlink" Target="https://www.theguardian.com/technology/2017/aug/30/spambot-leaks-700m-email-addresses-huge-data-breach-passwords" TargetMode="External"/><Relationship Id="rId242" Type="http://schemas.openxmlformats.org/officeDocument/2006/relationships/hyperlink" Target="https://edition.cnn.com/2013/02/01/tech/social-media/twitter-hacked/index.html" TargetMode="External"/><Relationship Id="rId363" Type="http://schemas.openxmlformats.org/officeDocument/2006/relationships/hyperlink" Target="https://www.digitalhealth.net/2009/05/virginia-department-of-health-hacked/" TargetMode="External"/><Relationship Id="rId120" Type="http://schemas.openxmlformats.org/officeDocument/2006/relationships/hyperlink" Target="http://www.bgr.in/news/indian-hacker-group-leaks-data-of-1-7-million-snapchat-users-after-ceos-poor-country-comments-report/" TargetMode="External"/><Relationship Id="rId241" Type="http://schemas.openxmlformats.org/officeDocument/2006/relationships/hyperlink" Target="https://www.esecurityplanet.com/network-security/central-hudson-gas-and-electric-hacked.html" TargetMode="External"/><Relationship Id="rId362" Type="http://schemas.openxmlformats.org/officeDocument/2006/relationships/hyperlink" Target="http://voices.washingtonpost.com/securityfix/2009/07/network_solutions_hack_comprom.html" TargetMode="External"/><Relationship Id="rId240" Type="http://schemas.openxmlformats.org/officeDocument/2006/relationships/hyperlink" Target="http://www1.udel.edu/udaily/2014/jul/resources073013.html" TargetMode="External"/><Relationship Id="rId361" Type="http://schemas.openxmlformats.org/officeDocument/2006/relationships/hyperlink" Target="https://www.computerworld.com/article/2530152/checkfree-warns-5-million-customers-after-hack.html" TargetMode="External"/><Relationship Id="rId360" Type="http://schemas.openxmlformats.org/officeDocument/2006/relationships/hyperlink" Target="http://techcrunch.com/2009/12/14/rockyou-hack-security-myspace-facebook-passwords/" TargetMode="External"/><Relationship Id="rId125" Type="http://schemas.openxmlformats.org/officeDocument/2006/relationships/hyperlink" Target="https://www.databreaches.net/waterly-app-potentially-exposed-up-to-1-million-israelis-details-researcher/" TargetMode="External"/><Relationship Id="rId246" Type="http://schemas.openxmlformats.org/officeDocument/2006/relationships/hyperlink" Target="http://status.ovh.net/?do=details&amp;id=5070" TargetMode="External"/><Relationship Id="rId367" Type="http://schemas.openxmlformats.org/officeDocument/2006/relationships/hyperlink" Target="http://www.wired.com/threatlevel/2009/10/probe-targets-archives-handling-of-data-on-70-million-vets/" TargetMode="External"/><Relationship Id="rId124" Type="http://schemas.openxmlformats.org/officeDocument/2006/relationships/hyperlink" Target="https://www.vice.com/en_us/article/3daywj/hacker-steals-900-gb-of-cellebrite-data" TargetMode="External"/><Relationship Id="rId245" Type="http://schemas.openxmlformats.org/officeDocument/2006/relationships/hyperlink" Target="http://healthitsecurity.com/2013/08/27/advocate-medical-group-endures-massive-data-breach/" TargetMode="External"/><Relationship Id="rId366" Type="http://schemas.openxmlformats.org/officeDocument/2006/relationships/hyperlink" Target="https://www.computerworld.com/article/2521838/security0/health-net-says-1-5m-medical-records-lost-in-data-breach.html" TargetMode="External"/><Relationship Id="rId123" Type="http://schemas.openxmlformats.org/officeDocument/2006/relationships/hyperlink" Target="http://www.zdnet.com/article/popular-virtual-keyboard-leaks-31-million-user-data/" TargetMode="External"/><Relationship Id="rId244" Type="http://schemas.openxmlformats.org/officeDocument/2006/relationships/hyperlink" Target="https://www.databreaches.net/stolen-florida-dept-of-juvenile-justice-device-contained-records-of-more-than-100000-youth-and-employees/" TargetMode="External"/><Relationship Id="rId365" Type="http://schemas.openxmlformats.org/officeDocument/2006/relationships/hyperlink" Target="https://www.cnet.com/news/uc-berkeley-computers-hacked-160000-at-risk/" TargetMode="External"/><Relationship Id="rId122" Type="http://schemas.openxmlformats.org/officeDocument/2006/relationships/hyperlink" Target="https://uk.pcmag.com/cex/90937/cex-hack-up-to-2m-customers-potentially-affected" TargetMode="External"/><Relationship Id="rId243" Type="http://schemas.openxmlformats.org/officeDocument/2006/relationships/hyperlink" Target="https://www.healthcareitnews.com/news/walgreens-company-announces-data-breach" TargetMode="External"/><Relationship Id="rId364" Type="http://schemas.openxmlformats.org/officeDocument/2006/relationships/hyperlink" Target="http://voices.washingtonpost.com/securityfix/2009/05/hackers_break_into_virginia_he.html" TargetMode="External"/><Relationship Id="rId95" Type="http://schemas.openxmlformats.org/officeDocument/2006/relationships/hyperlink" Target="https://www.nbcnews.com/feature/nbc-out/security-flaws-gay-dating-app-grindr-expose-users-location-data-n858446" TargetMode="External"/><Relationship Id="rId94" Type="http://schemas.openxmlformats.org/officeDocument/2006/relationships/hyperlink" Target="http://www.zdnet.com/article/another-data-leak-hits-india-aadhaar-biometric-database/" TargetMode="External"/><Relationship Id="rId97" Type="http://schemas.openxmlformats.org/officeDocument/2006/relationships/hyperlink" Target="https://thenextweb.com/security/2018/03/14/jewelry-site-accidentally-leaks-personal-details-plaintext-passwords-1-3m-users/" TargetMode="External"/><Relationship Id="rId96" Type="http://schemas.openxmlformats.org/officeDocument/2006/relationships/hyperlink" Target="https://www.usnews.com/news/business/articles/2018-03-20/orbitz-legacy-travel-booking-platform-likely-hacked" TargetMode="External"/><Relationship Id="rId99" Type="http://schemas.openxmlformats.org/officeDocument/2006/relationships/hyperlink" Target="https://www.reuters.com/article/us-twitter-passwords/twitter-urges-all-users-to-change-passwords-after-glitch-idUSKBN1I42JG" TargetMode="External"/><Relationship Id="rId98" Type="http://schemas.openxmlformats.org/officeDocument/2006/relationships/hyperlink" Target="https://www.upguard.com/breaches/s3-localblox" TargetMode="External"/><Relationship Id="rId91" Type="http://schemas.openxmlformats.org/officeDocument/2006/relationships/hyperlink" Target="https://medium.com/@intideceukelaire/this-popular-facebook-app-publicly-exposed-your-data-for-years-12483418eff8" TargetMode="External"/><Relationship Id="rId90" Type="http://schemas.openxmlformats.org/officeDocument/2006/relationships/hyperlink" Target="https://www.itgovernance.eu/blog/en/breach-at-norways-largest-healthcare-authority-was-a-disaster-waiting-to-happen" TargetMode="External"/><Relationship Id="rId93" Type="http://schemas.openxmlformats.org/officeDocument/2006/relationships/hyperlink" Target="https://www.bleepingcomputer.com/news/security/thousands-of-apps-leak-sensitive-data-via-misconfigured-firebase-backends/" TargetMode="External"/><Relationship Id="rId92" Type="http://schemas.openxmlformats.org/officeDocument/2006/relationships/hyperlink" Target="https://www.bbc.co.uk/news/technology-44628874" TargetMode="External"/><Relationship Id="rId118" Type="http://schemas.openxmlformats.org/officeDocument/2006/relationships/hyperlink" Target="https://www.bloomberg.com/news/articles/2017-11-21/uber-concealed-cyberattack-that-exposed-57-million-people-s-data" TargetMode="External"/><Relationship Id="rId239" Type="http://schemas.openxmlformats.org/officeDocument/2006/relationships/hyperlink" Target="https://www.bbc.co.uk/news/technology-25572661" TargetMode="External"/><Relationship Id="rId117" Type="http://schemas.openxmlformats.org/officeDocument/2006/relationships/hyperlink" Target="https://www.cnet.com/news/yahoo-says-forged-cookie-attack-accessed-about-32m-accounts/" TargetMode="External"/><Relationship Id="rId238" Type="http://schemas.openxmlformats.org/officeDocument/2006/relationships/hyperlink" Target="https://www.bbc.co.uk/news/business-41493494" TargetMode="External"/><Relationship Id="rId359" Type="http://schemas.openxmlformats.org/officeDocument/2006/relationships/hyperlink" Target="http://edition.cnn.com/2009/US/12/17/theft.security.breach/index.html" TargetMode="External"/><Relationship Id="rId116" Type="http://schemas.openxmlformats.org/officeDocument/2006/relationships/hyperlink" Target="https://threatpost.com/leaky-rootsweb-server-exposes-some-ancestry-com-user-data/129248/" TargetMode="External"/><Relationship Id="rId237" Type="http://schemas.openxmlformats.org/officeDocument/2006/relationships/hyperlink" Target="http://www.nytimes.com/2016/12/14/technology/yahoo-hack.html?action=Click&amp;contentCollection=BreakingNews&amp;contentID=64651831&amp;pgtype=Homepage&amp;_r=0" TargetMode="External"/><Relationship Id="rId358" Type="http://schemas.openxmlformats.org/officeDocument/2006/relationships/hyperlink" Target="https://www.darkreading.com/attacks-and-breaches/heartland-payment-systems-hit-by-data-security-breach/d/d-id/1075770" TargetMode="External"/><Relationship Id="rId115" Type="http://schemas.openxmlformats.org/officeDocument/2006/relationships/hyperlink" Target="http://www.zdnet.com/article/disqus-confirms-comments-tool-hacked/" TargetMode="External"/><Relationship Id="rId236" Type="http://schemas.openxmlformats.org/officeDocument/2006/relationships/hyperlink" Target="http://bits.blogs.nytimes.com/2013/04/26/living-social-hack-exposes-data-for-50-million-customers/" TargetMode="External"/><Relationship Id="rId357" Type="http://schemas.openxmlformats.org/officeDocument/2006/relationships/hyperlink" Target="https://blogs.gartner.com/jack-santos/2010/12/27/year-end-2010-healthcare-breach-synopsis/" TargetMode="External"/><Relationship Id="rId119" Type="http://schemas.openxmlformats.org/officeDocument/2006/relationships/hyperlink" Target="https://www.theguardian.com/business/2017/apr/09/wonga-data-breach-could-affect-250000-uk-customers?CMP=Share_iOSApp_Other" TargetMode="External"/><Relationship Id="rId110" Type="http://schemas.openxmlformats.org/officeDocument/2006/relationships/hyperlink" Target="https://www.businessinsider.com.au/facebook-thinks-spammers-responsible-hack-stole-info-from-29-million-users-2018-10?r=US&amp;IR=T" TargetMode="External"/><Relationship Id="rId231" Type="http://schemas.openxmlformats.org/officeDocument/2006/relationships/hyperlink" Target="https://thehackernews.com/2011/12/tianya-chinas-biggest-online-forum-40.html" TargetMode="External"/><Relationship Id="rId352" Type="http://schemas.openxmlformats.org/officeDocument/2006/relationships/hyperlink" Target="https://www.wsj.com/articles/SB10001424052702304434404575150024174102954" TargetMode="External"/><Relationship Id="rId230" Type="http://schemas.openxmlformats.org/officeDocument/2006/relationships/hyperlink" Target="http://www.scmagazine.com.au/News/349585,28-million-clear-text-passwords-found-after-tianya65279-hack.aspx" TargetMode="External"/><Relationship Id="rId351" Type="http://schemas.openxmlformats.org/officeDocument/2006/relationships/hyperlink" Target="https://www.pcworld.idg.com.au/article/351659/new_york_hospital_loses_data_130_000_via_fedex/" TargetMode="External"/><Relationship Id="rId350" Type="http://schemas.openxmlformats.org/officeDocument/2006/relationships/hyperlink" Target="http://www.guardian.co.uk/technology/2010/jun/10/apple-ipad-security-leak?INTCMP=SRCH" TargetMode="External"/><Relationship Id="rId114" Type="http://schemas.openxmlformats.org/officeDocument/2006/relationships/hyperlink" Target="https://www.wired.com/story/apollo-breach-linkedin-salesforce-data/" TargetMode="External"/><Relationship Id="rId235" Type="http://schemas.openxmlformats.org/officeDocument/2006/relationships/hyperlink" Target="http://nakedsecurity.sophos.com/2013/04/27/livingsocial-hacked-50-million-affected/" TargetMode="External"/><Relationship Id="rId356" Type="http://schemas.openxmlformats.org/officeDocument/2006/relationships/hyperlink" Target="http://www.forbes.com/sites/andygreenberg/2010/10/22/wikileaks-reveals-the-biggest-classified-data-breach-in-history/" TargetMode="External"/><Relationship Id="rId113" Type="http://schemas.openxmlformats.org/officeDocument/2006/relationships/hyperlink" Target="https://www.housingwire.com/articles/36597-guaranteed-rate-ordered-to-pay-25m-to-mount-olympus-mortgage-for-data-theft/" TargetMode="External"/><Relationship Id="rId234" Type="http://schemas.openxmlformats.org/officeDocument/2006/relationships/hyperlink" Target="https://www.wikileaks.org/plusd/about/" TargetMode="External"/><Relationship Id="rId355" Type="http://schemas.openxmlformats.org/officeDocument/2006/relationships/hyperlink" Target="https://www.bankinfosecurity.com/cleveland-federal-reserve-hacked-a-3115" TargetMode="External"/><Relationship Id="rId112" Type="http://schemas.openxmlformats.org/officeDocument/2006/relationships/hyperlink" Target="https://techcrunch.com/2018/09/19/newegg-credit-card-data-breach/" TargetMode="External"/><Relationship Id="rId233" Type="http://schemas.openxmlformats.org/officeDocument/2006/relationships/hyperlink" Target="http://www.nbcnews.com/technology/scribd-hack-exposes-thousands-users-1B9239618" TargetMode="External"/><Relationship Id="rId354" Type="http://schemas.openxmlformats.org/officeDocument/2006/relationships/hyperlink" Target="https://www.theguardian.com/news/blog/2010/nov/29/wikileaks-us-embassy-cables-live-updates" TargetMode="External"/><Relationship Id="rId111" Type="http://schemas.openxmlformats.org/officeDocument/2006/relationships/hyperlink" Target="https://newsroom.fb.com/news/2018/10/update-on-security-issue/" TargetMode="External"/><Relationship Id="rId232" Type="http://schemas.openxmlformats.org/officeDocument/2006/relationships/hyperlink" Target="http://nakedsecurity.sophos.com/2013/04/05/scribd-worlds-largest-online-library-admits-to-network-intrusion-password-breach/" TargetMode="External"/><Relationship Id="rId353" Type="http://schemas.openxmlformats.org/officeDocument/2006/relationships/hyperlink" Target="http://wikileaks.org/cablegate.html" TargetMode="External"/><Relationship Id="rId305" Type="http://schemas.openxmlformats.org/officeDocument/2006/relationships/hyperlink" Target="https://www-ft-com.libezproxy.open.ac.uk/content/819f5b1c-eb80-11e0-a576-00144feab49a" TargetMode="External"/><Relationship Id="rId304" Type="http://schemas.openxmlformats.org/officeDocument/2006/relationships/hyperlink" Target="https://www.infosecurity-magazine.com/news/south-shore-hospital-data-breach-may-affect-up-to/" TargetMode="External"/><Relationship Id="rId303" Type="http://schemas.openxmlformats.org/officeDocument/2006/relationships/hyperlink" Target="http://www.fosters.com/apps/pbcs.dll/article?AID=/20110120/GJNEWS_01/701209744" TargetMode="External"/><Relationship Id="rId302" Type="http://schemas.openxmlformats.org/officeDocument/2006/relationships/hyperlink" Target="https://www.inforisktoday.com/new-york-breach-affects-17-million-a-3349" TargetMode="External"/><Relationship Id="rId309" Type="http://schemas.openxmlformats.org/officeDocument/2006/relationships/hyperlink" Target="https://uk.pcmag.com/news/105457/texas-security-breach-exposes-35m-records" TargetMode="External"/><Relationship Id="rId308" Type="http://schemas.openxmlformats.org/officeDocument/2006/relationships/hyperlink" Target="https://abcnews.go.com/Business/morgan-stanley-smith-barney-breach-losing-client-data/story?id=14008632" TargetMode="External"/><Relationship Id="rId307" Type="http://schemas.openxmlformats.org/officeDocument/2006/relationships/hyperlink" Target="http://www.nbcnews.com/id/44235153/ns/technology_and_science-security/t/data-breach-hits-yale-university/" TargetMode="External"/><Relationship Id="rId306" Type="http://schemas.openxmlformats.org/officeDocument/2006/relationships/hyperlink" Target="https://www.databreaches.net/ankle-foot-center-of-tampa-bay-breach-affecting-156000-included-social-security-numbers-as-well-as-phi/" TargetMode="External"/><Relationship Id="rId301" Type="http://schemas.openxmlformats.org/officeDocument/2006/relationships/hyperlink" Target="https://www.bbc.co.uk/news/technology-37232635" TargetMode="External"/><Relationship Id="rId300" Type="http://schemas.openxmlformats.org/officeDocument/2006/relationships/hyperlink" Target="http://www.infoworld.com/article/2615754/cyber-crime/south-carolina-reveals-massive-data-breach-of-social-security-numbers--credit-cards.html" TargetMode="External"/><Relationship Id="rId413" Type="http://schemas.openxmlformats.org/officeDocument/2006/relationships/drawing" Target="../drawings/drawing10.xml"/><Relationship Id="rId412" Type="http://schemas.openxmlformats.org/officeDocument/2006/relationships/hyperlink" Target="http://money.cnn.com/2004/06/23/technology/aol_spam/" TargetMode="External"/><Relationship Id="rId411" Type="http://schemas.openxmlformats.org/officeDocument/2006/relationships/hyperlink" Target="https://www.wired.com/2005/06/cardsystems-data-left-unsecured/" TargetMode="External"/><Relationship Id="rId410" Type="http://schemas.openxmlformats.org/officeDocument/2006/relationships/hyperlink" Target="http://www.nytimes.com/2005/06/07/business/07data.html?pagewanted=all&amp;_moc.semityn.www" TargetMode="External"/><Relationship Id="rId206" Type="http://schemas.openxmlformats.org/officeDocument/2006/relationships/hyperlink" Target="http://krebsonsecurity.com/2014/08/stealthy-razor-thin-atm-insert-skimmers/" TargetMode="External"/><Relationship Id="rId327" Type="http://schemas.openxmlformats.org/officeDocument/2006/relationships/hyperlink" Target="https://www.inforisktoday.com/400000-affected-by-stolen-pc-a-3853" TargetMode="External"/><Relationship Id="rId205" Type="http://schemas.openxmlformats.org/officeDocument/2006/relationships/hyperlink" Target="http://www.nytimes.com/2014/01/24/business/neiman-marcus-breach-affected-1-1-million-cards.html" TargetMode="External"/><Relationship Id="rId326" Type="http://schemas.openxmlformats.org/officeDocument/2006/relationships/hyperlink" Target="http://databreachinvestigation.blogspot.com/2011/04/thief-gets-away-with-eisenhower-medical.html" TargetMode="External"/><Relationship Id="rId204" Type="http://schemas.openxmlformats.org/officeDocument/2006/relationships/hyperlink" Target="https://healthitsecurity.com/news/ucla-health-reaches-7.5m-settlement-over-2015-breach-of-4.5m" TargetMode="External"/><Relationship Id="rId325" Type="http://schemas.openxmlformats.org/officeDocument/2006/relationships/hyperlink" Target="https://spectrum.ieee.org/riskfactor/computing/it/health-net-data-breaches-affects-19-million-people" TargetMode="External"/><Relationship Id="rId203" Type="http://schemas.openxmlformats.org/officeDocument/2006/relationships/hyperlink" Target="https://www.nytimes.com/2015/02/05/business/hackers-breached-data-of-millions-insurer-says.html" TargetMode="External"/><Relationship Id="rId324" Type="http://schemas.openxmlformats.org/officeDocument/2006/relationships/hyperlink" Target="http://www.pcmag.com/article2/0,2817,2388200,00.asp" TargetMode="External"/><Relationship Id="rId209" Type="http://schemas.openxmlformats.org/officeDocument/2006/relationships/hyperlink" Target="https://www.poverenik.rs/en/press-releases/1953-povreda-prava-na-zastitu-podataka-o-licnosti-skoro-svih-punoletnih-gradjana-srbije.html" TargetMode="External"/><Relationship Id="rId208" Type="http://schemas.openxmlformats.org/officeDocument/2006/relationships/hyperlink" Target="http://money.cnn.com/2014/08/18/technology/security/hospital-chs-hack/" TargetMode="External"/><Relationship Id="rId329" Type="http://schemas.openxmlformats.org/officeDocument/2006/relationships/hyperlink" Target="http://news.cnet.com/8301-27080_3-20068386-245/sf-utilities-agency-warns-of-potential-breach/" TargetMode="External"/><Relationship Id="rId207" Type="http://schemas.openxmlformats.org/officeDocument/2006/relationships/hyperlink" Target="https://www.nbcnews.com/tech/security/youve-got-hacked-aol-confirms-significant-number-mail-users-hit-n91701" TargetMode="External"/><Relationship Id="rId328" Type="http://schemas.openxmlformats.org/officeDocument/2006/relationships/hyperlink" Target="https://www.alphr.com/news/security/368062/nhs-loses-laptop-holding-8m-patient-records" TargetMode="External"/><Relationship Id="rId202" Type="http://schemas.openxmlformats.org/officeDocument/2006/relationships/hyperlink" Target="http://www.theguardian.com/business/2015/mar/29/british-airways-frequent-flyer-accounts-hacked" TargetMode="External"/><Relationship Id="rId323" Type="http://schemas.openxmlformats.org/officeDocument/2006/relationships/hyperlink" Target="http://www.databreaches.net/?p=19198" TargetMode="External"/><Relationship Id="rId201" Type="http://schemas.openxmlformats.org/officeDocument/2006/relationships/hyperlink" Target="http://www.theguardian.com/technology/2015/aug/10/carphone-warehouse-uk-data-watchdog-investigating-customer-hack" TargetMode="External"/><Relationship Id="rId322" Type="http://schemas.openxmlformats.org/officeDocument/2006/relationships/hyperlink" Target="http://mashable.com/2011/06/02/sony-pictures-hacked/" TargetMode="External"/><Relationship Id="rId200" Type="http://schemas.openxmlformats.org/officeDocument/2006/relationships/hyperlink" Target="http://techcrunch.com/2015/03/27/slack-got-hacked/" TargetMode="External"/><Relationship Id="rId321" Type="http://schemas.openxmlformats.org/officeDocument/2006/relationships/hyperlink" Target="http://www.pcworld.com/article/229891/Citigroup_Hack_Nets_Over_200k_in_Stolen_Customer_Details.html" TargetMode="External"/><Relationship Id="rId320" Type="http://schemas.openxmlformats.org/officeDocument/2006/relationships/hyperlink" Target="http://www.zdnet.com/blog/gamification/sega-1-3-million-customer-records-hacked-lulzsec-promises-retribution/481" TargetMode="External"/><Relationship Id="rId316" Type="http://schemas.openxmlformats.org/officeDocument/2006/relationships/hyperlink" Target="https://www.databreaches.net/southern-california-medical-legal-consultants-reveals-that-300000-workers-compensation-applicants-names-and-social-security-numbers-were-exposed-on-internet/" TargetMode="External"/><Relationship Id="rId315" Type="http://schemas.openxmlformats.org/officeDocument/2006/relationships/hyperlink" Target="http://www.ehackingnews.com/2011/12/hackers-compromised-38-million-chinese.html" TargetMode="External"/><Relationship Id="rId314" Type="http://schemas.openxmlformats.org/officeDocument/2006/relationships/hyperlink" Target="https://www.nytimes.com/2011/12/26/technology/hackers-breach-the-web-site-of-stratfor-global-intelligence.html?ref=technology&amp;mtrref=bits.blogs.nytimes.com&amp;gwh=A41315BCE5C521B2A0D451BEFF0886E9&amp;gwt=pay" TargetMode="External"/><Relationship Id="rId313" Type="http://schemas.openxmlformats.org/officeDocument/2006/relationships/hyperlink" Target="https://www.zdnet.com/article/university-of-wisconsin-hacked-75000-social-security-numbers-student-names-exposed/" TargetMode="External"/><Relationship Id="rId319" Type="http://schemas.openxmlformats.org/officeDocument/2006/relationships/hyperlink" Target="https://venturebeat.com/2011/06/13/lulzsec-bethesda-hack/" TargetMode="External"/><Relationship Id="rId318" Type="http://schemas.openxmlformats.org/officeDocument/2006/relationships/hyperlink" Target="http://www.pcmag.com/article2/0,2817,2387186,00.asp" TargetMode="External"/><Relationship Id="rId317" Type="http://schemas.openxmlformats.org/officeDocument/2006/relationships/hyperlink" Target="http://writerspace.com" TargetMode="External"/><Relationship Id="rId312" Type="http://schemas.openxmlformats.org/officeDocument/2006/relationships/hyperlink" Target="http://www.pcmag.com/article2/0,2817,2390683,00.asp" TargetMode="External"/><Relationship Id="rId311" Type="http://schemas.openxmlformats.org/officeDocument/2006/relationships/hyperlink" Target="https://blog.playstation.com/archive/2011/04/28/playstation-network-and-qriocity-outage-faq/" TargetMode="External"/><Relationship Id="rId310" Type="http://schemas.openxmlformats.org/officeDocument/2006/relationships/hyperlink" Target="https://www.theguardian.com/technology/2011/apr/04/epsilon-email-hack"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www.forbes.com/sites/andygreenberg/2012/07/23/eight-million-passwords-spilled-from-gaming-site-gamigo-months-after-breach/" TargetMode="External"/><Relationship Id="rId2" Type="http://schemas.openxmlformats.org/officeDocument/2006/relationships/hyperlink" Target="http://www.reuters.com/article/2015/10/02/us-tmobile-dataprotection-idUSKCN0RV5PL20151002" TargetMode="External"/><Relationship Id="rId3" Type="http://schemas.openxmlformats.org/officeDocument/2006/relationships/hyperlink" Target="http://www.theguardian.com/technology/2015/aug/10/carphone-warehouse-uk-data-watchdog-investigating-customer-hack" TargetMode="External"/><Relationship Id="rId4" Type="http://schemas.openxmlformats.org/officeDocument/2006/relationships/hyperlink" Target="http://ashleymadison.com" TargetMode="External"/><Relationship Id="rId9" Type="http://schemas.openxmlformats.org/officeDocument/2006/relationships/hyperlink" Target="http://krebsonsecurity.com/2015/05/mobile-spy-software-maker-mspy-hacked-customer-data-leaked/" TargetMode="External"/><Relationship Id="rId5" Type="http://schemas.openxmlformats.org/officeDocument/2006/relationships/hyperlink" Target="http://krebsonsecurity.com/2015/07/online-cheating-site-ashleymadison-hacked/" TargetMode="External"/><Relationship Id="rId6" Type="http://schemas.openxmlformats.org/officeDocument/2006/relationships/hyperlink" Target="http://www.bbc.co.uk/news/world-us-canada-33120405" TargetMode="External"/><Relationship Id="rId7" Type="http://schemas.openxmlformats.org/officeDocument/2006/relationships/hyperlink" Target="http://money.cnn.com/2015/05/26/pf/taxes/irs-website-data-hack/index.html" TargetMode="External"/><Relationship Id="rId8" Type="http://schemas.openxmlformats.org/officeDocument/2006/relationships/hyperlink" Target="http://www.channel4.com/news/adult-friendfinder-dating-hack-internet-dark-web" TargetMode="External"/><Relationship Id="rId40" Type="http://schemas.openxmlformats.org/officeDocument/2006/relationships/hyperlink" Target="http://blog.trendmicro.com/trendlabs-security-intelligence/55m-registered-voters-risk-philippine-commission-elections-hacked/" TargetMode="External"/><Relationship Id="rId42" Type="http://schemas.openxmlformats.org/officeDocument/2006/relationships/hyperlink" Target="https://motherboard.vice.com/read/hackers-stole-68-million-passwords-from-tumblr-new-analysis-reveals" TargetMode="External"/><Relationship Id="rId41" Type="http://schemas.openxmlformats.org/officeDocument/2006/relationships/hyperlink" Target="http://www.shareconference.net/en/defense/personal-data-more-5-million-citizens-serbia-unlawfully-published" TargetMode="External"/><Relationship Id="rId44" Type="http://schemas.openxmlformats.org/officeDocument/2006/relationships/hyperlink" Target="http://money.cnn.com/2016/05/19/technology/linkedin-hack/" TargetMode="External"/><Relationship Id="rId43" Type="http://schemas.openxmlformats.org/officeDocument/2006/relationships/hyperlink" Target="http://motherboard.vice.com/read/427-million-myspace-passwords-emails-data-breach" TargetMode="External"/><Relationship Id="rId46" Type="http://schemas.openxmlformats.org/officeDocument/2006/relationships/hyperlink" Target="http://motherboard.vice.com/read/another-day-another-hack-100-million-accounts-for-vk-russias-facebook" TargetMode="External"/><Relationship Id="rId45" Type="http://schemas.openxmlformats.org/officeDocument/2006/relationships/hyperlink" Target="http://www.infoworld.com/article/2615754/cyber-crime/south-carolina-reveals-massive-data-breach-of-social-security-numbers--credit-cards.html" TargetMode="External"/><Relationship Id="rId48" Type="http://schemas.openxmlformats.org/officeDocument/2006/relationships/hyperlink" Target="https://torrentfreak.com/utorrent-forums-hacked-passwords-compromised-160608/" TargetMode="External"/><Relationship Id="rId47" Type="http://schemas.openxmlformats.org/officeDocument/2006/relationships/hyperlink" Target="http://techcrunch.com/2016/06/08/twitter-hack/" TargetMode="External"/><Relationship Id="rId49" Type="http://schemas.openxmlformats.org/officeDocument/2006/relationships/hyperlink" Target="http://www.bbc.co.uk/news/world-europe-36645519" TargetMode="External"/><Relationship Id="rId31" Type="http://schemas.openxmlformats.org/officeDocument/2006/relationships/hyperlink" Target="http://www.forbes.com/sites/katevinton/2015/03/17/11-million-customers-medical-and-financial-data-may-have-been-exposed-in-premera-blue-cross-breach/" TargetMode="External"/><Relationship Id="rId30" Type="http://schemas.openxmlformats.org/officeDocument/2006/relationships/hyperlink" Target="http://www.latimes.com/business/hiltzik/la-fi-mh-anthem-is-warning-consumers-20150306-column.html" TargetMode="External"/><Relationship Id="rId33" Type="http://schemas.openxmlformats.org/officeDocument/2006/relationships/hyperlink" Target="http://code.org" TargetMode="External"/><Relationship Id="rId32" Type="http://schemas.openxmlformats.org/officeDocument/2006/relationships/hyperlink" Target="http://techcrunch.com/2016/02/29/snapchat-employee-data-leaks-out-following-phishing-attack/" TargetMode="External"/><Relationship Id="rId35" Type="http://schemas.openxmlformats.org/officeDocument/2006/relationships/hyperlink" Target="http://arstechnica.com/security/2016/03/after-verizon-breach-1-5-million-customer-records-put-up-for-sale/" TargetMode="External"/><Relationship Id="rId34" Type="http://schemas.openxmlformats.org/officeDocument/2006/relationships/hyperlink" Target="http://blog.code.org/post/140938173013/some-volunteer-email-addresses-compromised" TargetMode="External"/><Relationship Id="rId37" Type="http://schemas.openxmlformats.org/officeDocument/2006/relationships/hyperlink" Target="http://www.businessinsider.com/turkish-citizenship-database-allegedly-hacked-and-leaked-2016-4?r=UK&amp;IR=T" TargetMode="External"/><Relationship Id="rId36" Type="http://schemas.openxmlformats.org/officeDocument/2006/relationships/hyperlink" Target="http://panamapapers.sueddeutsche.de/articles/56febff0a1bb8d3c3495adf4/" TargetMode="External"/><Relationship Id="rId39" Type="http://schemas.openxmlformats.org/officeDocument/2006/relationships/hyperlink" Target="http://news.softpedia.com/news/syrian-government-hacked-43-gb-of-data-spilled-online-by-hacktivists-502765.shtml" TargetMode="External"/><Relationship Id="rId38" Type="http://schemas.openxmlformats.org/officeDocument/2006/relationships/hyperlink" Target="https://thestack.com/security/2016/04/08/childbirth-charity-hack-leaks-15000-expectant-parents-data/" TargetMode="External"/><Relationship Id="rId20" Type="http://schemas.openxmlformats.org/officeDocument/2006/relationships/hyperlink" Target="http://www.theguardian.com/business/2015/oct/22/talktalk-customer-data-hackers-website-credit-card-details-attack" TargetMode="External"/><Relationship Id="rId22" Type="http://schemas.openxmlformats.org/officeDocument/2006/relationships/hyperlink" Target="http://www.dailydot.com/politics/invest-bank-hacker-buba/" TargetMode="External"/><Relationship Id="rId21" Type="http://schemas.openxmlformats.org/officeDocument/2006/relationships/hyperlink" Target="https://theintercept.com/2015/11/11/securus-hack-prison-phone-company-exposes-thousands-of-calls-lawyers-and-clients/" TargetMode="External"/><Relationship Id="rId24" Type="http://schemas.openxmlformats.org/officeDocument/2006/relationships/hyperlink" Target="https://www.reddit.com/r/apple/comments/3wq9fc/massive_data_breach/" TargetMode="External"/><Relationship Id="rId23" Type="http://schemas.openxmlformats.org/officeDocument/2006/relationships/hyperlink" Target="https://thestack.com/security/2015/12/15/mackeeper-discloses-13-million-mac-users-details-with-poor-hash-protection/" TargetMode="External"/><Relationship Id="rId26" Type="http://schemas.openxmlformats.org/officeDocument/2006/relationships/hyperlink" Target="http://www.troyhunt.com/2015/11/when-children-are-breached-inside.html" TargetMode="External"/><Relationship Id="rId25" Type="http://schemas.openxmlformats.org/officeDocument/2006/relationships/hyperlink" Target="http://www.theguardian.com/technology/2015/dec/02/vtech-hack-us-hong-kong-investigate-children-exposed" TargetMode="External"/><Relationship Id="rId28" Type="http://schemas.openxmlformats.org/officeDocument/2006/relationships/hyperlink" Target="http://uk.reuters.com/article/us-usa-voters-breach-idUKKBN0UB1E020151229" TargetMode="External"/><Relationship Id="rId27" Type="http://schemas.openxmlformats.org/officeDocument/2006/relationships/hyperlink" Target="http://www.csoonline.com/article/3017171/security/database-leak-exposes-3-3-million-hello-kitty-fans.html" TargetMode="External"/><Relationship Id="rId29" Type="http://schemas.openxmlformats.org/officeDocument/2006/relationships/hyperlink" Target="http://www.csoonline.com/article/3020112/security/time-warner-cable-to-contact-320-000-to-warn-of-possible-compromise.html" TargetMode="External"/><Relationship Id="rId11" Type="http://schemas.openxmlformats.org/officeDocument/2006/relationships/hyperlink" Target="http://www.theguardian.com/business/2015/mar/29/british-airways-frequent-flyer-accounts-hacked" TargetMode="External"/><Relationship Id="rId10" Type="http://schemas.openxmlformats.org/officeDocument/2006/relationships/hyperlink" Target="http://www.theguardian.com/world/2015/mar/30/personal-details-of-world-leaders-accidentally-revealed-by-g20-organisers" TargetMode="External"/><Relationship Id="rId13" Type="http://schemas.openxmlformats.org/officeDocument/2006/relationships/hyperlink" Target="http://www.buzzfeed.com/tomgara/sony-hack" TargetMode="External"/><Relationship Id="rId12" Type="http://schemas.openxmlformats.org/officeDocument/2006/relationships/hyperlink" Target="http://www.wired.co.uk/news/archive/2013-11/13/mac-rumours-forums-hacked" TargetMode="External"/><Relationship Id="rId15" Type="http://schemas.openxmlformats.org/officeDocument/2006/relationships/hyperlink" Target="http://www.nytimes.com/2014/08/06/technology/russian-gang-said-to-amass-more-than-a-billion-stolen-internet-credentials.html?_r=0" TargetMode="External"/><Relationship Id="rId14" Type="http://schemas.openxmlformats.org/officeDocument/2006/relationships/hyperlink" Target="https://krebsonsecurity.com/2014/06/banks-credit-card-breach-at-p-f-changs/" TargetMode="External"/><Relationship Id="rId17" Type="http://schemas.openxmlformats.org/officeDocument/2006/relationships/hyperlink" Target="http://www.theguardian.com/technology/2015/jul/06/hacking-team-hacked-firm-sold-spying-tools-to-repressive-regimes-documents-claim" TargetMode="External"/><Relationship Id="rId16" Type="http://schemas.openxmlformats.org/officeDocument/2006/relationships/hyperlink" Target="http://www.forbes.com/sites/katevinton/2015/06/15/password-manager-lastpass-hacked-exposing-encrypted-master-passwords/" TargetMode="External"/><Relationship Id="rId19" Type="http://schemas.openxmlformats.org/officeDocument/2006/relationships/hyperlink" Target="http://www.bbc.co.uk/news/uk-34611857" TargetMode="External"/><Relationship Id="rId18" Type="http://schemas.openxmlformats.org/officeDocument/2006/relationships/hyperlink" Target="http://www.bbc.co.uk/news/uk-34784980" TargetMode="External"/><Relationship Id="rId51" Type="http://schemas.openxmlformats.org/officeDocument/2006/relationships/hyperlink" Target="http://abcnews.go.com/Technology/wireStory/wendys-1000-restaurants-affected-hack-40407208" TargetMode="External"/><Relationship Id="rId50" Type="http://schemas.openxmlformats.org/officeDocument/2006/relationships/hyperlink" Target="https://thestack.com/security/2016/06/29/2-million-person-terror-database-leaked-online/" TargetMode="External"/><Relationship Id="rId5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www.informationweek.co.uk/security/client/dropbox-admits-hack-adds-more-security-f/240004697" TargetMode="External"/><Relationship Id="rId2" Type="http://schemas.openxmlformats.org/officeDocument/2006/relationships/hyperlink" Target="http://www.forbes.com/sites/andygreenberg/2012/07/23/eight-million-passwords-spilled-from-gaming-site-gamigo-months-after-breach/" TargetMode="External"/><Relationship Id="rId3" Type="http://schemas.openxmlformats.org/officeDocument/2006/relationships/hyperlink" Target="http://www.rawstory.com/rs/2012/04/26/texas-attorney-general-exposes-millions-of-voters-social-security-numbers/" TargetMode="External"/><Relationship Id="rId4" Type="http://schemas.openxmlformats.org/officeDocument/2006/relationships/hyperlink" Target="http://www.forbes.com/sites/andygreenberg/2012/01/15/zappos-says-hackers-accessed-24-million-customers-account-details/" TargetMode="External"/><Relationship Id="rId9" Type="http://schemas.openxmlformats.org/officeDocument/2006/relationships/hyperlink" Target="https://www.wikileaks.org/plusd/about/" TargetMode="External"/><Relationship Id="rId5" Type="http://schemas.openxmlformats.org/officeDocument/2006/relationships/hyperlink" Target="http://www.bbc.co.uk/news/technology-15690187" TargetMode="External"/><Relationship Id="rId6" Type="http://schemas.openxmlformats.org/officeDocument/2006/relationships/hyperlink" Target="http://latimesblogs.latimes.com/money_co/2011/09/man-convicted-in-huge-countrywide-data-theft-gets-8-months-in-prison.html" TargetMode="External"/><Relationship Id="rId7" Type="http://schemas.openxmlformats.org/officeDocument/2006/relationships/hyperlink" Target="http://www.pcworld.com/article/135117/article.html" TargetMode="External"/><Relationship Id="rId8" Type="http://schemas.openxmlformats.org/officeDocument/2006/relationships/hyperlink" Target="http://wikileaks.org/cablegate.html" TargetMode="External"/><Relationship Id="rId20" Type="http://schemas.openxmlformats.org/officeDocument/2006/relationships/drawing" Target="../drawings/drawing12.xml"/><Relationship Id="rId11" Type="http://schemas.openxmlformats.org/officeDocument/2006/relationships/hyperlink" Target="http://www.telegraph.co.uk/news/newstopics/mps-expenses/6229051/MPs-expenses-leaked-over-failure-to-equip-troops-on-front-line-in-Afghanistan-and-Iraq.html" TargetMode="External"/><Relationship Id="rId10" Type="http://schemas.openxmlformats.org/officeDocument/2006/relationships/hyperlink" Target="http://www.forbes.com/sites/andygreenberg/2010/10/22/wikileaks-reveals-the-biggest-classified-data-breach-in-history/" TargetMode="External"/><Relationship Id="rId13" Type="http://schemas.openxmlformats.org/officeDocument/2006/relationships/hyperlink" Target="http://www.zdnet.com/blog/security/chinese-hacker-arrested-for-leaking-6-million-logins/11064" TargetMode="External"/><Relationship Id="rId12" Type="http://schemas.openxmlformats.org/officeDocument/2006/relationships/hyperlink" Target="http://news.bbc.co.uk/1/hi/uk_politics/7147715.stm" TargetMode="External"/><Relationship Id="rId15" Type="http://schemas.openxmlformats.org/officeDocument/2006/relationships/hyperlink" Target="http://www.ehackingnews.com/2011/12/hackers-compromised-38-million-chinese.html" TargetMode="External"/><Relationship Id="rId14" Type="http://schemas.openxmlformats.org/officeDocument/2006/relationships/hyperlink" Target="http://178.com" TargetMode="External"/><Relationship Id="rId17" Type="http://schemas.openxmlformats.org/officeDocument/2006/relationships/hyperlink" Target="http://www.reuters.com/article/2011/11/26/us-korea-hacking-nexon-idUSTRE7AP09H20111126" TargetMode="External"/><Relationship Id="rId16" Type="http://schemas.openxmlformats.org/officeDocument/2006/relationships/hyperlink" Target="http://www.scmagazine.com.au/News/349585,28-million-clear-text-passwords-found-after-tianya65279-hack.aspx" TargetMode="External"/><Relationship Id="rId19" Type="http://schemas.openxmlformats.org/officeDocument/2006/relationships/hyperlink" Target="http://www.nbcnews.com/id/7561268/" TargetMode="External"/><Relationship Id="rId18" Type="http://schemas.openxmlformats.org/officeDocument/2006/relationships/hyperlink" Target="http://www.privacyrights.org/data-breach%20%20/tools/www.youtube.com?page=0%2C0%2C0%2C0%2C0%2C0%2C0%2C0%2C0%2C0%2C5&amp;order=field_breach_total_value&amp;sort=desc&amp;title=" TargetMode="External"/></Relationships>
</file>

<file path=xl/worksheets/_rels/sheet13.xml.rels><?xml version="1.0" encoding="UTF-8" standalone="yes"?><Relationships xmlns="http://schemas.openxmlformats.org/package/2006/relationships"><Relationship Id="rId190" Type="http://schemas.openxmlformats.org/officeDocument/2006/relationships/hyperlink" Target="http://www.informationweek.co.uk/security/client/dropbox-admits-hack-adds-more-security-f/240004697" TargetMode="External"/><Relationship Id="rId194" Type="http://schemas.openxmlformats.org/officeDocument/2006/relationships/hyperlink" Target="http://www.computerweekly.com/news/2240086906/Insolvency-Service-suffers-another-government-data-loss" TargetMode="External"/><Relationship Id="rId193" Type="http://schemas.openxmlformats.org/officeDocument/2006/relationships/hyperlink" Target="http://news.bbc.co.uk/1/hi/england/gloucestershire/7639006.stm" TargetMode="External"/><Relationship Id="rId192" Type="http://schemas.openxmlformats.org/officeDocument/2006/relationships/hyperlink" Target="http://news.bbc.co.uk/1/hi/uk_politics/7667507.stm" TargetMode="External"/><Relationship Id="rId191" Type="http://schemas.openxmlformats.org/officeDocument/2006/relationships/hyperlink" Target="http://news.cnet.com/Laptop-with-HP-employee-data-stolen/2100-7348_3-6052964.html" TargetMode="External"/><Relationship Id="rId187" Type="http://schemas.openxmlformats.org/officeDocument/2006/relationships/hyperlink" Target="http://www.guelphmercury.com/news-story/2200845-honda-canada-hit-by-online-security-breach-283-000-car-owners-personal-data-stolen/" TargetMode="External"/><Relationship Id="rId186" Type="http://schemas.openxmlformats.org/officeDocument/2006/relationships/hyperlink" Target="http://www.msnbc.msn.com/id/8985989/" TargetMode="External"/><Relationship Id="rId185" Type="http://schemas.openxmlformats.org/officeDocument/2006/relationships/hyperlink" Target="http://money.cnn.com/2004/06/23/technology/aol_spam/" TargetMode="External"/><Relationship Id="rId184" Type="http://schemas.openxmlformats.org/officeDocument/2006/relationships/hyperlink" Target="http://abcnews.go.com/Technology/story?id=2160425&amp;page=1" TargetMode="External"/><Relationship Id="rId189" Type="http://schemas.openxmlformats.org/officeDocument/2006/relationships/hyperlink" Target="http://status.ovh.net/?do=details&amp;id=5070" TargetMode="External"/><Relationship Id="rId188" Type="http://schemas.openxmlformats.org/officeDocument/2006/relationships/hyperlink" Target="http://news.softpedia.com/news/Citi-Exposes-Details-of-150-000-Individuals-Who-Went-into-Bankruptcy-369979.shtml" TargetMode="External"/><Relationship Id="rId183" Type="http://schemas.openxmlformats.org/officeDocument/2006/relationships/hyperlink" Target="http://www.forbes.com/forbes/2008/0630/030.html" TargetMode="External"/><Relationship Id="rId182" Type="http://schemas.openxmlformats.org/officeDocument/2006/relationships/hyperlink" Target="http://www.nytimes.com/2005/06/07/business/07data.html?pagewanted=all&amp;_moc.semityn.www" TargetMode="External"/><Relationship Id="rId181" Type="http://schemas.openxmlformats.org/officeDocument/2006/relationships/hyperlink" Target="http://www.forbes.com/forbes/2008/0630/030.html" TargetMode="External"/><Relationship Id="rId180" Type="http://schemas.openxmlformats.org/officeDocument/2006/relationships/hyperlink" Target="http://www.msnbc.msn.com/id/8260050/ns/technology_and_science-security/t/million-credit-cards-exposed/" TargetMode="External"/><Relationship Id="rId176" Type="http://schemas.openxmlformats.org/officeDocument/2006/relationships/hyperlink" Target="http://www.forbes.com/forbes/2008/0630/030.html" TargetMode="External"/><Relationship Id="rId175" Type="http://schemas.openxmlformats.org/officeDocument/2006/relationships/hyperlink" Target="http://www.forbes.com/forbes/2008/0630/030.html" TargetMode="External"/><Relationship Id="rId174" Type="http://schemas.openxmlformats.org/officeDocument/2006/relationships/hyperlink" Target="http://gcn.com/Articles/2009/02/02/VA-data-breach-suit-settlement.aspx" TargetMode="External"/><Relationship Id="rId173" Type="http://schemas.openxmlformats.org/officeDocument/2006/relationships/hyperlink" Target="http://www.idtheftcenter.org/" TargetMode="External"/><Relationship Id="rId179" Type="http://schemas.openxmlformats.org/officeDocument/2006/relationships/hyperlink" Target="http://techcrunch.com/2006/08/06/aol-proudly-releases-massive-amounts-of-user-search-data/" TargetMode="External"/><Relationship Id="rId178" Type="http://schemas.openxmlformats.org/officeDocument/2006/relationships/hyperlink" Target="http://www.informationweek.com/security/attacks/t-mobile-lost-17-million-subscribers-per/210700232" TargetMode="External"/><Relationship Id="rId177" Type="http://schemas.openxmlformats.org/officeDocument/2006/relationships/hyperlink" Target="http://datalossdb.org" TargetMode="External"/><Relationship Id="rId198" Type="http://schemas.openxmlformats.org/officeDocument/2006/relationships/hyperlink" Target="http://www.telegraph.co.uk/news/politics/1574687/Governments-record-year-of-data-loss.html" TargetMode="External"/><Relationship Id="rId197" Type="http://schemas.openxmlformats.org/officeDocument/2006/relationships/hyperlink" Target="http://www.computerweekly.com/news/2240086627/Hospital-sacks-senior-manager-over-stolen-laptop" TargetMode="External"/><Relationship Id="rId196" Type="http://schemas.openxmlformats.org/officeDocument/2006/relationships/hyperlink" Target="http://en.wikipedia.org/wiki/List_of_UK_government_data_losses" TargetMode="External"/><Relationship Id="rId195" Type="http://schemas.openxmlformats.org/officeDocument/2006/relationships/hyperlink" Target="http://news.bbc.co.uk/1/hi/england/7619177.stm" TargetMode="External"/><Relationship Id="rId199" Type="http://schemas.openxmlformats.org/officeDocument/2006/relationships/hyperlink" Target="http://www.telegraph.co.uk/news/politics/1574687/Governments-record-year-of-data-loss.html" TargetMode="External"/><Relationship Id="rId150" Type="http://schemas.openxmlformats.org/officeDocument/2006/relationships/hyperlink" Target="http://news.bbc.co.uk/2/hi/americas/7395295.stm" TargetMode="External"/><Relationship Id="rId1" Type="http://schemas.openxmlformats.org/officeDocument/2006/relationships/hyperlink" Target="http://www.hhs.gov/ocr/privacy/hipaa/administrative/breachnotificationrule/breachtool.html" TargetMode="External"/><Relationship Id="rId2" Type="http://schemas.openxmlformats.org/officeDocument/2006/relationships/hyperlink" Target="http://healthitsecurity.com/2013/05/20/tucson-patients-data-exposed-hhs-breach-tool-updated/" TargetMode="External"/><Relationship Id="rId3" Type="http://schemas.openxmlformats.org/officeDocument/2006/relationships/hyperlink" Target="http://www.hhs.gov/ocr/privacy/hipaa/administrative/breachnotificationrule/breachtool.html" TargetMode="External"/><Relationship Id="rId149" Type="http://schemas.openxmlformats.org/officeDocument/2006/relationships/hyperlink" Target="http://www.forbes.com/forbes/2008/0630/030.html" TargetMode="External"/><Relationship Id="rId4" Type="http://schemas.openxmlformats.org/officeDocument/2006/relationships/hyperlink" Target="http://healthitsecurity.com/2013/05/07/x-ray-film-scam-exposes-17k-patients-to-possible-data-breach/" TargetMode="External"/><Relationship Id="rId148" Type="http://schemas.openxmlformats.org/officeDocument/2006/relationships/hyperlink" Target="http://www.idtheftcenter.org/" TargetMode="External"/><Relationship Id="rId9" Type="http://schemas.openxmlformats.org/officeDocument/2006/relationships/hyperlink" Target="http://www.privacyrights.org/data-breach" TargetMode="External"/><Relationship Id="rId143" Type="http://schemas.openxmlformats.org/officeDocument/2006/relationships/hyperlink" Target="http://www.idtheftcenter.org/" TargetMode="External"/><Relationship Id="rId142" Type="http://schemas.openxmlformats.org/officeDocument/2006/relationships/hyperlink" Target="http://www.idtheftcenter.org/" TargetMode="External"/><Relationship Id="rId141" Type="http://schemas.openxmlformats.org/officeDocument/2006/relationships/hyperlink" Target="http://www.sfgate.com/bayarea/article/Stanford-employees-data-on-stolen-laptop-3281185.php" TargetMode="External"/><Relationship Id="rId140" Type="http://schemas.openxmlformats.org/officeDocument/2006/relationships/hyperlink" Target="http://www.idtheftcenter.org/" TargetMode="External"/><Relationship Id="rId5" Type="http://schemas.openxmlformats.org/officeDocument/2006/relationships/hyperlink" Target="http://www.hhs.gov/ocr/privacy/hipaa/administrative/breachnotificationrule/breachtool.html" TargetMode="External"/><Relationship Id="rId147" Type="http://schemas.openxmlformats.org/officeDocument/2006/relationships/hyperlink" Target="http://www.wctv.tv/news/headlines/28132494.html?storySection=comments" TargetMode="External"/><Relationship Id="rId6" Type="http://schemas.openxmlformats.org/officeDocument/2006/relationships/hyperlink" Target="http://www.beckershospitalreview.com/healthcare-information-technology/united-homecare-services-data-breach-could-affect-more-than-13000-patients.html" TargetMode="External"/><Relationship Id="rId146" Type="http://schemas.openxmlformats.org/officeDocument/2006/relationships/hyperlink" Target="http://www.idtheftcenter.org/" TargetMode="External"/><Relationship Id="rId7" Type="http://schemas.openxmlformats.org/officeDocument/2006/relationships/hyperlink" Target="http://www.hhs.gov/ocr/privacy/hipaa/administrative/breachnotificationrule/breachtool.html" TargetMode="External"/><Relationship Id="rId145" Type="http://schemas.openxmlformats.org/officeDocument/2006/relationships/hyperlink" Target="http://english.donga.com/srv/service.php3?biid=2008090631088" TargetMode="External"/><Relationship Id="rId8" Type="http://schemas.openxmlformats.org/officeDocument/2006/relationships/hyperlink" Target="http://seclists.org/dataloss/2013/q2/94" TargetMode="External"/><Relationship Id="rId144" Type="http://schemas.openxmlformats.org/officeDocument/2006/relationships/hyperlink" Target="http://datalossdb.org" TargetMode="External"/><Relationship Id="rId139" Type="http://schemas.openxmlformats.org/officeDocument/2006/relationships/hyperlink" Target="http://techcrunch.com/2009/12/14/rockyou-hack-security-myspace-facebook-passwords/" TargetMode="External"/><Relationship Id="rId138" Type="http://schemas.openxmlformats.org/officeDocument/2006/relationships/hyperlink" Target="http://voices.washingtonpost.com/securityfix/2009/07/network_solutions_hack_comprom.html" TargetMode="External"/><Relationship Id="rId137" Type="http://schemas.openxmlformats.org/officeDocument/2006/relationships/hyperlink" Target="http://www.computerworld.com/s/article/9175783/Network_Solutions_sites_hacked_again" TargetMode="External"/><Relationship Id="rId132" Type="http://schemas.openxmlformats.org/officeDocument/2006/relationships/hyperlink" Target="http://www.hhs.gov/ocr/privacy/hipaa/administrative/breachnotificationrule/breachtool.html" TargetMode="External"/><Relationship Id="rId131" Type="http://schemas.openxmlformats.org/officeDocument/2006/relationships/hyperlink" Target="http://www.governmentsecurity.org/latest-security-news/laptop-theft-exposes-private-info-of-avmed-health-plansaapos-customers.html" TargetMode="External"/><Relationship Id="rId130" Type="http://schemas.openxmlformats.org/officeDocument/2006/relationships/hyperlink" Target="http://www.idtheftcenter.org/" TargetMode="External"/><Relationship Id="rId136" Type="http://schemas.openxmlformats.org/officeDocument/2006/relationships/hyperlink" Target="http://www.idtheftcenter.org/" TargetMode="External"/><Relationship Id="rId135" Type="http://schemas.openxmlformats.org/officeDocument/2006/relationships/hyperlink" Target="http://www.idtheftcenter.org/" TargetMode="External"/><Relationship Id="rId134" Type="http://schemas.openxmlformats.org/officeDocument/2006/relationships/hyperlink" Target="http://www.wired.com/threatlevel/2009/10/probe-targets-archives-handling-of-data-on-70-million-vets/" TargetMode="External"/><Relationship Id="rId133" Type="http://schemas.openxmlformats.org/officeDocument/2006/relationships/hyperlink" Target="http://www.idtheftcenter.org/" TargetMode="External"/><Relationship Id="rId172" Type="http://schemas.openxmlformats.org/officeDocument/2006/relationships/hyperlink" Target="http://news.bbc.co.uk/1/hi/6956349.stm" TargetMode="External"/><Relationship Id="rId171" Type="http://schemas.openxmlformats.org/officeDocument/2006/relationships/hyperlink" Target="http://monster.com" TargetMode="External"/><Relationship Id="rId170" Type="http://schemas.openxmlformats.org/officeDocument/2006/relationships/hyperlink" Target="http://www.pcworld.com/article/137865/article.html" TargetMode="External"/><Relationship Id="rId165" Type="http://schemas.openxmlformats.org/officeDocument/2006/relationships/hyperlink" Target="http://www.forbes.com/forbes/2008/0630/030.html" TargetMode="External"/><Relationship Id="rId164" Type="http://schemas.openxmlformats.org/officeDocument/2006/relationships/hyperlink" Target="http://news.bbc.co.uk/2/hi/uk_news/7103911.stm" TargetMode="External"/><Relationship Id="rId163" Type="http://schemas.openxmlformats.org/officeDocument/2006/relationships/hyperlink" Target="http://www.idtheftcenter.org/" TargetMode="External"/><Relationship Id="rId162" Type="http://schemas.openxmlformats.org/officeDocument/2006/relationships/hyperlink" Target="http://www.computerworld.com/s/article/9072198/Programmer_who_stole_drive_containing_1_million_bank_records_gets_42_months" TargetMode="External"/><Relationship Id="rId169" Type="http://schemas.openxmlformats.org/officeDocument/2006/relationships/hyperlink" Target="http://www.forbes.com/forbes/2008/0630/030.html" TargetMode="External"/><Relationship Id="rId168" Type="http://schemas.openxmlformats.org/officeDocument/2006/relationships/hyperlink" Target="http://www.msnbc.msn.com/id/17871485/ns/technology_and_science-security/t/tj-maxx-theft-believed-largest-hack-ever/" TargetMode="External"/><Relationship Id="rId167" Type="http://schemas.openxmlformats.org/officeDocument/2006/relationships/hyperlink" Target="http://www.forbes.com/forbes/2008/0630/030.html" TargetMode="External"/><Relationship Id="rId166" Type="http://schemas.openxmlformats.org/officeDocument/2006/relationships/hyperlink" Target="http://www.idtheftcenter.org/" TargetMode="External"/><Relationship Id="rId161" Type="http://schemas.openxmlformats.org/officeDocument/2006/relationships/hyperlink" Target="http://www.idtheftcenter.org/" TargetMode="External"/><Relationship Id="rId160" Type="http://schemas.openxmlformats.org/officeDocument/2006/relationships/hyperlink" Target="http://www.wired.com/threatlevel/2008/07/ameritrade-hack/" TargetMode="External"/><Relationship Id="rId159" Type="http://schemas.openxmlformats.org/officeDocument/2006/relationships/hyperlink" Target="http://www.darkreading.com/security/perimeter-security/211201111/hacker-steals-data-on-18m-auction-customers-in-south-korea.html" TargetMode="External"/><Relationship Id="rId154" Type="http://schemas.openxmlformats.org/officeDocument/2006/relationships/hyperlink" Target="http://infowatch.com/node/1289" TargetMode="External"/><Relationship Id="rId153" Type="http://schemas.openxmlformats.org/officeDocument/2006/relationships/hyperlink" Target="http://www.journal-news.net/page/content.detail/id/511806.html?nav=5006" TargetMode="External"/><Relationship Id="rId152" Type="http://schemas.openxmlformats.org/officeDocument/2006/relationships/hyperlink" Target="http://www.idtheftcenter.org/" TargetMode="External"/><Relationship Id="rId151" Type="http://schemas.openxmlformats.org/officeDocument/2006/relationships/hyperlink" Target="http://www.geek.com/articles/news/government-servers-in-chile-hacked-6-million-personal-records-made-public-20080514/" TargetMode="External"/><Relationship Id="rId158" Type="http://schemas.openxmlformats.org/officeDocument/2006/relationships/hyperlink" Target="http://auction.co.kr" TargetMode="External"/><Relationship Id="rId157" Type="http://schemas.openxmlformats.org/officeDocument/2006/relationships/hyperlink" Target="http://www.idtheftcenter.org/artman2/publish/lib_survey/ITRC_2008_Breach_List.shtml" TargetMode="External"/><Relationship Id="rId156" Type="http://schemas.openxmlformats.org/officeDocument/2006/relationships/hyperlink" Target="http://privacyblog.littler.com/2011/01/articles/identity-theft/after-starbucks-laptop-is-stolen-alleged-victims-of-identity-theft-win-pyrrhic-victory/" TargetMode="External"/><Relationship Id="rId155" Type="http://schemas.openxmlformats.org/officeDocument/2006/relationships/hyperlink" Target="http://www.idtheftcenter.org/" TargetMode="External"/><Relationship Id="rId40" Type="http://schemas.openxmlformats.org/officeDocument/2006/relationships/hyperlink" Target="http://www.thestate.com/2012/04/20/2241321/personal-information-of-more-than.html" TargetMode="External"/><Relationship Id="rId42" Type="http://schemas.openxmlformats.org/officeDocument/2006/relationships/hyperlink" Target="http://www.hhs.gov/ocr/privacy/hipaa/administrative/breachnotificationrule/breachtool.html" TargetMode="External"/><Relationship Id="rId41" Type="http://schemas.openxmlformats.org/officeDocument/2006/relationships/hyperlink" Target="http://www.hhs.gov/ocr/privacy/hipaa/administrative/breachnotificationrule/breachtool.html" TargetMode="External"/><Relationship Id="rId44" Type="http://schemas.openxmlformats.org/officeDocument/2006/relationships/hyperlink" Target="http://news.cnet.com/8301-1009_3-57509595-83/udid-leak-source-idd-bluetoad-mobile-firm-says-it-was-hacked/" TargetMode="External"/><Relationship Id="rId43" Type="http://schemas.openxmlformats.org/officeDocument/2006/relationships/hyperlink" Target="http://news.cnet.com/8301-1009_3-57505330-83/antisec-claims-to-have-snatched-12m-apple-device-ids-from-fbi/" TargetMode="External"/><Relationship Id="rId46" Type="http://schemas.openxmlformats.org/officeDocument/2006/relationships/hyperlink" Target="http://www.pbs.org/newshour/rundown/2012/07/check-whether-your-yahoo-password-was-hacked.html" TargetMode="External"/><Relationship Id="rId45" Type="http://schemas.openxmlformats.org/officeDocument/2006/relationships/hyperlink" Target="http://it.slashdot.org/story/12/07/12/1243217/nearly-half-a-million-yahoo-passwords-leaked-updated?utm_source=feedburnerGoogle+Reader&amp;utm_medium=feed&amp;utm_campaign=Feed%3A+Slashdot%2Fslashdot+%28Slashdot%29&amp;utm_content=Google+Reader" TargetMode="External"/><Relationship Id="rId48" Type="http://schemas.openxmlformats.org/officeDocument/2006/relationships/hyperlink" Target="http://news.cnet.com/8301-1009_3-57482215-83/hackers-accused-of-stealing-data-from-9m-korean-mobile-users/" TargetMode="External"/><Relationship Id="rId47" Type="http://schemas.openxmlformats.org/officeDocument/2006/relationships/hyperlink" Target="http://www.koreatimes.co.kr/www/news/biz/2012/07/113_116143.html" TargetMode="External"/><Relationship Id="rId49" Type="http://schemas.openxmlformats.org/officeDocument/2006/relationships/hyperlink" Target="http://news.cnet.com/8301-1009_3-57469944-83/formspring-disables-user-passwords-in-security-breach/?tag=mncol;txt" TargetMode="External"/><Relationship Id="rId31" Type="http://schemas.openxmlformats.org/officeDocument/2006/relationships/hyperlink" Target="http://money.cnn.com/2012/03/30/technology/credit-card-data-breach/index.htm" TargetMode="External"/><Relationship Id="rId30" Type="http://schemas.openxmlformats.org/officeDocument/2006/relationships/hyperlink" Target="http://www.idtheftcenter.org/" TargetMode="External"/><Relationship Id="rId33" Type="http://schemas.openxmlformats.org/officeDocument/2006/relationships/hyperlink" Target="http://www.forbes.com/sites/erikkain/2012/08/09/its-official-blizzard-hacked-account-information-stolen/" TargetMode="External"/><Relationship Id="rId32" Type="http://schemas.openxmlformats.org/officeDocument/2006/relationships/hyperlink" Target="http://www.zdnet.com/blog/security/3-million-bank-accounts-hacked-in-iran/11577" TargetMode="External"/><Relationship Id="rId35" Type="http://schemas.openxmlformats.org/officeDocument/2006/relationships/hyperlink" Target="http://thehightechsociety.com/blizzard-battle-net-hack/" TargetMode="External"/><Relationship Id="rId34" Type="http://schemas.openxmlformats.org/officeDocument/2006/relationships/hyperlink" Target="https://us.battle.net/support/en/article/important-security-update-faq" TargetMode="External"/><Relationship Id="rId37" Type="http://schemas.openxmlformats.org/officeDocument/2006/relationships/hyperlink" Target="http://articles.businessinsider.com/2012-04-03/news/31279254_1_major-data-breach-identity-theft-office-of-privacy-protection" TargetMode="External"/><Relationship Id="rId36" Type="http://schemas.openxmlformats.org/officeDocument/2006/relationships/hyperlink" Target="http://www.idtheftcenter.org/" TargetMode="External"/><Relationship Id="rId39" Type="http://schemas.openxmlformats.org/officeDocument/2006/relationships/hyperlink" Target="http://www.sltrib.com/sltrib/news/53868568-78/health-information-medicaid-security.html.csp" TargetMode="External"/><Relationship Id="rId38" Type="http://schemas.openxmlformats.org/officeDocument/2006/relationships/hyperlink" Target="http://www.idtheftcenter.org/" TargetMode="External"/><Relationship Id="rId20" Type="http://schemas.openxmlformats.org/officeDocument/2006/relationships/hyperlink" Target="http://www.wired.co.uk/news/archive/2013-03/04/evernote-hacked" TargetMode="External"/><Relationship Id="rId22" Type="http://schemas.openxmlformats.org/officeDocument/2006/relationships/hyperlink" Target="http://www.wired.co.uk/news/archive/2013-05/22/south-africa-whistleblower-leak" TargetMode="External"/><Relationship Id="rId21" Type="http://schemas.openxmlformats.org/officeDocument/2006/relationships/hyperlink" Target="http://www.digitaltrends.com/mobile/evernote-hack-50-million-users-forced-to-reset-passwords/" TargetMode="External"/><Relationship Id="rId24" Type="http://schemas.openxmlformats.org/officeDocument/2006/relationships/hyperlink" Target="http://www.privacyrights.org/data-breach" TargetMode="External"/><Relationship Id="rId23" Type="http://schemas.openxmlformats.org/officeDocument/2006/relationships/hyperlink" Target="http://www.wired.co.uk/news/archive/2013-02/02/twitter-hacked" TargetMode="External"/><Relationship Id="rId26" Type="http://schemas.openxmlformats.org/officeDocument/2006/relationships/hyperlink" Target="http://www.privacyrights.org/data-breach" TargetMode="External"/><Relationship Id="rId25" Type="http://schemas.openxmlformats.org/officeDocument/2006/relationships/hyperlink" Target="http://www.privacyrights.org/data-breach" TargetMode="External"/><Relationship Id="rId28" Type="http://schemas.openxmlformats.org/officeDocument/2006/relationships/hyperlink" Target="http://www.idtheftcenter.org/" TargetMode="External"/><Relationship Id="rId27" Type="http://schemas.openxmlformats.org/officeDocument/2006/relationships/hyperlink" Target="http://arstechnica.com/security/2013/05/drupal-org-resets-login-credentials-after-hack-exposes-password-data/" TargetMode="External"/><Relationship Id="rId29" Type="http://schemas.openxmlformats.org/officeDocument/2006/relationships/hyperlink" Target="http://www.washingtonpost.com/business/technology/faq-the-global-payments-hack/2012/04/02/gIQAIHLLrS_story.html" TargetMode="External"/><Relationship Id="rId11" Type="http://schemas.openxmlformats.org/officeDocument/2006/relationships/hyperlink" Target="http://nakedsecurity.sophos.com/2013/04/05/scribd-worlds-largest-online-library-admits-to-network-intrusion-password-breach/" TargetMode="External"/><Relationship Id="rId10" Type="http://schemas.openxmlformats.org/officeDocument/2006/relationships/hyperlink" Target="http://www.privacyrights.org/data-breach" TargetMode="External"/><Relationship Id="rId13" Type="http://schemas.openxmlformats.org/officeDocument/2006/relationships/hyperlink" Target="http://nakedsecurity.sophos.com/2013/04/27/livingsocial-hacked-50-million-affected/" TargetMode="External"/><Relationship Id="rId12" Type="http://schemas.openxmlformats.org/officeDocument/2006/relationships/hyperlink" Target="http://www.nbcnews.com/technology/scribd-hack-exposes-thousands-users-1B9239618" TargetMode="External"/><Relationship Id="rId15" Type="http://schemas.openxmlformats.org/officeDocument/2006/relationships/hyperlink" Target="http://www.reuters.com/article/2013/05/17/us-yahoojapan-idUSBRE94G0P620130517" TargetMode="External"/><Relationship Id="rId14" Type="http://schemas.openxmlformats.org/officeDocument/2006/relationships/hyperlink" Target="http://bits.blogs.nytimes.com/2013/04/26/living-social-hack-exposes-data-for-50-million-customers/" TargetMode="External"/><Relationship Id="rId17" Type="http://schemas.openxmlformats.org/officeDocument/2006/relationships/hyperlink" Target="http://www.privacyrights.org/data-breach" TargetMode="External"/><Relationship Id="rId16" Type="http://schemas.openxmlformats.org/officeDocument/2006/relationships/hyperlink" Target="http://www.reuters.com/article/2013/05/09/us-usa-hack-washingtonstate-idUSBRE9480YY20130509" TargetMode="External"/><Relationship Id="rId19" Type="http://schemas.openxmlformats.org/officeDocument/2006/relationships/hyperlink" Target="http://www.wired.co.uk/news/archive/2013-05/23/reporter-google-breach-hacker" TargetMode="External"/><Relationship Id="rId18" Type="http://schemas.openxmlformats.org/officeDocument/2006/relationships/hyperlink" Target="http://boingboing.net/2013/05/23/terracom-and-yourtel-threaten.html" TargetMode="External"/><Relationship Id="rId84" Type="http://schemas.openxmlformats.org/officeDocument/2006/relationships/hyperlink" Target="http://www.pcmag.com/article2/0,2817,2388200,00.asp" TargetMode="External"/><Relationship Id="rId83" Type="http://schemas.openxmlformats.org/officeDocument/2006/relationships/hyperlink" Target="http://www.hhs.gov/ocr/privacy/hipaa/administrative/breachnotificationrule/breachtool.html" TargetMode="External"/><Relationship Id="rId86" Type="http://schemas.openxmlformats.org/officeDocument/2006/relationships/hyperlink" Target="http://www.idtheftcenter.org/" TargetMode="External"/><Relationship Id="rId85" Type="http://schemas.openxmlformats.org/officeDocument/2006/relationships/hyperlink" Target="http://bits.blogs.nytimes.com/2011/12/27/questions-about-motives-behind-stratfor-hack/" TargetMode="External"/><Relationship Id="rId88" Type="http://schemas.openxmlformats.org/officeDocument/2006/relationships/hyperlink" Target="http://www.idtheftcenter.org/" TargetMode="External"/><Relationship Id="rId87" Type="http://schemas.openxmlformats.org/officeDocument/2006/relationships/hyperlink" Target="http://www.idtheftcenter.org/" TargetMode="External"/><Relationship Id="rId89" Type="http://schemas.openxmlformats.org/officeDocument/2006/relationships/hyperlink" Target="http://mashable.com/2011/06/02/sony-pictures-hacked/" TargetMode="External"/><Relationship Id="rId80" Type="http://schemas.openxmlformats.org/officeDocument/2006/relationships/hyperlink" Target="http://www.simplysecurity.com/2011/11/30/sutter-health-sued-for-1-billion-following-data-breach/" TargetMode="External"/><Relationship Id="rId82" Type="http://schemas.openxmlformats.org/officeDocument/2006/relationships/hyperlink" Target="http://www.mhs.net/pdf/release071112.pdf" TargetMode="External"/><Relationship Id="rId81" Type="http://schemas.openxmlformats.org/officeDocument/2006/relationships/hyperlink" Target="http://www.hhs.gov/ocr/privacy/hipaa/administrative/breachnotificationrule/breachtool.html" TargetMode="External"/><Relationship Id="rId73" Type="http://schemas.openxmlformats.org/officeDocument/2006/relationships/hyperlink" Target="http://www.techweekeurope.co.uk/news/nhs-researchers-lose-laptop-with-8m-patients-records-31810" TargetMode="External"/><Relationship Id="rId72" Type="http://schemas.openxmlformats.org/officeDocument/2006/relationships/hyperlink" Target="http://www.hhs.gov/ocr/privacy/hipaa/administrative/breachnotificationrule/breachtool.html" TargetMode="External"/><Relationship Id="rId75" Type="http://schemas.openxmlformats.org/officeDocument/2006/relationships/hyperlink" Target="http://www.hhs.gov/ocr/privacy/hipaa/administrative/breachnotificationrule/breachtool.html" TargetMode="External"/><Relationship Id="rId74" Type="http://schemas.openxmlformats.org/officeDocument/2006/relationships/hyperlink" Target="http://www.databreaches.net/?p=19198" TargetMode="External"/><Relationship Id="rId77" Type="http://schemas.openxmlformats.org/officeDocument/2006/relationships/hyperlink" Target="http://www.hhs.gov/ocr/privacy/hipaa/administrative/breachnotificationrule/breachtool.html" TargetMode="External"/><Relationship Id="rId76" Type="http://schemas.openxmlformats.org/officeDocument/2006/relationships/hyperlink" Target="http://databreachinvestigation.blogspot.com/2011/04/thief-gets-away-with-eisenhower-medical.html" TargetMode="External"/><Relationship Id="rId79" Type="http://schemas.openxmlformats.org/officeDocument/2006/relationships/hyperlink" Target="http://www.hhs.gov/ocr/privacy/hipaa/administrative/breachnotificationrule/breachtool.html" TargetMode="External"/><Relationship Id="rId78" Type="http://schemas.openxmlformats.org/officeDocument/2006/relationships/hyperlink" Target="http://www.spartanburgregional.com/Pages/PatientNotice.aspx" TargetMode="External"/><Relationship Id="rId71" Type="http://schemas.openxmlformats.org/officeDocument/2006/relationships/hyperlink" Target="http://zerosecurity.org/technews/past-three-years-over-21m-medical-record-breaches/" TargetMode="External"/><Relationship Id="rId70" Type="http://schemas.openxmlformats.org/officeDocument/2006/relationships/hyperlink" Target="http://www.hhs.gov/ocr/privacy/hipaa/administrative/breachnotificationrule/breachtool.html" TargetMode="External"/><Relationship Id="rId62" Type="http://schemas.openxmlformats.org/officeDocument/2006/relationships/hyperlink" Target="http://mashable.com/2011/05/31/sony-playstation-services-return/" TargetMode="External"/><Relationship Id="rId61" Type="http://schemas.openxmlformats.org/officeDocument/2006/relationships/hyperlink" Target="http://www.computerworld.com/s/article/9216343/Sony_cuts_off_Sony_Online_Entertainment_service_after_hack" TargetMode="External"/><Relationship Id="rId64" Type="http://schemas.openxmlformats.org/officeDocument/2006/relationships/hyperlink" Target="http://www.idtheftcenter.org/" TargetMode="External"/><Relationship Id="rId63" Type="http://schemas.openxmlformats.org/officeDocument/2006/relationships/hyperlink" Target="http://news.cnet.com/8301-27080_3-20068386-245/sf-utilities-agency-warns-of-potential-breach/" TargetMode="External"/><Relationship Id="rId66" Type="http://schemas.openxmlformats.org/officeDocument/2006/relationships/hyperlink" Target="http://www.pcmag.com/article2/0,2817,2390683,00.asp" TargetMode="External"/><Relationship Id="rId65" Type="http://schemas.openxmlformats.org/officeDocument/2006/relationships/hyperlink" Target="http://www.informationweek.com/security/attacks/texas-data-breach-exposed-35-million-rec/229401489?queryText=Texas%20data%20leak" TargetMode="External"/><Relationship Id="rId68" Type="http://schemas.openxmlformats.org/officeDocument/2006/relationships/hyperlink" Target="http://www.idtheftcenter.org/" TargetMode="External"/><Relationship Id="rId67" Type="http://schemas.openxmlformats.org/officeDocument/2006/relationships/hyperlink" Target="http://www.idtheftcenter.org/" TargetMode="External"/><Relationship Id="rId60" Type="http://schemas.openxmlformats.org/officeDocument/2006/relationships/hyperlink" Target="http://www.zdnet.com/blog/gamification/sega-1-3-million-customer-records-hacked-lulzsec-promises-retribution/481" TargetMode="External"/><Relationship Id="rId69" Type="http://schemas.openxmlformats.org/officeDocument/2006/relationships/hyperlink" Target="http://www.idtheftcenter.org/" TargetMode="External"/><Relationship Id="rId51" Type="http://schemas.openxmlformats.org/officeDocument/2006/relationships/hyperlink" Target="http://arstechnica.com/security/2012/06/8-million-leaked-passwords-connected-to-linkedin/" TargetMode="External"/><Relationship Id="rId50" Type="http://schemas.openxmlformats.org/officeDocument/2006/relationships/hyperlink" Target="http://news.cnet.com/8301-1009_3-57449325-83/what-the-password-leaks-mean-to-you-faq/?tag=mncol;txt" TargetMode="External"/><Relationship Id="rId53" Type="http://schemas.openxmlformats.org/officeDocument/2006/relationships/hyperlink" Target="http://www.pcworld.com/article/252647/reborn_lulzsec_claims_hack_of_dating_site_for_military_personnel.html" TargetMode="External"/><Relationship Id="rId52" Type="http://schemas.openxmlformats.org/officeDocument/2006/relationships/hyperlink" Target="http://militarysingles.com" TargetMode="External"/><Relationship Id="rId55" Type="http://schemas.openxmlformats.org/officeDocument/2006/relationships/hyperlink" Target="http://www.idtheftcenter.org/" TargetMode="External"/><Relationship Id="rId54" Type="http://schemas.openxmlformats.org/officeDocument/2006/relationships/hyperlink" Target="http://www.wired.co.uk/news/archive/2012-11/22/greece-id-theft" TargetMode="External"/><Relationship Id="rId57" Type="http://schemas.openxmlformats.org/officeDocument/2006/relationships/hyperlink" Target="http://www.idtheftcenter.org/" TargetMode="External"/><Relationship Id="rId56" Type="http://schemas.openxmlformats.org/officeDocument/2006/relationships/hyperlink" Target="http://www.pcworld.com/article/229891/Citigroup_Hack_Nets_Over_200k_in_Stolen_Customer_Details.html" TargetMode="External"/><Relationship Id="rId59" Type="http://schemas.openxmlformats.org/officeDocument/2006/relationships/hyperlink" Target="http://www.pcworld.com/article/231215/lulzsec_a_short_history_of_hacking.html" TargetMode="External"/><Relationship Id="rId58" Type="http://schemas.openxmlformats.org/officeDocument/2006/relationships/hyperlink" Target="http://www.idtheftcenter.org/" TargetMode="External"/><Relationship Id="rId107" Type="http://schemas.openxmlformats.org/officeDocument/2006/relationships/hyperlink" Target="http://www.idtheftcenter.org/" TargetMode="External"/><Relationship Id="rId106" Type="http://schemas.openxmlformats.org/officeDocument/2006/relationships/hyperlink" Target="http://www.hhs.gov/ocr/privacy/hipaa/administrative/breachnotificationrule/breachtool.html" TargetMode="External"/><Relationship Id="rId105" Type="http://schemas.openxmlformats.org/officeDocument/2006/relationships/hyperlink" Target="http://www.hhs.gov/ocr/privacy/hipaa/administrative/breachnotificationrule/breachtool.html" TargetMode="External"/><Relationship Id="rId104" Type="http://schemas.openxmlformats.org/officeDocument/2006/relationships/hyperlink" Target="http://www.phiprivacy.net/?tag=lincoln-medical-and-mental-health-center" TargetMode="External"/><Relationship Id="rId109" Type="http://schemas.openxmlformats.org/officeDocument/2006/relationships/hyperlink" Target="http://www.hhs.gov/ocr/privacy/hipaa/administrative/breachnotificationrule/breachtool.html" TargetMode="External"/><Relationship Id="rId108" Type="http://schemas.openxmlformats.org/officeDocument/2006/relationships/hyperlink" Target="http://www.databreaches.net/?p=12611" TargetMode="External"/><Relationship Id="rId103" Type="http://schemas.openxmlformats.org/officeDocument/2006/relationships/hyperlink" Target="http://www.hhs.gov/ocr/privacy/hipaa/administrative/breachnotificationrule/breachtool.html" TargetMode="External"/><Relationship Id="rId102" Type="http://schemas.openxmlformats.org/officeDocument/2006/relationships/hyperlink" Target="http://www.fosters.com/apps/pbcs.dll/article?AID=/20110120/GJNEWS_01/701209744" TargetMode="External"/><Relationship Id="rId101" Type="http://schemas.openxmlformats.org/officeDocument/2006/relationships/hyperlink" Target="http://www.hhs.gov/ocr/privacy/hipaa/administrative/breachnotificationrule/breachtool.html" TargetMode="External"/><Relationship Id="rId100" Type="http://schemas.openxmlformats.org/officeDocument/2006/relationships/hyperlink" Target="http://www.hhs.gov/ocr/privacy/hipaa/administrative/breachnotificationrule/breachtool.html" TargetMode="External"/><Relationship Id="rId217" Type="http://schemas.openxmlformats.org/officeDocument/2006/relationships/hyperlink" Target="http://www.alertboot.com/blog/blogs/endpoint_security/archive/2011/07/29/strong-data-encryption-is-protecting-my-hacked-data.aspx" TargetMode="External"/><Relationship Id="rId216" Type="http://schemas.openxmlformats.org/officeDocument/2006/relationships/hyperlink" Target="http://www.securityweek.com/20-million-people-fall-victim-south-korea-data-leak" TargetMode="External"/><Relationship Id="rId215" Type="http://schemas.openxmlformats.org/officeDocument/2006/relationships/hyperlink" Target="http://www.alertboot.com/blog/blogs/endpoint_security/archive/2011/11/26/data-security-korea-s-maplestory-nexon-gets-hacked-second-largest-sk-breach.aspx" TargetMode="External"/><Relationship Id="rId214" Type="http://schemas.openxmlformats.org/officeDocument/2006/relationships/hyperlink" Target="http://www.securityweek.com/20-million-people-fall-victim-south-korea-data-leak" TargetMode="External"/><Relationship Id="rId218" Type="http://schemas.openxmlformats.org/officeDocument/2006/relationships/drawing" Target="../drawings/drawing13.xml"/><Relationship Id="rId213" Type="http://schemas.openxmlformats.org/officeDocument/2006/relationships/hyperlink" Target="http://www.securityweek.com/police-arrest-two-south-korea-telecom-hack-exposed-87-million" TargetMode="External"/><Relationship Id="rId212" Type="http://schemas.openxmlformats.org/officeDocument/2006/relationships/hyperlink" Target="http://www.net-security.org/secworld.php?id=16230" TargetMode="External"/><Relationship Id="rId211" Type="http://schemas.openxmlformats.org/officeDocument/2006/relationships/hyperlink" Target="http://www.securityweek.com/20-million-people-fall-victim-south-korea-data-leak" TargetMode="External"/><Relationship Id="rId210" Type="http://schemas.openxmlformats.org/officeDocument/2006/relationships/hyperlink" Target="http://www.securityweek.com/20-million-people-fall-victim-south-korea-data-leak" TargetMode="External"/><Relationship Id="rId129" Type="http://schemas.openxmlformats.org/officeDocument/2006/relationships/hyperlink" Target="http://www.hhs.gov/ocr/privacy/hipaa/administrative/breachnotificationrule/breachtool.html" TargetMode="External"/><Relationship Id="rId128" Type="http://schemas.openxmlformats.org/officeDocument/2006/relationships/hyperlink" Target="http://security-hack1.blogspot.com/2010/04/affinity-health-plan-alerts-public.html" TargetMode="External"/><Relationship Id="rId127" Type="http://schemas.openxmlformats.org/officeDocument/2006/relationships/hyperlink" Target="http://www.hhs.gov/ocr/privacy/hipaa/administrative/breachnotificationrule/breachtool.html" TargetMode="External"/><Relationship Id="rId126" Type="http://schemas.openxmlformats.org/officeDocument/2006/relationships/hyperlink" Target="http://www.scmagazine.com/thief-steals-57-hard-drives-from-bluecross-blueshield-of-tennessee/article/162178/" TargetMode="External"/><Relationship Id="rId121" Type="http://schemas.openxmlformats.org/officeDocument/2006/relationships/hyperlink" Target="http://www.computerworld.com/s/article/9125078/CheckFree_warns_5_million_customers_after_hack" TargetMode="External"/><Relationship Id="rId120" Type="http://schemas.openxmlformats.org/officeDocument/2006/relationships/hyperlink" Target="http://www.idtheftcenter.org/" TargetMode="External"/><Relationship Id="rId125" Type="http://schemas.openxmlformats.org/officeDocument/2006/relationships/hyperlink" Target="http://www.idtheftcenter.org/" TargetMode="External"/><Relationship Id="rId124" Type="http://schemas.openxmlformats.org/officeDocument/2006/relationships/hyperlink" Target="http://www.idtheftcenter.org/" TargetMode="External"/><Relationship Id="rId123" Type="http://schemas.openxmlformats.org/officeDocument/2006/relationships/hyperlink" Target="http://money.cnn.com/2012/03/30/technology/credit-card-data-breach/index.htm" TargetMode="External"/><Relationship Id="rId122" Type="http://schemas.openxmlformats.org/officeDocument/2006/relationships/hyperlink" Target="http://www.guardian.co.uk/technology/blog/2009/aug/24/hacking-law?INTCMP=SRCH" TargetMode="External"/><Relationship Id="rId95" Type="http://schemas.openxmlformats.org/officeDocument/2006/relationships/hyperlink" Target="http://www.idtheftcenter.org/" TargetMode="External"/><Relationship Id="rId94" Type="http://schemas.openxmlformats.org/officeDocument/2006/relationships/hyperlink" Target="http://www.idtheftcenter.org/" TargetMode="External"/><Relationship Id="rId97" Type="http://schemas.openxmlformats.org/officeDocument/2006/relationships/hyperlink" Target="http://www.foxnews.com/us/2010/03/26/student-loan-company-data-m-people-stolen/" TargetMode="External"/><Relationship Id="rId96" Type="http://schemas.openxmlformats.org/officeDocument/2006/relationships/hyperlink" Target="http://www.pcworld.com/article/131453/article.html" TargetMode="External"/><Relationship Id="rId99" Type="http://schemas.openxmlformats.org/officeDocument/2006/relationships/hyperlink" Target="http://www.phiprivacy.net/?p=5743" TargetMode="External"/><Relationship Id="rId98" Type="http://schemas.openxmlformats.org/officeDocument/2006/relationships/hyperlink" Target="http://www.idtheftcenter.org/" TargetMode="External"/><Relationship Id="rId91" Type="http://schemas.openxmlformats.org/officeDocument/2006/relationships/hyperlink" Target="http://www.pcmag.com/article2/0,2817,2387186,00.asp" TargetMode="External"/><Relationship Id="rId90" Type="http://schemas.openxmlformats.org/officeDocument/2006/relationships/hyperlink" Target="http://writerspace.com" TargetMode="External"/><Relationship Id="rId93" Type="http://schemas.openxmlformats.org/officeDocument/2006/relationships/hyperlink" Target="http://www.idtheftcenter.org/" TargetMode="External"/><Relationship Id="rId92" Type="http://schemas.openxmlformats.org/officeDocument/2006/relationships/hyperlink" Target="http://www.idtheftcenter.org/" TargetMode="External"/><Relationship Id="rId118" Type="http://schemas.openxmlformats.org/officeDocument/2006/relationships/hyperlink" Target="http://www.mediaite.com/online/gawker-medias-entire-commenter-database-appears-to-have-been-hacked/" TargetMode="External"/><Relationship Id="rId117" Type="http://schemas.openxmlformats.org/officeDocument/2006/relationships/hyperlink" Target="http://www.guardian.co.uk/technology/2010/dec/13/gawker-hackers-passwords-twitter-wikileaks?INTCMP=SRCH" TargetMode="External"/><Relationship Id="rId116" Type="http://schemas.openxmlformats.org/officeDocument/2006/relationships/hyperlink" Target="http://gawker.com" TargetMode="External"/><Relationship Id="rId115" Type="http://schemas.openxmlformats.org/officeDocument/2006/relationships/hyperlink" Target="http://www.idtheftcenter.org/" TargetMode="External"/><Relationship Id="rId119" Type="http://schemas.openxmlformats.org/officeDocument/2006/relationships/hyperlink" Target="http://www.msnbc.msn.com/id/30645920/ns/technology_and_science-security/t/hackers-breach-uc-berkeley-computers/" TargetMode="External"/><Relationship Id="rId110" Type="http://schemas.openxmlformats.org/officeDocument/2006/relationships/hyperlink" Target="http://www.healthcareinfosecurity.com/chicago-breach-affects-180000-a-2496" TargetMode="External"/><Relationship Id="rId114" Type="http://schemas.openxmlformats.org/officeDocument/2006/relationships/hyperlink" Target="http://www.guardian.co.uk/technology/2010/jun/10/apple-ipad-security-leak?INTCMP=SRCH" TargetMode="External"/><Relationship Id="rId113" Type="http://schemas.openxmlformats.org/officeDocument/2006/relationships/hyperlink" Target="http://www.guardian.co.uk/news/datablog/2010/nov/29/wikileaks-cables-data" TargetMode="External"/><Relationship Id="rId112" Type="http://schemas.openxmlformats.org/officeDocument/2006/relationships/hyperlink" Target="http://www.hhs.gov/ocr/privacy/hipaa/administrative/breachnotificationrule/breachtool.html" TargetMode="External"/><Relationship Id="rId111" Type="http://schemas.openxmlformats.org/officeDocument/2006/relationships/hyperlink" Target="http://www.hhs.gov/ocr/privacy/hipaa/administrative/breachnotificationrule/breachtool.html" TargetMode="External"/><Relationship Id="rId206" Type="http://schemas.openxmlformats.org/officeDocument/2006/relationships/hyperlink" Target="http://healthitsecurity.com/2013/08/27/advocate-medical-group-endures-massive-data-breach/" TargetMode="External"/><Relationship Id="rId205" Type="http://schemas.openxmlformats.org/officeDocument/2006/relationships/hyperlink" Target="http://www.computerweekly.com/news/2240086572/Foreign-office-reports-five-significant-data-losses" TargetMode="External"/><Relationship Id="rId204" Type="http://schemas.openxmlformats.org/officeDocument/2006/relationships/hyperlink" Target="http://news.bbc.co.uk/1/hi/uk_politics/7147715.stm" TargetMode="External"/><Relationship Id="rId203" Type="http://schemas.openxmlformats.org/officeDocument/2006/relationships/hyperlink" Target="http://www.pcadvisor.co.uk/news/security/104096/5000-prison-staff-exposed-by-lost-hard-drive/" TargetMode="External"/><Relationship Id="rId209" Type="http://schemas.openxmlformats.org/officeDocument/2006/relationships/hyperlink" Target="http://www.nydailynews.com/news/national/russians-ukrainian-charged-largest-hacking-spree-u-s-history-article-1.1408948" TargetMode="External"/><Relationship Id="rId208" Type="http://schemas.openxmlformats.org/officeDocument/2006/relationships/hyperlink" Target="http://www.reuters.com/article/2013/07/18/net-us-nasdaq-cybercrime-website-idUSBRE96H1F520130718" TargetMode="External"/><Relationship Id="rId207" Type="http://schemas.openxmlformats.org/officeDocument/2006/relationships/hyperlink" Target="http://datalossdb.org/latest_incidents_remote_sync" TargetMode="External"/><Relationship Id="rId202" Type="http://schemas.openxmlformats.org/officeDocument/2006/relationships/hyperlink" Target="http://www.telegraph.co.uk/news/politics/2608805/Thousands-of-personal-records-lost-each-month.html" TargetMode="External"/><Relationship Id="rId201" Type="http://schemas.openxmlformats.org/officeDocument/2006/relationships/hyperlink" Target="http://www.computerweekly.com/news/2240083882/FCO-breached-data-privacy-of-50000-visa-applicants" TargetMode="External"/><Relationship Id="rId200" Type="http://schemas.openxmlformats.org/officeDocument/2006/relationships/hyperlink" Target="http://www.computerweekly.com/news/2240104003/Hackney-NHS-trust-encrypts-IT-equipment-following-loss-of-child-data"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ncjrs.gov/pdffiles1/nij/grants/245375.pdf" TargetMode="External"/><Relationship Id="rId2" Type="http://schemas.openxmlformats.org/officeDocument/2006/relationships/hyperlink" Target="http://www.rand.org/content/dam/rand/pubs/research_reports/RR600/RR610/RAND_RR610.pdf" TargetMode="External"/><Relationship Id="rId3" Type="http://schemas.openxmlformats.org/officeDocument/2006/relationships/hyperlink" Target="http://www.creditcards.com/glossary/term-fullz.php" TargetMode="External"/><Relationship Id="rId4" Type="http://schemas.openxmlformats.org/officeDocument/2006/relationships/hyperlink" Target="https://www.ncjrs.gov/pdffiles1/nij/grants/245375.pdf" TargetMode="External"/><Relationship Id="rId9" Type="http://schemas.openxmlformats.org/officeDocument/2006/relationships/hyperlink" Target="http://www.rand.org/content/dam/rand/pubs/research_reports/RR600/RR610/RAND_RR610.pdf" TargetMode="External"/><Relationship Id="rId5" Type="http://schemas.openxmlformats.org/officeDocument/2006/relationships/hyperlink" Target="https://www.ncjrs.gov/pdffiles1/nij/grants/245375.pdf" TargetMode="External"/><Relationship Id="rId6" Type="http://schemas.openxmlformats.org/officeDocument/2006/relationships/hyperlink" Target="http://www.reuters.com/article/2014/09/24/us-cybersecurity-hospitals-idUSKCN0HJ21I20140924" TargetMode="External"/><Relationship Id="rId7" Type="http://schemas.openxmlformats.org/officeDocument/2006/relationships/hyperlink" Target="http://www.rand.org/content/dam/rand/pubs/research_reports/RR600/RR610/RAND_RR610.pdf" TargetMode="External"/><Relationship Id="rId8" Type="http://schemas.openxmlformats.org/officeDocument/2006/relationships/hyperlink" Target="http://www.theglobeandmail.com/technology/digital-culture/as-hackers-feast-on-stolen-data-profiting-from-fraud-gets-harder/article18982563/" TargetMode="External"/><Relationship Id="rId40" Type="http://schemas.openxmlformats.org/officeDocument/2006/relationships/hyperlink" Target="http://www.rand.org/content/dam/rand/pubs/research_reports/RR600/RR610/RAND_RR610.pdf" TargetMode="External"/><Relationship Id="rId42" Type="http://schemas.openxmlformats.org/officeDocument/2006/relationships/hyperlink" Target="http://www.rand.org/content/dam/rand/pubs/research_reports/RR600/RR610/RAND_RR610.pdf" TargetMode="External"/><Relationship Id="rId41" Type="http://schemas.openxmlformats.org/officeDocument/2006/relationships/hyperlink" Target="http://www.rand.org/content/dam/rand/pubs/research_reports/RR600/RR610/RAND_RR610.pdf" TargetMode="External"/><Relationship Id="rId44" Type="http://schemas.openxmlformats.org/officeDocument/2006/relationships/hyperlink" Target="http://www.rand.org/content/dam/rand/pubs/research_reports/RR600/RR610/RAND_RR610.pdf" TargetMode="External"/><Relationship Id="rId43" Type="http://schemas.openxmlformats.org/officeDocument/2006/relationships/hyperlink" Target="http://www.rand.org/content/dam/rand/pubs/research_reports/RR600/RR610/RAND_RR610.pdf" TargetMode="External"/><Relationship Id="rId46" Type="http://schemas.openxmlformats.org/officeDocument/2006/relationships/hyperlink" Target="http://www.rand.org/content/dam/rand/pubs/research_reports/RR600/RR610/RAND_RR610.pdf" TargetMode="External"/><Relationship Id="rId45" Type="http://schemas.openxmlformats.org/officeDocument/2006/relationships/hyperlink" Target="http://www.rand.org/content/dam/rand/pubs/research_reports/RR600/RR610/RAND_RR610.pdf" TargetMode="External"/><Relationship Id="rId48" Type="http://schemas.openxmlformats.org/officeDocument/2006/relationships/hyperlink" Target="http://www.rand.org/content/dam/rand/pubs/research_reports/RR600/RR610/RAND_RR610.pdf" TargetMode="External"/><Relationship Id="rId47" Type="http://schemas.openxmlformats.org/officeDocument/2006/relationships/hyperlink" Target="http://www.rand.org/content/dam/rand/pubs/research_reports/RR600/RR610/RAND_RR610.pdf" TargetMode="External"/><Relationship Id="rId49" Type="http://schemas.openxmlformats.org/officeDocument/2006/relationships/hyperlink" Target="http://www.rand.org/content/dam/rand/pubs/research_reports/RR600/RR610/RAND_RR610.pdf" TargetMode="External"/><Relationship Id="rId31" Type="http://schemas.openxmlformats.org/officeDocument/2006/relationships/hyperlink" Target="http://www.theglobeandmail.com/technology/digital-culture/as-hackers-feast-on-stolen-data-profiting-from-fraud-gets-harder/article18982563/" TargetMode="External"/><Relationship Id="rId30" Type="http://schemas.openxmlformats.org/officeDocument/2006/relationships/hyperlink" Target="http://www.theglobeandmail.com/technology/digital-culture/as-hackers-feast-on-stolen-data-profiting-from-fraud-gets-harder/article18982563/" TargetMode="External"/><Relationship Id="rId33" Type="http://schemas.openxmlformats.org/officeDocument/2006/relationships/hyperlink" Target="https://medium.com/@N/how-i-lost-my-50-000-twitter-username-24eb09e026dd" TargetMode="External"/><Relationship Id="rId32" Type="http://schemas.openxmlformats.org/officeDocument/2006/relationships/hyperlink" Target="https://www.ncjrs.gov/pdffiles1/nij/grants/245375.pdf" TargetMode="External"/><Relationship Id="rId35" Type="http://schemas.openxmlformats.org/officeDocument/2006/relationships/hyperlink" Target="http://www.rand.org/content/dam/rand/pubs/research_reports/RR600/RR610/RAND_RR610.pdf" TargetMode="External"/><Relationship Id="rId34" Type="http://schemas.openxmlformats.org/officeDocument/2006/relationships/hyperlink" Target="http://www.rand.org/content/dam/rand/pubs/research_reports/RR600/RR610/RAND_RR610.pdf" TargetMode="External"/><Relationship Id="rId37" Type="http://schemas.openxmlformats.org/officeDocument/2006/relationships/hyperlink" Target="http://www.rand.org/content/dam/rand/pubs/research_reports/RR600/RR610/RAND_RR610.pdf" TargetMode="External"/><Relationship Id="rId36" Type="http://schemas.openxmlformats.org/officeDocument/2006/relationships/hyperlink" Target="http://www.rand.org/content/dam/rand/pubs/research_reports/RR600/RR610/RAND_RR610.pdf" TargetMode="External"/><Relationship Id="rId39" Type="http://schemas.openxmlformats.org/officeDocument/2006/relationships/hyperlink" Target="http://www.rand.org/content/dam/rand/pubs/research_reports/RR600/RR610/RAND_RR610.pdf" TargetMode="External"/><Relationship Id="rId38" Type="http://schemas.openxmlformats.org/officeDocument/2006/relationships/hyperlink" Target="http://www.rand.org/content/dam/rand/pubs/research_reports/RR600/RR610/RAND_RR610.pdf" TargetMode="External"/><Relationship Id="rId20" Type="http://schemas.openxmlformats.org/officeDocument/2006/relationships/hyperlink" Target="http://www.theglobeandmail.com/technology/digital-culture/as-hackers-feast-on-stolen-data-profiting-from-fraud-gets-harder/article18982563/" TargetMode="External"/><Relationship Id="rId22" Type="http://schemas.openxmlformats.org/officeDocument/2006/relationships/hyperlink" Target="http://www.rand.org/content/dam/rand/pubs/research_reports/RR600/RR610/RAND_RR610.pdf" TargetMode="External"/><Relationship Id="rId21" Type="http://schemas.openxmlformats.org/officeDocument/2006/relationships/hyperlink" Target="http://arstechnica.com/security/2014/05/your-iphone-has-been-taken-hostage-pay-100-ransom-to-get-it-back/" TargetMode="External"/><Relationship Id="rId24" Type="http://schemas.openxmlformats.org/officeDocument/2006/relationships/hyperlink" Target="http://www.forbes.com/sites/frontline/2014/06/18/the-underground-economy-of-data-breaches/" TargetMode="External"/><Relationship Id="rId23" Type="http://schemas.openxmlformats.org/officeDocument/2006/relationships/hyperlink" Target="http://www.bloomberg.com/infographics/2014-08-21/top-data-breaches.html" TargetMode="External"/><Relationship Id="rId26" Type="http://schemas.openxmlformats.org/officeDocument/2006/relationships/hyperlink" Target="http://www.forbes.com/sites/frontline/2014/06/18/the-underground-economy-of-data-breaches/" TargetMode="External"/><Relationship Id="rId25" Type="http://schemas.openxmlformats.org/officeDocument/2006/relationships/hyperlink" Target="http://www.symantec.com/content/en/us/about/media/pdfs/b-ponemon-2011-cost-of-data-breach-us.en-us.pdf" TargetMode="External"/><Relationship Id="rId28" Type="http://schemas.openxmlformats.org/officeDocument/2006/relationships/hyperlink" Target="http://www.theglobeandmail.com/technology/digital-culture/as-hackers-feast-on-stolen-data-profiting-from-fraud-gets-harder/article18982563/" TargetMode="External"/><Relationship Id="rId27" Type="http://schemas.openxmlformats.org/officeDocument/2006/relationships/hyperlink" Target="http://www-935.ibm.com/services/us/en/it-services/security-services/cost-of-data-breach/" TargetMode="External"/><Relationship Id="rId29" Type="http://schemas.openxmlformats.org/officeDocument/2006/relationships/hyperlink" Target="http://www.theglobeandmail.com/technology/digital-culture/as-hackers-feast-on-stolen-data-profiting-from-fraud-gets-harder/article18982563/" TargetMode="External"/><Relationship Id="rId11" Type="http://schemas.openxmlformats.org/officeDocument/2006/relationships/hyperlink" Target="http://www.forbes.com/sites/frontline/2014/06/18/the-underground-economy-of-data-breaches/" TargetMode="External"/><Relationship Id="rId10" Type="http://schemas.openxmlformats.org/officeDocument/2006/relationships/hyperlink" Target="http://www.reuters.com/article/2014/09/24/us-cybersecurity-hospitals-idUSKCN0HJ21I20140924" TargetMode="External"/><Relationship Id="rId13" Type="http://schemas.openxmlformats.org/officeDocument/2006/relationships/hyperlink" Target="http://www.theglobeandmail.com/technology/digital-culture/as-hackers-feast-on-stolen-data-profiting-from-fraud-gets-harder/article18982563/" TargetMode="External"/><Relationship Id="rId12" Type="http://schemas.openxmlformats.org/officeDocument/2006/relationships/hyperlink" Target="http://www.theglobeandmail.com/technology/digital-culture/as-hackers-feast-on-stolen-data-profiting-from-fraud-gets-harder/article18982563/" TargetMode="External"/><Relationship Id="rId15" Type="http://schemas.openxmlformats.org/officeDocument/2006/relationships/hyperlink" Target="http://www.rand.org/content/dam/rand/pubs/research_reports/RR600/RR610/RAND_RR610.pdf" TargetMode="External"/><Relationship Id="rId14" Type="http://schemas.openxmlformats.org/officeDocument/2006/relationships/hyperlink" Target="http://www.rand.org/content/dam/rand/pubs/research_reports/RR600/RR610/RAND_RR610.pdf" TargetMode="External"/><Relationship Id="rId17" Type="http://schemas.openxmlformats.org/officeDocument/2006/relationships/hyperlink" Target="http://www.reuters.com/article/2014/09/24/us-cybersecurity-hospitals-idUSKCN0HJ21I20140924" TargetMode="External"/><Relationship Id="rId16" Type="http://schemas.openxmlformats.org/officeDocument/2006/relationships/hyperlink" Target="http://www.symantec.com/content/en/us/about/media/pdfs/b-ponemon-2011-cost-of-data-breach-us.en-us.pdf" TargetMode="External"/><Relationship Id="rId19" Type="http://schemas.openxmlformats.org/officeDocument/2006/relationships/hyperlink" Target="http://edition.cnn.com/2014/05/27/tech/mobile/hackers-iphones/" TargetMode="External"/><Relationship Id="rId18" Type="http://schemas.openxmlformats.org/officeDocument/2006/relationships/hyperlink" Target="http://www.forbes.com/sites/frontline/2014/06/18/the-underground-economy-of-data-breaches/" TargetMode="External"/><Relationship Id="rId51" Type="http://schemas.openxmlformats.org/officeDocument/2006/relationships/hyperlink" Target="http://www.rand.org/content/dam/rand/pubs/research_reports/RR600/RR610/RAND_RR610.pdf" TargetMode="External"/><Relationship Id="rId50" Type="http://schemas.openxmlformats.org/officeDocument/2006/relationships/hyperlink" Target="http://www.rand.org/content/dam/rand/pubs/research_reports/RR600/RR610/RAND_RR610.pdf" TargetMode="External"/><Relationship Id="rId53" Type="http://schemas.openxmlformats.org/officeDocument/2006/relationships/hyperlink" Target="http://www.rand.org/content/dam/rand/pubs/research_reports/RR600/RR610/RAND_RR610.pdf" TargetMode="External"/><Relationship Id="rId52" Type="http://schemas.openxmlformats.org/officeDocument/2006/relationships/hyperlink" Target="http://www.rand.org/content/dam/rand/pubs/research_reports/RR600/RR610/RAND_RR610.pdf" TargetMode="External"/><Relationship Id="rId55" Type="http://schemas.openxmlformats.org/officeDocument/2006/relationships/hyperlink" Target="http://www.rand.org/content/dam/rand/pubs/research_reports/RR600/RR610/RAND_RR610.pdf" TargetMode="External"/><Relationship Id="rId54" Type="http://schemas.openxmlformats.org/officeDocument/2006/relationships/hyperlink" Target="http://www.rand.org/content/dam/rand/pubs/research_reports/RR600/RR610/RAND_RR610.pdf" TargetMode="External"/><Relationship Id="rId57" Type="http://schemas.openxmlformats.org/officeDocument/2006/relationships/drawing" Target="../drawings/drawing14.xml"/><Relationship Id="rId56" Type="http://schemas.openxmlformats.org/officeDocument/2006/relationships/hyperlink" Target="http://www.rand.org/content/dam/rand/pubs/research_reports/RR600/RR610/RAND_RR610.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2.75"/>
  <cols>
    <col customWidth="1" min="1" max="1" width="22.63"/>
    <col customWidth="1" min="2" max="2" width="16.25"/>
    <col customWidth="1" min="3" max="3" width="14.75"/>
    <col customWidth="1" min="4" max="4" width="8.75"/>
    <col customWidth="1" min="5" max="5" width="13.13"/>
    <col customWidth="1" min="6" max="6" width="30.25"/>
    <col customWidth="1" min="7" max="7" width="13.0"/>
    <col customWidth="1" min="8" max="8" width="14.88"/>
    <col customWidth="1" min="9" max="9" width="10.13"/>
    <col customWidth="1" min="10" max="10" width="12.13"/>
    <col customWidth="1" min="11" max="11" width="13.63"/>
    <col customWidth="1" min="12" max="12" width="2.0"/>
    <col customWidth="1" min="13" max="16" width="15.13"/>
    <col customWidth="1" min="17" max="17" width="22.5"/>
    <col customWidth="1" min="18" max="26" width="15.13"/>
  </cols>
  <sheetData>
    <row r="1">
      <c r="A1" s="1" t="s">
        <v>0</v>
      </c>
      <c r="B1" s="2" t="s">
        <v>1</v>
      </c>
      <c r="C1" s="3" t="s">
        <v>2</v>
      </c>
      <c r="D1" s="4" t="s">
        <v>3</v>
      </c>
      <c r="E1" s="5" t="s">
        <v>4</v>
      </c>
      <c r="F1" s="2" t="s">
        <v>5</v>
      </c>
      <c r="G1" s="6" t="s">
        <v>6</v>
      </c>
      <c r="H1" s="7" t="s">
        <v>7</v>
      </c>
      <c r="I1" s="2" t="s">
        <v>8</v>
      </c>
      <c r="J1" s="4" t="s">
        <v>9</v>
      </c>
      <c r="K1" s="4" t="s">
        <v>10</v>
      </c>
      <c r="L1" s="8"/>
      <c r="M1" s="8" t="s">
        <v>11</v>
      </c>
      <c r="N1" s="9" t="s">
        <v>12</v>
      </c>
      <c r="O1" s="9" t="s">
        <v>13</v>
      </c>
      <c r="P1" s="10" t="s">
        <v>14</v>
      </c>
      <c r="Q1" s="10"/>
      <c r="R1" s="10"/>
      <c r="S1" s="10"/>
      <c r="T1" s="10"/>
      <c r="U1" s="10"/>
      <c r="V1" s="10"/>
      <c r="W1" s="10"/>
      <c r="X1" s="10"/>
      <c r="Y1" s="10"/>
      <c r="Z1" s="10"/>
    </row>
    <row r="2">
      <c r="A2" s="11" t="s">
        <v>15</v>
      </c>
      <c r="B2" s="12"/>
      <c r="C2" s="13" t="s">
        <v>16</v>
      </c>
      <c r="D2" s="14" t="s">
        <v>17</v>
      </c>
      <c r="E2" s="15"/>
      <c r="F2" s="16"/>
      <c r="G2" s="16"/>
      <c r="H2" s="16" t="s">
        <v>18</v>
      </c>
      <c r="I2" s="12"/>
      <c r="J2" s="17" t="s">
        <v>19</v>
      </c>
      <c r="K2" s="18"/>
      <c r="L2" s="12"/>
      <c r="M2" s="12"/>
      <c r="N2" s="19"/>
      <c r="O2" s="19"/>
      <c r="P2" s="19"/>
      <c r="Q2" s="19"/>
      <c r="R2" s="19"/>
      <c r="S2" s="19"/>
      <c r="T2" s="19"/>
      <c r="U2" s="19"/>
      <c r="V2" s="19"/>
      <c r="W2" s="19"/>
      <c r="X2" s="19"/>
      <c r="Y2" s="19"/>
      <c r="Z2" s="19"/>
    </row>
    <row r="3">
      <c r="A3" s="20" t="s">
        <v>20</v>
      </c>
      <c r="B3" s="21"/>
      <c r="C3" s="22">
        <v>5700000.0</v>
      </c>
      <c r="D3" s="23">
        <v>2025.0</v>
      </c>
      <c r="E3" s="24">
        <v>45840.0</v>
      </c>
      <c r="F3" s="25" t="s">
        <v>21</v>
      </c>
      <c r="G3" s="26" t="s">
        <v>22</v>
      </c>
      <c r="H3" s="26" t="s">
        <v>23</v>
      </c>
      <c r="I3" s="26"/>
      <c r="J3" s="23">
        <v>2.0</v>
      </c>
      <c r="K3" s="27"/>
      <c r="L3" s="28"/>
      <c r="M3" s="29" t="s">
        <v>24</v>
      </c>
      <c r="N3" s="30" t="s">
        <v>25</v>
      </c>
      <c r="O3" s="31"/>
      <c r="P3" s="32">
        <v>524.0</v>
      </c>
      <c r="Q3" s="26"/>
      <c r="R3" s="21"/>
      <c r="S3" s="21"/>
      <c r="T3" s="21"/>
      <c r="U3" s="21"/>
      <c r="V3" s="21"/>
      <c r="W3" s="21"/>
      <c r="X3" s="21"/>
      <c r="Y3" s="21"/>
      <c r="Z3" s="21"/>
    </row>
    <row r="4">
      <c r="A4" s="20" t="s">
        <v>26</v>
      </c>
      <c r="B4" s="21"/>
      <c r="C4" s="22">
        <v>92000.0</v>
      </c>
      <c r="D4" s="23">
        <v>2022.0</v>
      </c>
      <c r="E4" s="33">
        <v>45710.0</v>
      </c>
      <c r="F4" s="25" t="s">
        <v>27</v>
      </c>
      <c r="G4" s="26" t="s">
        <v>28</v>
      </c>
      <c r="H4" s="26" t="s">
        <v>23</v>
      </c>
      <c r="I4" s="26" t="s">
        <v>29</v>
      </c>
      <c r="J4" s="23">
        <v>2.0</v>
      </c>
      <c r="K4" s="27"/>
      <c r="L4" s="28"/>
      <c r="M4" s="34" t="s">
        <v>30</v>
      </c>
      <c r="N4" s="35" t="s">
        <v>31</v>
      </c>
      <c r="O4" s="31"/>
      <c r="P4" s="32">
        <v>523.0</v>
      </c>
      <c r="Q4" s="26"/>
      <c r="R4" s="21"/>
      <c r="S4" s="21"/>
      <c r="T4" s="21"/>
      <c r="U4" s="21"/>
      <c r="V4" s="21"/>
      <c r="W4" s="21"/>
      <c r="X4" s="21"/>
      <c r="Y4" s="21"/>
      <c r="Z4" s="21"/>
    </row>
    <row r="5">
      <c r="A5" s="20" t="s">
        <v>32</v>
      </c>
      <c r="B5" s="21"/>
      <c r="C5" s="22">
        <v>72000.0</v>
      </c>
      <c r="D5" s="23">
        <v>2025.0</v>
      </c>
      <c r="E5" s="24">
        <v>45858.0</v>
      </c>
      <c r="F5" s="36" t="s">
        <v>33</v>
      </c>
      <c r="G5" s="26" t="s">
        <v>28</v>
      </c>
      <c r="H5" s="26" t="s">
        <v>23</v>
      </c>
      <c r="I5" s="26" t="s">
        <v>29</v>
      </c>
      <c r="J5" s="23">
        <v>4.0</v>
      </c>
      <c r="K5" s="27"/>
      <c r="L5" s="28"/>
      <c r="M5" s="37" t="s">
        <v>34</v>
      </c>
      <c r="N5" s="30" t="s">
        <v>35</v>
      </c>
      <c r="O5" s="31"/>
      <c r="P5" s="32">
        <v>522.0</v>
      </c>
      <c r="Q5" s="26"/>
      <c r="R5" s="21"/>
      <c r="S5" s="21"/>
      <c r="T5" s="21"/>
      <c r="U5" s="21"/>
      <c r="V5" s="21"/>
      <c r="W5" s="21"/>
      <c r="X5" s="21"/>
      <c r="Y5" s="21"/>
      <c r="Z5" s="21"/>
    </row>
    <row r="6">
      <c r="A6" s="20" t="s">
        <v>36</v>
      </c>
      <c r="B6" s="21"/>
      <c r="C6" s="22">
        <v>39000.0</v>
      </c>
      <c r="D6" s="23">
        <v>2025.0</v>
      </c>
      <c r="E6" s="24">
        <v>45691.0</v>
      </c>
      <c r="F6" s="36" t="s">
        <v>37</v>
      </c>
      <c r="G6" s="26" t="s">
        <v>38</v>
      </c>
      <c r="H6" s="26" t="s">
        <v>23</v>
      </c>
      <c r="I6" s="26"/>
      <c r="J6" s="23">
        <v>2.0</v>
      </c>
      <c r="K6" s="27"/>
      <c r="L6" s="28"/>
      <c r="M6" s="37" t="s">
        <v>39</v>
      </c>
      <c r="N6" s="35" t="s">
        <v>40</v>
      </c>
      <c r="O6" s="31"/>
      <c r="P6" s="32">
        <v>521.0</v>
      </c>
      <c r="Q6" s="26"/>
      <c r="R6" s="21"/>
      <c r="S6" s="21"/>
      <c r="T6" s="21"/>
      <c r="U6" s="21"/>
      <c r="V6" s="21"/>
      <c r="W6" s="21"/>
      <c r="X6" s="21"/>
      <c r="Y6" s="21"/>
      <c r="Z6" s="21"/>
    </row>
    <row r="7">
      <c r="A7" s="20" t="s">
        <v>41</v>
      </c>
      <c r="B7" s="21"/>
      <c r="C7" s="22">
        <v>100000.0</v>
      </c>
      <c r="D7" s="23">
        <v>2025.0</v>
      </c>
      <c r="E7" s="24">
        <v>45810.0</v>
      </c>
      <c r="F7" s="38" t="s">
        <v>42</v>
      </c>
      <c r="G7" s="26" t="s">
        <v>43</v>
      </c>
      <c r="H7" s="26" t="s">
        <v>23</v>
      </c>
      <c r="I7" s="26"/>
      <c r="J7" s="23">
        <v>1.0</v>
      </c>
      <c r="K7" s="27"/>
      <c r="L7" s="28"/>
      <c r="M7" s="34" t="s">
        <v>39</v>
      </c>
      <c r="N7" s="35" t="s">
        <v>44</v>
      </c>
      <c r="O7" s="31"/>
      <c r="P7" s="32">
        <v>520.0</v>
      </c>
      <c r="Q7" s="26"/>
      <c r="R7" s="21"/>
      <c r="S7" s="21"/>
      <c r="T7" s="21"/>
      <c r="U7" s="21"/>
      <c r="V7" s="21"/>
      <c r="W7" s="21"/>
      <c r="X7" s="21"/>
      <c r="Y7" s="21"/>
      <c r="Z7" s="21"/>
    </row>
    <row r="8">
      <c r="A8" s="20" t="s">
        <v>45</v>
      </c>
      <c r="B8" s="21"/>
      <c r="C8" s="22">
        <v>100000.0</v>
      </c>
      <c r="D8" s="23">
        <v>2025.0</v>
      </c>
      <c r="E8" s="24">
        <v>45770.0</v>
      </c>
      <c r="F8" s="25" t="s">
        <v>46</v>
      </c>
      <c r="G8" s="26" t="s">
        <v>43</v>
      </c>
      <c r="H8" s="26" t="s">
        <v>23</v>
      </c>
      <c r="I8" s="26"/>
      <c r="J8" s="23">
        <v>2.0</v>
      </c>
      <c r="K8" s="27"/>
      <c r="L8" s="28"/>
      <c r="M8" s="34" t="s">
        <v>39</v>
      </c>
      <c r="N8" s="30" t="s">
        <v>47</v>
      </c>
      <c r="O8" s="31"/>
      <c r="P8" s="32">
        <v>519.0</v>
      </c>
      <c r="Q8" s="26"/>
      <c r="R8" s="21"/>
      <c r="S8" s="21"/>
      <c r="T8" s="21"/>
      <c r="U8" s="21"/>
      <c r="V8" s="21"/>
      <c r="W8" s="21"/>
      <c r="X8" s="21"/>
      <c r="Y8" s="21"/>
      <c r="Z8" s="21"/>
    </row>
    <row r="9">
      <c r="A9" s="20" t="s">
        <v>48</v>
      </c>
      <c r="B9" s="21"/>
      <c r="C9" s="22">
        <v>364000.0</v>
      </c>
      <c r="D9" s="23">
        <v>2024.0</v>
      </c>
      <c r="E9" s="24">
        <v>45651.0</v>
      </c>
      <c r="F9" s="38" t="s">
        <v>49</v>
      </c>
      <c r="G9" s="26" t="s">
        <v>50</v>
      </c>
      <c r="H9" s="26" t="s">
        <v>51</v>
      </c>
      <c r="I9" s="26"/>
      <c r="J9" s="23">
        <v>2.0</v>
      </c>
      <c r="K9" s="27"/>
      <c r="L9" s="28"/>
      <c r="M9" s="34" t="s">
        <v>39</v>
      </c>
      <c r="N9" s="35" t="s">
        <v>52</v>
      </c>
      <c r="O9" s="31"/>
      <c r="P9" s="32">
        <v>518.0</v>
      </c>
      <c r="Q9" s="26"/>
      <c r="R9" s="21"/>
      <c r="S9" s="21"/>
      <c r="T9" s="21"/>
      <c r="U9" s="21"/>
      <c r="V9" s="21"/>
      <c r="W9" s="21"/>
      <c r="X9" s="21"/>
      <c r="Y9" s="21"/>
      <c r="Z9" s="21"/>
    </row>
    <row r="10">
      <c r="A10" s="39" t="s">
        <v>53</v>
      </c>
      <c r="B10" s="40"/>
      <c r="C10" s="22">
        <v>100000.0</v>
      </c>
      <c r="D10" s="23">
        <v>2025.0</v>
      </c>
      <c r="E10" s="24">
        <v>45807.0</v>
      </c>
      <c r="F10" s="25" t="s">
        <v>54</v>
      </c>
      <c r="G10" s="26" t="s">
        <v>43</v>
      </c>
      <c r="H10" s="26" t="s">
        <v>23</v>
      </c>
      <c r="I10" s="26"/>
      <c r="J10" s="23">
        <v>1.0</v>
      </c>
      <c r="K10" s="27"/>
      <c r="L10" s="28"/>
      <c r="M10" s="34" t="s">
        <v>39</v>
      </c>
      <c r="N10" s="35" t="s">
        <v>55</v>
      </c>
      <c r="O10" s="31"/>
      <c r="P10" s="32">
        <v>517.0</v>
      </c>
      <c r="Q10" s="26"/>
      <c r="R10" s="21"/>
      <c r="S10" s="21"/>
      <c r="T10" s="21"/>
      <c r="U10" s="21"/>
      <c r="V10" s="21"/>
      <c r="W10" s="21"/>
      <c r="X10" s="21"/>
      <c r="Y10" s="21"/>
      <c r="Z10" s="21"/>
    </row>
    <row r="11">
      <c r="A11" s="20" t="s">
        <v>56</v>
      </c>
      <c r="B11" s="21"/>
      <c r="C11" s="22">
        <v>69461.0</v>
      </c>
      <c r="D11" s="23">
        <v>2025.0</v>
      </c>
      <c r="E11" s="24">
        <v>45792.0</v>
      </c>
      <c r="F11" s="25" t="s">
        <v>57</v>
      </c>
      <c r="G11" s="26" t="s">
        <v>58</v>
      </c>
      <c r="H11" s="26" t="s">
        <v>59</v>
      </c>
      <c r="I11" s="26"/>
      <c r="J11" s="23">
        <v>3.0</v>
      </c>
      <c r="K11" s="27"/>
      <c r="L11" s="28"/>
      <c r="M11" s="34" t="s">
        <v>39</v>
      </c>
      <c r="N11" s="35" t="s">
        <v>60</v>
      </c>
      <c r="O11" s="31"/>
      <c r="P11" s="32">
        <v>516.0</v>
      </c>
      <c r="Q11" s="26"/>
      <c r="R11" s="21"/>
      <c r="S11" s="21"/>
      <c r="T11" s="21"/>
      <c r="U11" s="21"/>
      <c r="V11" s="21"/>
      <c r="W11" s="21"/>
      <c r="X11" s="21"/>
      <c r="Y11" s="21"/>
      <c r="Z11" s="21"/>
    </row>
    <row r="12">
      <c r="A12" s="41" t="s">
        <v>61</v>
      </c>
      <c r="B12" s="40" t="s">
        <v>62</v>
      </c>
      <c r="C12" s="22">
        <v>2100000.0</v>
      </c>
      <c r="D12" s="23">
        <v>2025.0</v>
      </c>
      <c r="E12" s="24">
        <v>45793.0</v>
      </c>
      <c r="F12" s="38" t="s">
        <v>63</v>
      </c>
      <c r="G12" s="26" t="s">
        <v>64</v>
      </c>
      <c r="H12" s="26" t="s">
        <v>23</v>
      </c>
      <c r="I12" s="26" t="s">
        <v>29</v>
      </c>
      <c r="J12" s="23">
        <v>3.0</v>
      </c>
      <c r="K12" s="27"/>
      <c r="L12" s="28"/>
      <c r="M12" s="34" t="s">
        <v>39</v>
      </c>
      <c r="N12" s="30" t="s">
        <v>65</v>
      </c>
      <c r="O12" s="31"/>
      <c r="P12" s="32">
        <v>515.0</v>
      </c>
      <c r="Q12" s="26"/>
      <c r="R12" s="21"/>
      <c r="S12" s="21"/>
      <c r="T12" s="21"/>
      <c r="U12" s="21"/>
      <c r="V12" s="21"/>
      <c r="W12" s="21"/>
      <c r="X12" s="21"/>
      <c r="Y12" s="21"/>
      <c r="Z12" s="21"/>
    </row>
    <row r="13">
      <c r="A13" s="20" t="s">
        <v>66</v>
      </c>
      <c r="B13" s="21"/>
      <c r="C13" s="22">
        <v>100000.0</v>
      </c>
      <c r="D13" s="23">
        <v>2025.0</v>
      </c>
      <c r="E13" s="24">
        <v>45778.0</v>
      </c>
      <c r="F13" s="38" t="s">
        <v>67</v>
      </c>
      <c r="G13" s="26" t="s">
        <v>38</v>
      </c>
      <c r="H13" s="26" t="s">
        <v>23</v>
      </c>
      <c r="I13" s="26"/>
      <c r="J13" s="23">
        <v>4.0</v>
      </c>
      <c r="K13" s="27"/>
      <c r="L13" s="28"/>
      <c r="M13" s="34" t="s">
        <v>39</v>
      </c>
      <c r="N13" s="35" t="s">
        <v>68</v>
      </c>
      <c r="O13" s="31"/>
      <c r="P13" s="32">
        <v>514.0</v>
      </c>
      <c r="Q13" s="26"/>
      <c r="R13" s="21"/>
      <c r="S13" s="21"/>
      <c r="T13" s="21"/>
      <c r="U13" s="21"/>
      <c r="V13" s="21"/>
      <c r="W13" s="21"/>
      <c r="X13" s="21"/>
      <c r="Y13" s="21"/>
      <c r="Z13" s="21"/>
    </row>
    <row r="14">
      <c r="A14" s="20" t="s">
        <v>69</v>
      </c>
      <c r="B14" s="21"/>
      <c r="C14" s="22">
        <v>7200.0</v>
      </c>
      <c r="D14" s="23">
        <v>2025.0</v>
      </c>
      <c r="E14" s="42">
        <v>45802.0</v>
      </c>
      <c r="F14" s="38" t="s">
        <v>70</v>
      </c>
      <c r="G14" s="26" t="s">
        <v>71</v>
      </c>
      <c r="H14" s="26" t="s">
        <v>23</v>
      </c>
      <c r="I14" s="26"/>
      <c r="J14" s="23">
        <v>2.0</v>
      </c>
      <c r="K14" s="27"/>
      <c r="L14" s="28"/>
      <c r="M14" s="34" t="s">
        <v>72</v>
      </c>
      <c r="N14" s="35" t="s">
        <v>73</v>
      </c>
      <c r="O14" s="31"/>
      <c r="P14" s="32">
        <v>513.0</v>
      </c>
      <c r="Q14" s="26"/>
      <c r="R14" s="21"/>
      <c r="S14" s="21"/>
      <c r="T14" s="21"/>
      <c r="U14" s="21"/>
      <c r="V14" s="21"/>
      <c r="W14" s="21"/>
      <c r="X14" s="21"/>
      <c r="Y14" s="21"/>
      <c r="Z14" s="21"/>
    </row>
    <row r="15">
      <c r="A15" s="20" t="s">
        <v>74</v>
      </c>
      <c r="B15" s="21"/>
      <c r="C15" s="22">
        <v>1.39E7</v>
      </c>
      <c r="D15" s="23">
        <v>2024.0</v>
      </c>
      <c r="E15" s="33">
        <v>45954.0</v>
      </c>
      <c r="F15" s="38" t="s">
        <v>75</v>
      </c>
      <c r="G15" s="26" t="s">
        <v>28</v>
      </c>
      <c r="H15" s="26" t="s">
        <v>23</v>
      </c>
      <c r="I15" s="26"/>
      <c r="J15" s="23">
        <v>3.0</v>
      </c>
      <c r="K15" s="27"/>
      <c r="L15" s="28"/>
      <c r="M15" s="34" t="s">
        <v>72</v>
      </c>
      <c r="N15" s="35" t="s">
        <v>76</v>
      </c>
      <c r="O15" s="31"/>
      <c r="P15" s="32">
        <v>512.0</v>
      </c>
      <c r="Q15" s="26"/>
      <c r="R15" s="21"/>
      <c r="S15" s="21"/>
      <c r="T15" s="21"/>
      <c r="U15" s="21"/>
      <c r="V15" s="21"/>
      <c r="W15" s="21"/>
      <c r="X15" s="21"/>
      <c r="Y15" s="21"/>
      <c r="Z15" s="21"/>
    </row>
    <row r="16">
      <c r="A16" s="20" t="s">
        <v>77</v>
      </c>
      <c r="B16" s="21"/>
      <c r="C16" s="22">
        <v>282000.0</v>
      </c>
      <c r="D16" s="23">
        <v>2023.0</v>
      </c>
      <c r="E16" s="33">
        <v>45861.0</v>
      </c>
      <c r="F16" s="38" t="s">
        <v>78</v>
      </c>
      <c r="G16" s="26" t="s">
        <v>64</v>
      </c>
      <c r="H16" s="26" t="s">
        <v>23</v>
      </c>
      <c r="I16" s="26"/>
      <c r="J16" s="23">
        <v>1.0</v>
      </c>
      <c r="K16" s="27"/>
      <c r="L16" s="28"/>
      <c r="M16" s="34" t="s">
        <v>72</v>
      </c>
      <c r="N16" s="30" t="s">
        <v>79</v>
      </c>
      <c r="O16" s="31"/>
      <c r="P16" s="32">
        <v>511.0</v>
      </c>
      <c r="Q16" s="26"/>
      <c r="R16" s="21"/>
      <c r="S16" s="21"/>
      <c r="T16" s="21"/>
      <c r="U16" s="21"/>
      <c r="V16" s="21"/>
      <c r="W16" s="21"/>
      <c r="X16" s="21"/>
      <c r="Y16" s="21"/>
      <c r="Z16" s="21"/>
    </row>
    <row r="17">
      <c r="A17" s="20" t="s">
        <v>80</v>
      </c>
      <c r="B17" s="21"/>
      <c r="C17" s="22">
        <v>54400.0</v>
      </c>
      <c r="D17" s="23">
        <v>2025.0</v>
      </c>
      <c r="E17" s="33">
        <v>45741.0</v>
      </c>
      <c r="F17" s="38" t="s">
        <v>81</v>
      </c>
      <c r="G17" s="26" t="s">
        <v>64</v>
      </c>
      <c r="H17" s="26" t="s">
        <v>23</v>
      </c>
      <c r="I17" s="26"/>
      <c r="J17" s="23">
        <v>1.0</v>
      </c>
      <c r="K17" s="27"/>
      <c r="L17" s="28"/>
      <c r="M17" s="43" t="s">
        <v>72</v>
      </c>
      <c r="N17" s="35" t="s">
        <v>82</v>
      </c>
      <c r="O17" s="31"/>
      <c r="P17" s="32">
        <v>510.0</v>
      </c>
      <c r="Q17" s="26"/>
      <c r="R17" s="21"/>
      <c r="S17" s="21"/>
      <c r="T17" s="21"/>
      <c r="U17" s="21"/>
      <c r="V17" s="21"/>
      <c r="W17" s="21"/>
      <c r="X17" s="21"/>
      <c r="Y17" s="21"/>
      <c r="Z17" s="21"/>
    </row>
    <row r="18">
      <c r="A18" s="39" t="s">
        <v>83</v>
      </c>
      <c r="B18" s="20"/>
      <c r="C18" s="22">
        <v>161676.0</v>
      </c>
      <c r="D18" s="23">
        <v>2024.0</v>
      </c>
      <c r="E18" s="24">
        <v>45620.0</v>
      </c>
      <c r="F18" s="38" t="s">
        <v>84</v>
      </c>
      <c r="G18" s="26" t="s">
        <v>43</v>
      </c>
      <c r="H18" s="26" t="s">
        <v>23</v>
      </c>
      <c r="I18" s="26"/>
      <c r="J18" s="23">
        <v>3.0</v>
      </c>
      <c r="K18" s="27"/>
      <c r="L18" s="28"/>
      <c r="M18" s="34" t="s">
        <v>85</v>
      </c>
      <c r="N18" s="30" t="s">
        <v>86</v>
      </c>
      <c r="O18" s="31"/>
      <c r="P18" s="32">
        <v>509.0</v>
      </c>
      <c r="Q18" s="26"/>
      <c r="R18" s="21"/>
      <c r="S18" s="21"/>
      <c r="T18" s="21"/>
      <c r="U18" s="21"/>
      <c r="V18" s="21"/>
      <c r="W18" s="21"/>
      <c r="X18" s="21"/>
      <c r="Y18" s="21"/>
      <c r="Z18" s="21"/>
    </row>
    <row r="19">
      <c r="A19" s="20" t="s">
        <v>87</v>
      </c>
      <c r="B19" s="40"/>
      <c r="C19" s="22">
        <v>5418866.0</v>
      </c>
      <c r="D19" s="23">
        <v>2025.0</v>
      </c>
      <c r="E19" s="24">
        <v>45713.0</v>
      </c>
      <c r="F19" s="38" t="s">
        <v>88</v>
      </c>
      <c r="G19" s="26" t="s">
        <v>89</v>
      </c>
      <c r="H19" s="26" t="s">
        <v>23</v>
      </c>
      <c r="I19" s="26"/>
      <c r="J19" s="23">
        <v>4.0</v>
      </c>
      <c r="K19" s="27"/>
      <c r="L19" s="28"/>
      <c r="M19" s="34" t="s">
        <v>85</v>
      </c>
      <c r="N19" s="35" t="s">
        <v>90</v>
      </c>
      <c r="O19" s="31"/>
      <c r="P19" s="32">
        <v>508.0</v>
      </c>
      <c r="Q19" s="26"/>
      <c r="R19" s="21"/>
      <c r="S19" s="21"/>
      <c r="T19" s="21"/>
      <c r="U19" s="21"/>
      <c r="V19" s="21"/>
      <c r="W19" s="21"/>
      <c r="X19" s="21"/>
      <c r="Y19" s="21"/>
      <c r="Z19" s="21"/>
    </row>
    <row r="20">
      <c r="A20" s="44" t="s">
        <v>91</v>
      </c>
      <c r="B20" s="40"/>
      <c r="C20" s="22">
        <v>1023800.0</v>
      </c>
      <c r="D20" s="23">
        <v>2025.0</v>
      </c>
      <c r="E20" s="24">
        <v>45833.0</v>
      </c>
      <c r="F20" s="25" t="s">
        <v>92</v>
      </c>
      <c r="G20" s="26" t="s">
        <v>28</v>
      </c>
      <c r="H20" s="26" t="s">
        <v>51</v>
      </c>
      <c r="I20" s="26"/>
      <c r="J20" s="23">
        <v>1.0</v>
      </c>
      <c r="K20" s="27"/>
      <c r="L20" s="28"/>
      <c r="M20" s="34" t="s">
        <v>85</v>
      </c>
      <c r="N20" s="30" t="s">
        <v>93</v>
      </c>
      <c r="O20" s="45"/>
      <c r="P20" s="32">
        <v>507.0</v>
      </c>
      <c r="Q20" s="26"/>
      <c r="R20" s="21"/>
      <c r="S20" s="21"/>
      <c r="T20" s="21"/>
      <c r="U20" s="21"/>
      <c r="V20" s="21"/>
      <c r="W20" s="21"/>
      <c r="X20" s="21"/>
      <c r="Y20" s="21"/>
      <c r="Z20" s="21"/>
    </row>
    <row r="21">
      <c r="A21" s="20" t="s">
        <v>94</v>
      </c>
      <c r="B21" s="21"/>
      <c r="C21" s="22">
        <v>1.9E8</v>
      </c>
      <c r="D21" s="23">
        <v>2024.0</v>
      </c>
      <c r="E21" s="24">
        <v>45589.0</v>
      </c>
      <c r="F21" s="38" t="s">
        <v>95</v>
      </c>
      <c r="G21" s="26" t="s">
        <v>89</v>
      </c>
      <c r="H21" s="26" t="s">
        <v>23</v>
      </c>
      <c r="I21" s="26"/>
      <c r="J21" s="23">
        <v>4.0</v>
      </c>
      <c r="K21" s="27" t="s">
        <v>96</v>
      </c>
      <c r="L21" s="28"/>
      <c r="M21" s="34" t="s">
        <v>85</v>
      </c>
      <c r="N21" s="35" t="s">
        <v>97</v>
      </c>
      <c r="O21" s="45"/>
      <c r="P21" s="32">
        <v>506.0</v>
      </c>
      <c r="Q21" s="26"/>
      <c r="R21" s="21"/>
      <c r="S21" s="21"/>
      <c r="T21" s="21"/>
      <c r="U21" s="21"/>
      <c r="V21" s="21"/>
      <c r="W21" s="21"/>
      <c r="X21" s="21"/>
      <c r="Y21" s="21"/>
      <c r="Z21" s="21"/>
    </row>
    <row r="22">
      <c r="A22" s="20" t="s">
        <v>98</v>
      </c>
      <c r="B22" s="21"/>
      <c r="C22" s="22">
        <v>3.3E7</v>
      </c>
      <c r="D22" s="23">
        <v>2024.0</v>
      </c>
      <c r="E22" s="24">
        <v>45589.0</v>
      </c>
      <c r="F22" s="38" t="s">
        <v>99</v>
      </c>
      <c r="G22" s="26" t="s">
        <v>28</v>
      </c>
      <c r="H22" s="26" t="s">
        <v>23</v>
      </c>
      <c r="I22" s="26"/>
      <c r="J22" s="23">
        <v>1.0</v>
      </c>
      <c r="K22" s="27"/>
      <c r="L22" s="28"/>
      <c r="M22" s="34" t="s">
        <v>85</v>
      </c>
      <c r="N22" s="30" t="s">
        <v>100</v>
      </c>
      <c r="O22" s="45"/>
      <c r="P22" s="32">
        <v>505.0</v>
      </c>
      <c r="Q22" s="26"/>
      <c r="R22" s="21"/>
      <c r="S22" s="21"/>
      <c r="T22" s="21"/>
      <c r="U22" s="21"/>
      <c r="V22" s="21"/>
      <c r="W22" s="21"/>
      <c r="X22" s="21"/>
      <c r="Y22" s="21"/>
      <c r="Z22" s="21"/>
    </row>
    <row r="23">
      <c r="A23" s="20" t="s">
        <v>101</v>
      </c>
      <c r="B23" s="21"/>
      <c r="C23" s="22">
        <v>1.0E9</v>
      </c>
      <c r="D23" s="23">
        <v>2024.0</v>
      </c>
      <c r="E23" s="24">
        <v>45528.0</v>
      </c>
      <c r="F23" s="38" t="s">
        <v>102</v>
      </c>
      <c r="G23" s="26" t="s">
        <v>64</v>
      </c>
      <c r="H23" s="26" t="s">
        <v>23</v>
      </c>
      <c r="I23" s="26"/>
      <c r="J23" s="23">
        <v>2.0</v>
      </c>
      <c r="K23" s="27" t="s">
        <v>103</v>
      </c>
      <c r="L23" s="28"/>
      <c r="M23" s="34" t="s">
        <v>85</v>
      </c>
      <c r="N23" s="35" t="s">
        <v>104</v>
      </c>
      <c r="O23" s="31"/>
      <c r="P23" s="32">
        <v>504.0</v>
      </c>
      <c r="Q23" s="26"/>
      <c r="R23" s="21"/>
      <c r="S23" s="21"/>
      <c r="T23" s="21"/>
      <c r="U23" s="21"/>
      <c r="V23" s="21"/>
      <c r="W23" s="21"/>
      <c r="X23" s="21"/>
      <c r="Y23" s="21"/>
      <c r="Z23" s="21"/>
    </row>
    <row r="24">
      <c r="A24" s="20" t="s">
        <v>105</v>
      </c>
      <c r="B24" s="21"/>
      <c r="C24" s="22">
        <v>4000000.0</v>
      </c>
      <c r="D24" s="23">
        <v>2024.0</v>
      </c>
      <c r="E24" s="24">
        <v>45346.0</v>
      </c>
      <c r="F24" s="38" t="s">
        <v>106</v>
      </c>
      <c r="G24" s="26" t="s">
        <v>58</v>
      </c>
      <c r="H24" s="26" t="s">
        <v>23</v>
      </c>
      <c r="I24" s="26"/>
      <c r="J24" s="23">
        <v>2.0</v>
      </c>
      <c r="K24" s="27"/>
      <c r="L24" s="28"/>
      <c r="M24" s="43" t="s">
        <v>85</v>
      </c>
      <c r="N24" s="35" t="s">
        <v>107</v>
      </c>
      <c r="O24" s="32"/>
      <c r="P24" s="32">
        <v>503.0</v>
      </c>
      <c r="Q24" s="26"/>
      <c r="R24" s="21"/>
      <c r="S24" s="21"/>
      <c r="T24" s="21"/>
      <c r="U24" s="21"/>
      <c r="V24" s="21"/>
      <c r="W24" s="21"/>
      <c r="X24" s="21"/>
      <c r="Y24" s="21"/>
      <c r="Z24" s="21"/>
    </row>
    <row r="25">
      <c r="A25" s="20" t="s">
        <v>108</v>
      </c>
      <c r="B25" s="40"/>
      <c r="C25" s="22">
        <v>31000.0</v>
      </c>
      <c r="D25" s="23">
        <v>2025.0</v>
      </c>
      <c r="E25" s="24">
        <v>45713.0</v>
      </c>
      <c r="F25" s="38" t="s">
        <v>109</v>
      </c>
      <c r="G25" s="26" t="s">
        <v>110</v>
      </c>
      <c r="H25" s="26" t="s">
        <v>23</v>
      </c>
      <c r="I25" s="26"/>
      <c r="J25" s="23">
        <v>3.0</v>
      </c>
      <c r="K25" s="27"/>
      <c r="L25" s="28"/>
      <c r="M25" s="34" t="s">
        <v>85</v>
      </c>
      <c r="N25" s="35" t="s">
        <v>111</v>
      </c>
      <c r="O25" s="31"/>
      <c r="P25" s="32">
        <v>502.0</v>
      </c>
      <c r="Q25" s="26"/>
      <c r="R25" s="21"/>
      <c r="S25" s="21"/>
      <c r="T25" s="21"/>
      <c r="U25" s="21"/>
      <c r="V25" s="21"/>
      <c r="W25" s="21"/>
      <c r="X25" s="21"/>
      <c r="Y25" s="21"/>
      <c r="Z25" s="21"/>
    </row>
    <row r="26">
      <c r="A26" s="20" t="s">
        <v>112</v>
      </c>
      <c r="B26" s="21"/>
      <c r="C26" s="22">
        <v>195600.0</v>
      </c>
      <c r="D26" s="23">
        <v>2024.0</v>
      </c>
      <c r="E26" s="24">
        <v>45467.0</v>
      </c>
      <c r="F26" s="38" t="s">
        <v>113</v>
      </c>
      <c r="G26" s="26" t="s">
        <v>43</v>
      </c>
      <c r="H26" s="26" t="s">
        <v>51</v>
      </c>
      <c r="I26" s="26"/>
      <c r="J26" s="23">
        <v>2.0</v>
      </c>
      <c r="K26" s="27"/>
      <c r="L26" s="28"/>
      <c r="M26" s="34" t="s">
        <v>72</v>
      </c>
      <c r="N26" s="35" t="s">
        <v>114</v>
      </c>
      <c r="O26" s="31"/>
      <c r="P26" s="32">
        <v>501.0</v>
      </c>
      <c r="Q26" s="26"/>
      <c r="R26" s="21"/>
      <c r="S26" s="21"/>
      <c r="T26" s="21"/>
      <c r="U26" s="21"/>
      <c r="V26" s="21"/>
      <c r="W26" s="21"/>
      <c r="X26" s="21"/>
      <c r="Y26" s="21"/>
      <c r="Z26" s="21"/>
    </row>
    <row r="27">
      <c r="A27" s="20" t="s">
        <v>115</v>
      </c>
      <c r="B27" s="21"/>
      <c r="C27" s="22">
        <v>27100.0</v>
      </c>
      <c r="D27" s="23">
        <v>2021.0</v>
      </c>
      <c r="E27" s="24">
        <v>44429.0</v>
      </c>
      <c r="F27" s="38" t="s">
        <v>116</v>
      </c>
      <c r="G27" s="26" t="s">
        <v>110</v>
      </c>
      <c r="H27" s="26" t="s">
        <v>23</v>
      </c>
      <c r="I27" s="26"/>
      <c r="J27" s="23">
        <v>3.0</v>
      </c>
      <c r="K27" s="27"/>
      <c r="L27" s="28"/>
      <c r="M27" s="34" t="s">
        <v>72</v>
      </c>
      <c r="N27" s="35" t="s">
        <v>117</v>
      </c>
      <c r="O27" s="31"/>
      <c r="P27" s="32">
        <v>500.0</v>
      </c>
      <c r="Q27" s="26"/>
      <c r="R27" s="21"/>
      <c r="S27" s="21"/>
      <c r="T27" s="21"/>
      <c r="U27" s="21"/>
      <c r="V27" s="21"/>
      <c r="W27" s="21"/>
      <c r="X27" s="21"/>
      <c r="Y27" s="21"/>
      <c r="Z27" s="21"/>
    </row>
    <row r="28">
      <c r="A28" s="20" t="s">
        <v>118</v>
      </c>
      <c r="B28" s="21"/>
      <c r="C28" s="22">
        <v>472300.0</v>
      </c>
      <c r="D28" s="23">
        <v>2025.0</v>
      </c>
      <c r="E28" s="24">
        <v>45802.0</v>
      </c>
      <c r="F28" s="38" t="s">
        <v>119</v>
      </c>
      <c r="G28" s="26" t="s">
        <v>22</v>
      </c>
      <c r="H28" s="26" t="s">
        <v>23</v>
      </c>
      <c r="I28" s="26"/>
      <c r="J28" s="23">
        <v>2.0</v>
      </c>
      <c r="K28" s="27"/>
      <c r="L28" s="28"/>
      <c r="M28" s="34" t="s">
        <v>72</v>
      </c>
      <c r="N28" s="30" t="s">
        <v>120</v>
      </c>
      <c r="O28" s="31"/>
      <c r="P28" s="32">
        <v>499.0</v>
      </c>
      <c r="Q28" s="26"/>
      <c r="R28" s="21"/>
      <c r="S28" s="21"/>
      <c r="T28" s="21"/>
      <c r="U28" s="21"/>
      <c r="V28" s="21"/>
      <c r="W28" s="21"/>
      <c r="X28" s="21"/>
      <c r="Y28" s="21"/>
      <c r="Z28" s="21"/>
    </row>
    <row r="29">
      <c r="A29" s="20" t="s">
        <v>121</v>
      </c>
      <c r="B29" s="40"/>
      <c r="C29" s="22">
        <v>918500.0</v>
      </c>
      <c r="D29" s="23">
        <v>2022.0</v>
      </c>
      <c r="E29" s="24">
        <v>44703.0</v>
      </c>
      <c r="F29" s="38" t="s">
        <v>122</v>
      </c>
      <c r="G29" s="26" t="s">
        <v>28</v>
      </c>
      <c r="H29" s="26" t="s">
        <v>23</v>
      </c>
      <c r="I29" s="26"/>
      <c r="J29" s="23">
        <v>2.0</v>
      </c>
      <c r="K29" s="27"/>
      <c r="L29" s="28"/>
      <c r="M29" s="34" t="s">
        <v>72</v>
      </c>
      <c r="N29" s="35" t="s">
        <v>123</v>
      </c>
      <c r="O29" s="32"/>
      <c r="P29" s="32">
        <v>498.0</v>
      </c>
      <c r="Q29" s="26"/>
      <c r="R29" s="21"/>
      <c r="S29" s="21"/>
      <c r="T29" s="21"/>
      <c r="U29" s="21"/>
      <c r="V29" s="21"/>
      <c r="W29" s="21"/>
      <c r="X29" s="21"/>
      <c r="Y29" s="21"/>
      <c r="Z29" s="21"/>
    </row>
    <row r="30">
      <c r="A30" s="20" t="s">
        <v>124</v>
      </c>
      <c r="B30" s="21"/>
      <c r="C30" s="22">
        <v>690700.0</v>
      </c>
      <c r="D30" s="23">
        <v>2022.0</v>
      </c>
      <c r="E30" s="24">
        <v>44713.0</v>
      </c>
      <c r="F30" s="38" t="s">
        <v>125</v>
      </c>
      <c r="G30" s="26" t="s">
        <v>43</v>
      </c>
      <c r="H30" s="26" t="s">
        <v>23</v>
      </c>
      <c r="I30" s="26"/>
      <c r="J30" s="23">
        <v>2.0</v>
      </c>
      <c r="K30" s="27"/>
      <c r="L30" s="28"/>
      <c r="M30" s="34" t="s">
        <v>72</v>
      </c>
      <c r="N30" s="35" t="s">
        <v>126</v>
      </c>
      <c r="O30" s="31"/>
      <c r="P30" s="32">
        <v>497.0</v>
      </c>
      <c r="Q30" s="26"/>
      <c r="R30" s="21"/>
      <c r="S30" s="21"/>
      <c r="T30" s="21"/>
      <c r="U30" s="21"/>
      <c r="V30" s="21"/>
      <c r="W30" s="21"/>
      <c r="X30" s="21"/>
      <c r="Y30" s="21"/>
      <c r="Z30" s="21"/>
    </row>
    <row r="31">
      <c r="A31" s="20" t="s">
        <v>127</v>
      </c>
      <c r="B31" s="21"/>
      <c r="C31" s="22">
        <v>216300.0</v>
      </c>
      <c r="D31" s="23">
        <v>2025.0</v>
      </c>
      <c r="E31" s="24">
        <v>45741.0</v>
      </c>
      <c r="F31" s="38" t="s">
        <v>128</v>
      </c>
      <c r="G31" s="26" t="s">
        <v>129</v>
      </c>
      <c r="H31" s="26" t="s">
        <v>23</v>
      </c>
      <c r="I31" s="26"/>
      <c r="J31" s="23">
        <v>2.0</v>
      </c>
      <c r="K31" s="27"/>
      <c r="L31" s="28"/>
      <c r="M31" s="34" t="s">
        <v>72</v>
      </c>
      <c r="N31" s="35" t="s">
        <v>130</v>
      </c>
      <c r="O31" s="31"/>
      <c r="P31" s="32">
        <v>496.0</v>
      </c>
      <c r="Q31" s="26"/>
      <c r="R31" s="21"/>
      <c r="S31" s="21"/>
      <c r="T31" s="21"/>
      <c r="U31" s="21"/>
      <c r="V31" s="21"/>
      <c r="W31" s="21"/>
      <c r="X31" s="21"/>
      <c r="Y31" s="21"/>
      <c r="Z31" s="21"/>
    </row>
    <row r="32">
      <c r="A32" s="20" t="s">
        <v>131</v>
      </c>
      <c r="B32" s="21"/>
      <c r="C32" s="22">
        <v>162400.0</v>
      </c>
      <c r="D32" s="23">
        <v>2025.0</v>
      </c>
      <c r="E32" s="24">
        <v>45741.0</v>
      </c>
      <c r="F32" s="38" t="s">
        <v>132</v>
      </c>
      <c r="G32" s="26" t="s">
        <v>43</v>
      </c>
      <c r="H32" s="26" t="s">
        <v>23</v>
      </c>
      <c r="I32" s="26"/>
      <c r="J32" s="23">
        <v>2.0</v>
      </c>
      <c r="K32" s="27"/>
      <c r="L32" s="28"/>
      <c r="M32" s="34" t="s">
        <v>72</v>
      </c>
      <c r="N32" s="35" t="s">
        <v>133</v>
      </c>
      <c r="O32" s="31"/>
      <c r="P32" s="32">
        <v>495.0</v>
      </c>
      <c r="Q32" s="26"/>
      <c r="R32" s="21"/>
      <c r="S32" s="21"/>
      <c r="T32" s="21"/>
      <c r="U32" s="21"/>
      <c r="V32" s="21"/>
      <c r="W32" s="21"/>
      <c r="X32" s="21"/>
      <c r="Y32" s="21"/>
      <c r="Z32" s="21"/>
    </row>
    <row r="33">
      <c r="A33" s="20" t="s">
        <v>134</v>
      </c>
      <c r="B33" s="21"/>
      <c r="C33" s="22">
        <v>556600.0</v>
      </c>
      <c r="D33" s="23">
        <v>2025.0</v>
      </c>
      <c r="E33" s="24">
        <v>45713.0</v>
      </c>
      <c r="F33" s="38" t="s">
        <v>135</v>
      </c>
      <c r="G33" s="26" t="s">
        <v>129</v>
      </c>
      <c r="H33" s="26" t="s">
        <v>23</v>
      </c>
      <c r="I33" s="26"/>
      <c r="J33" s="23">
        <v>2.0</v>
      </c>
      <c r="K33" s="27"/>
      <c r="L33" s="28"/>
      <c r="M33" s="34" t="s">
        <v>72</v>
      </c>
      <c r="N33" s="35" t="s">
        <v>136</v>
      </c>
      <c r="O33" s="31"/>
      <c r="P33" s="32">
        <v>494.0</v>
      </c>
      <c r="Q33" s="26"/>
      <c r="R33" s="21"/>
      <c r="S33" s="21"/>
      <c r="T33" s="21"/>
      <c r="U33" s="21"/>
      <c r="V33" s="21"/>
      <c r="W33" s="21"/>
      <c r="X33" s="21"/>
      <c r="Y33" s="21"/>
      <c r="Z33" s="21"/>
    </row>
    <row r="34">
      <c r="A34" s="20" t="s">
        <v>137</v>
      </c>
      <c r="B34" s="21"/>
      <c r="C34" s="22">
        <v>3100000.0</v>
      </c>
      <c r="D34" s="23">
        <v>2025.0</v>
      </c>
      <c r="E34" s="24">
        <v>45682.0</v>
      </c>
      <c r="F34" s="38" t="s">
        <v>138</v>
      </c>
      <c r="G34" s="26" t="s">
        <v>28</v>
      </c>
      <c r="H34" s="26" t="s">
        <v>23</v>
      </c>
      <c r="I34" s="26"/>
      <c r="J34" s="23">
        <v>2.0</v>
      </c>
      <c r="K34" s="27"/>
      <c r="L34" s="28"/>
      <c r="M34" s="34" t="s">
        <v>72</v>
      </c>
      <c r="N34" s="35" t="s">
        <v>139</v>
      </c>
      <c r="O34" s="31"/>
      <c r="P34" s="32">
        <v>493.0</v>
      </c>
      <c r="Q34" s="26"/>
      <c r="R34" s="21"/>
      <c r="S34" s="21"/>
      <c r="T34" s="21"/>
      <c r="U34" s="21"/>
      <c r="V34" s="21"/>
      <c r="W34" s="21"/>
      <c r="X34" s="21"/>
      <c r="Y34" s="21"/>
      <c r="Z34" s="21"/>
    </row>
    <row r="35">
      <c r="A35" s="20" t="s">
        <v>140</v>
      </c>
      <c r="B35" s="21"/>
      <c r="C35" s="22">
        <v>1.34E7</v>
      </c>
      <c r="D35" s="23">
        <v>2024.0</v>
      </c>
      <c r="E35" s="24">
        <v>45408.0</v>
      </c>
      <c r="F35" s="38" t="s">
        <v>141</v>
      </c>
      <c r="G35" s="26" t="s">
        <v>89</v>
      </c>
      <c r="H35" s="26" t="s">
        <v>142</v>
      </c>
      <c r="I35" s="26"/>
      <c r="J35" s="23">
        <v>3.0</v>
      </c>
      <c r="K35" s="27"/>
      <c r="L35" s="28"/>
      <c r="M35" s="46" t="s">
        <v>85</v>
      </c>
      <c r="N35" s="35" t="s">
        <v>143</v>
      </c>
      <c r="O35" s="31"/>
      <c r="P35" s="32">
        <v>492.0</v>
      </c>
      <c r="Q35" s="26"/>
      <c r="R35" s="21"/>
      <c r="S35" s="21"/>
      <c r="T35" s="21"/>
      <c r="U35" s="21"/>
      <c r="V35" s="21"/>
      <c r="W35" s="21"/>
      <c r="X35" s="21"/>
      <c r="Y35" s="21"/>
      <c r="Z35" s="21"/>
    </row>
    <row r="36" ht="49.5" customHeight="1">
      <c r="A36" s="20" t="s">
        <v>144</v>
      </c>
      <c r="B36" s="21"/>
      <c r="C36" s="22">
        <v>5.6E8</v>
      </c>
      <c r="D36" s="23">
        <v>2024.0</v>
      </c>
      <c r="E36" s="24">
        <v>45445.0</v>
      </c>
      <c r="F36" s="38" t="s">
        <v>145</v>
      </c>
      <c r="G36" s="26" t="s">
        <v>38</v>
      </c>
      <c r="H36" s="26" t="s">
        <v>23</v>
      </c>
      <c r="I36" s="26" t="s">
        <v>29</v>
      </c>
      <c r="J36" s="23">
        <v>3.0</v>
      </c>
      <c r="K36" s="27" t="s">
        <v>146</v>
      </c>
      <c r="L36" s="28"/>
      <c r="M36" s="34" t="s">
        <v>147</v>
      </c>
      <c r="N36" s="35" t="s">
        <v>148</v>
      </c>
      <c r="O36" s="31"/>
      <c r="P36" s="32">
        <v>491.0</v>
      </c>
      <c r="Q36" s="26"/>
      <c r="R36" s="21"/>
      <c r="S36" s="21"/>
      <c r="T36" s="21"/>
      <c r="U36" s="21"/>
      <c r="V36" s="21"/>
      <c r="W36" s="21"/>
      <c r="X36" s="21"/>
      <c r="Y36" s="21"/>
      <c r="Z36" s="21"/>
    </row>
    <row r="37" ht="49.5" customHeight="1">
      <c r="A37" s="20" t="s">
        <v>149</v>
      </c>
      <c r="B37" s="21"/>
      <c r="C37" s="22">
        <v>27000.0</v>
      </c>
      <c r="D37" s="23">
        <v>2023.0</v>
      </c>
      <c r="E37" s="24">
        <v>45058.0</v>
      </c>
      <c r="F37" s="25" t="s">
        <v>150</v>
      </c>
      <c r="G37" s="26" t="s">
        <v>110</v>
      </c>
      <c r="H37" s="26" t="s">
        <v>151</v>
      </c>
      <c r="I37" s="26"/>
      <c r="J37" s="23">
        <v>2.0</v>
      </c>
      <c r="K37" s="27"/>
      <c r="L37" s="28"/>
      <c r="M37" s="34" t="s">
        <v>152</v>
      </c>
      <c r="N37" s="30" t="s">
        <v>153</v>
      </c>
      <c r="O37" s="31"/>
      <c r="P37" s="32">
        <v>490.0</v>
      </c>
      <c r="Q37" s="26"/>
      <c r="R37" s="21"/>
      <c r="S37" s="21"/>
      <c r="T37" s="21"/>
      <c r="U37" s="21"/>
      <c r="V37" s="21"/>
      <c r="W37" s="21"/>
      <c r="X37" s="21"/>
      <c r="Y37" s="21"/>
      <c r="Z37" s="21"/>
    </row>
    <row r="38" ht="49.5" customHeight="1">
      <c r="A38" s="20" t="s">
        <v>154</v>
      </c>
      <c r="B38" s="21"/>
      <c r="C38" s="22">
        <v>500000.0</v>
      </c>
      <c r="D38" s="23">
        <v>2024.0</v>
      </c>
      <c r="E38" s="24">
        <v>45431.0</v>
      </c>
      <c r="F38" s="38" t="s">
        <v>155</v>
      </c>
      <c r="G38" s="26" t="s">
        <v>50</v>
      </c>
      <c r="H38" s="26" t="s">
        <v>23</v>
      </c>
      <c r="I38" s="26"/>
      <c r="J38" s="23">
        <v>2.0</v>
      </c>
      <c r="K38" s="27"/>
      <c r="L38" s="28"/>
      <c r="M38" s="34" t="s">
        <v>85</v>
      </c>
      <c r="N38" s="35" t="s">
        <v>156</v>
      </c>
      <c r="O38" s="31"/>
      <c r="P38" s="32">
        <v>489.0</v>
      </c>
      <c r="Q38" s="26"/>
      <c r="R38" s="21"/>
      <c r="S38" s="21"/>
      <c r="T38" s="21"/>
      <c r="U38" s="21"/>
      <c r="V38" s="21"/>
      <c r="W38" s="21"/>
      <c r="X38" s="21"/>
      <c r="Y38" s="21"/>
      <c r="Z38" s="21"/>
    </row>
    <row r="39" ht="49.5" customHeight="1">
      <c r="A39" s="39" t="s">
        <v>157</v>
      </c>
      <c r="B39" s="40" t="s">
        <v>158</v>
      </c>
      <c r="C39" s="22">
        <v>3200000.0</v>
      </c>
      <c r="D39" s="23">
        <v>2024.0</v>
      </c>
      <c r="E39" s="24">
        <v>45336.0</v>
      </c>
      <c r="F39" s="25" t="s">
        <v>159</v>
      </c>
      <c r="G39" s="26" t="s">
        <v>50</v>
      </c>
      <c r="H39" s="26" t="s">
        <v>23</v>
      </c>
      <c r="I39" s="26"/>
      <c r="J39" s="23">
        <v>2.0</v>
      </c>
      <c r="K39" s="27"/>
      <c r="L39" s="28"/>
      <c r="M39" s="34" t="s">
        <v>85</v>
      </c>
      <c r="N39" s="35" t="s">
        <v>160</v>
      </c>
      <c r="O39" s="31"/>
      <c r="P39" s="32">
        <v>488.0</v>
      </c>
      <c r="Q39" s="26"/>
      <c r="R39" s="21"/>
      <c r="S39" s="21"/>
      <c r="T39" s="21"/>
      <c r="U39" s="21"/>
      <c r="V39" s="21"/>
      <c r="W39" s="21"/>
      <c r="X39" s="21"/>
      <c r="Y39" s="21"/>
      <c r="Z39" s="21"/>
    </row>
    <row r="40" ht="49.5" customHeight="1">
      <c r="A40" s="20" t="s">
        <v>161</v>
      </c>
      <c r="B40" s="21"/>
      <c r="C40" s="22">
        <v>3.0E7</v>
      </c>
      <c r="D40" s="23">
        <v>2024.0</v>
      </c>
      <c r="E40" s="24">
        <v>45427.0</v>
      </c>
      <c r="F40" s="25" t="s">
        <v>162</v>
      </c>
      <c r="G40" s="26" t="s">
        <v>58</v>
      </c>
      <c r="H40" s="26" t="s">
        <v>23</v>
      </c>
      <c r="I40" s="26"/>
      <c r="J40" s="23">
        <v>3.0</v>
      </c>
      <c r="K40" s="27"/>
      <c r="L40" s="28"/>
      <c r="M40" s="34" t="s">
        <v>85</v>
      </c>
      <c r="N40" s="35" t="s">
        <v>163</v>
      </c>
      <c r="O40" s="31"/>
      <c r="P40" s="32">
        <v>487.0</v>
      </c>
      <c r="Q40" s="26"/>
      <c r="R40" s="21"/>
      <c r="S40" s="21"/>
      <c r="T40" s="21"/>
      <c r="U40" s="21"/>
      <c r="V40" s="21"/>
      <c r="W40" s="21"/>
      <c r="X40" s="21"/>
      <c r="Y40" s="21"/>
      <c r="Z40" s="21"/>
    </row>
    <row r="41" ht="49.5" customHeight="1">
      <c r="A41" s="41" t="s">
        <v>164</v>
      </c>
      <c r="B41" s="21"/>
      <c r="C41" s="22">
        <v>5600000.0</v>
      </c>
      <c r="D41" s="23">
        <v>2024.0</v>
      </c>
      <c r="E41" s="24">
        <v>45433.0</v>
      </c>
      <c r="F41" s="38" t="s">
        <v>165</v>
      </c>
      <c r="G41" s="26" t="s">
        <v>50</v>
      </c>
      <c r="H41" s="26" t="s">
        <v>23</v>
      </c>
      <c r="I41" s="26"/>
      <c r="J41" s="23">
        <v>1.0</v>
      </c>
      <c r="K41" s="27"/>
      <c r="L41" s="28"/>
      <c r="M41" s="34" t="s">
        <v>85</v>
      </c>
      <c r="N41" s="30" t="s">
        <v>166</v>
      </c>
      <c r="O41" s="31"/>
      <c r="P41" s="32">
        <v>486.0</v>
      </c>
      <c r="Q41" s="26"/>
      <c r="R41" s="21"/>
      <c r="S41" s="21"/>
      <c r="T41" s="21"/>
      <c r="U41" s="21"/>
      <c r="V41" s="21"/>
      <c r="W41" s="21"/>
      <c r="X41" s="21"/>
      <c r="Y41" s="21"/>
      <c r="Z41" s="21"/>
    </row>
    <row r="42" ht="49.5" customHeight="1">
      <c r="A42" s="20" t="s">
        <v>147</v>
      </c>
      <c r="B42" s="21"/>
      <c r="C42" s="22">
        <v>25000.0</v>
      </c>
      <c r="D42" s="23">
        <v>2024.0</v>
      </c>
      <c r="E42" s="24">
        <v>45433.0</v>
      </c>
      <c r="F42" s="38" t="s">
        <v>167</v>
      </c>
      <c r="G42" s="26" t="s">
        <v>38</v>
      </c>
      <c r="H42" s="26" t="s">
        <v>23</v>
      </c>
      <c r="I42" s="26"/>
      <c r="J42" s="23">
        <v>2.0</v>
      </c>
      <c r="K42" s="27"/>
      <c r="L42" s="28"/>
      <c r="M42" s="34" t="s">
        <v>85</v>
      </c>
      <c r="N42" s="35" t="s">
        <v>168</v>
      </c>
      <c r="O42" s="31"/>
      <c r="P42" s="32">
        <v>485.0</v>
      </c>
      <c r="Q42" s="26"/>
      <c r="R42" s="21"/>
      <c r="S42" s="21"/>
      <c r="T42" s="21"/>
      <c r="U42" s="21"/>
      <c r="V42" s="21"/>
      <c r="W42" s="21"/>
      <c r="X42" s="21"/>
      <c r="Y42" s="21"/>
      <c r="Z42" s="21"/>
    </row>
    <row r="43" ht="49.5" customHeight="1">
      <c r="A43" s="20" t="s">
        <v>169</v>
      </c>
      <c r="B43" s="21"/>
      <c r="C43" s="22">
        <v>44000.0</v>
      </c>
      <c r="D43" s="23">
        <v>2023.0</v>
      </c>
      <c r="E43" s="24">
        <v>45281.0</v>
      </c>
      <c r="F43" s="38" t="s">
        <v>170</v>
      </c>
      <c r="G43" s="26" t="s">
        <v>58</v>
      </c>
      <c r="H43" s="26" t="s">
        <v>23</v>
      </c>
      <c r="I43" s="26"/>
      <c r="J43" s="23">
        <v>2.0</v>
      </c>
      <c r="K43" s="27"/>
      <c r="L43" s="28"/>
      <c r="M43" s="34" t="s">
        <v>85</v>
      </c>
      <c r="N43" s="35" t="s">
        <v>171</v>
      </c>
      <c r="O43" s="31"/>
      <c r="P43" s="32">
        <v>484.0</v>
      </c>
      <c r="Q43" s="26"/>
      <c r="R43" s="21"/>
      <c r="S43" s="21"/>
      <c r="T43" s="21"/>
      <c r="U43" s="21"/>
      <c r="V43" s="21"/>
      <c r="W43" s="21"/>
      <c r="X43" s="21"/>
      <c r="Y43" s="21"/>
      <c r="Z43" s="21"/>
    </row>
    <row r="44" ht="49.5" customHeight="1">
      <c r="A44" s="20" t="s">
        <v>172</v>
      </c>
      <c r="B44" s="21"/>
      <c r="C44" s="22">
        <v>500000.0</v>
      </c>
      <c r="D44" s="23">
        <v>2024.0</v>
      </c>
      <c r="E44" s="24">
        <v>45439.0</v>
      </c>
      <c r="F44" s="38" t="s">
        <v>173</v>
      </c>
      <c r="G44" s="26" t="s">
        <v>43</v>
      </c>
      <c r="H44" s="26" t="s">
        <v>23</v>
      </c>
      <c r="I44" s="26" t="s">
        <v>29</v>
      </c>
      <c r="J44" s="23">
        <v>2.0</v>
      </c>
      <c r="K44" s="27"/>
      <c r="L44" s="28"/>
      <c r="M44" s="34" t="s">
        <v>85</v>
      </c>
      <c r="N44" s="35" t="s">
        <v>174</v>
      </c>
      <c r="O44" s="31"/>
      <c r="P44" s="32">
        <v>483.0</v>
      </c>
      <c r="Q44" s="26"/>
      <c r="R44" s="21"/>
      <c r="S44" s="21"/>
      <c r="T44" s="21"/>
      <c r="U44" s="21"/>
      <c r="V44" s="21"/>
      <c r="W44" s="21"/>
      <c r="X44" s="21"/>
      <c r="Y44" s="21"/>
      <c r="Z44" s="21"/>
    </row>
    <row r="45" ht="49.5" customHeight="1">
      <c r="A45" s="20" t="s">
        <v>175</v>
      </c>
      <c r="B45" s="21"/>
      <c r="C45" s="22">
        <v>2800000.0</v>
      </c>
      <c r="D45" s="23">
        <v>2023.0</v>
      </c>
      <c r="E45" s="24">
        <v>45202.0</v>
      </c>
      <c r="F45" s="38" t="s">
        <v>176</v>
      </c>
      <c r="G45" s="26" t="s">
        <v>89</v>
      </c>
      <c r="H45" s="26" t="s">
        <v>23</v>
      </c>
      <c r="I45" s="26"/>
      <c r="J45" s="23">
        <v>2.0</v>
      </c>
      <c r="K45" s="27"/>
      <c r="L45" s="28"/>
      <c r="M45" s="34" t="s">
        <v>85</v>
      </c>
      <c r="N45" s="30" t="s">
        <v>177</v>
      </c>
      <c r="O45" s="31"/>
      <c r="P45" s="32">
        <v>482.0</v>
      </c>
      <c r="Q45" s="26"/>
      <c r="R45" s="21"/>
      <c r="S45" s="21"/>
      <c r="T45" s="21"/>
      <c r="U45" s="21"/>
      <c r="V45" s="21"/>
      <c r="W45" s="21"/>
      <c r="X45" s="21"/>
      <c r="Y45" s="21"/>
      <c r="Z45" s="21"/>
    </row>
    <row r="46" ht="49.5" customHeight="1">
      <c r="A46" s="20" t="s">
        <v>178</v>
      </c>
      <c r="B46" s="21"/>
      <c r="C46" s="22">
        <v>100000.0</v>
      </c>
      <c r="D46" s="23">
        <v>2024.0</v>
      </c>
      <c r="E46" s="24">
        <v>45343.0</v>
      </c>
      <c r="F46" s="38" t="s">
        <v>179</v>
      </c>
      <c r="G46" s="26" t="s">
        <v>89</v>
      </c>
      <c r="H46" s="26" t="s">
        <v>23</v>
      </c>
      <c r="I46" s="26"/>
      <c r="J46" s="23">
        <v>4.0</v>
      </c>
      <c r="K46" s="27"/>
      <c r="L46" s="28"/>
      <c r="M46" s="43" t="s">
        <v>85</v>
      </c>
      <c r="N46" s="35" t="s">
        <v>180</v>
      </c>
      <c r="O46" s="31"/>
      <c r="P46" s="32">
        <v>481.0</v>
      </c>
      <c r="Q46" s="26"/>
      <c r="R46" s="21"/>
      <c r="S46" s="21"/>
      <c r="T46" s="21"/>
      <c r="U46" s="21"/>
      <c r="V46" s="21"/>
      <c r="W46" s="21"/>
      <c r="X46" s="21"/>
      <c r="Y46" s="21"/>
      <c r="Z46" s="21"/>
    </row>
    <row r="47" ht="49.5" customHeight="1">
      <c r="A47" s="20" t="s">
        <v>181</v>
      </c>
      <c r="B47" s="21"/>
      <c r="C47" s="22" t="s">
        <v>182</v>
      </c>
      <c r="D47" s="23">
        <v>2023.0</v>
      </c>
      <c r="E47" s="24">
        <v>45034.0</v>
      </c>
      <c r="F47" s="38" t="s">
        <v>183</v>
      </c>
      <c r="G47" s="26" t="s">
        <v>50</v>
      </c>
      <c r="H47" s="26" t="s">
        <v>23</v>
      </c>
      <c r="I47" s="26"/>
      <c r="J47" s="23">
        <v>2.0</v>
      </c>
      <c r="K47" s="27"/>
      <c r="L47" s="28"/>
      <c r="M47" s="34" t="s">
        <v>85</v>
      </c>
      <c r="N47" s="30" t="s">
        <v>184</v>
      </c>
      <c r="O47" s="31"/>
      <c r="P47" s="32">
        <v>480.0</v>
      </c>
      <c r="Q47" s="26"/>
      <c r="R47" s="21"/>
      <c r="S47" s="21"/>
      <c r="T47" s="21"/>
      <c r="U47" s="21"/>
      <c r="V47" s="21"/>
      <c r="W47" s="21"/>
      <c r="X47" s="21"/>
      <c r="Y47" s="21"/>
      <c r="Z47" s="21"/>
    </row>
    <row r="48" ht="49.5" customHeight="1">
      <c r="A48" s="46" t="s">
        <v>185</v>
      </c>
      <c r="B48" s="20" t="s">
        <v>186</v>
      </c>
      <c r="C48" s="22" t="s">
        <v>187</v>
      </c>
      <c r="D48" s="23">
        <v>2023.0</v>
      </c>
      <c r="E48" s="24">
        <v>45237.0</v>
      </c>
      <c r="F48" s="38" t="s">
        <v>188</v>
      </c>
      <c r="G48" s="26" t="s">
        <v>22</v>
      </c>
      <c r="H48" s="26" t="s">
        <v>23</v>
      </c>
      <c r="I48" s="26"/>
      <c r="J48" s="23">
        <v>2.0</v>
      </c>
      <c r="K48" s="27"/>
      <c r="L48" s="28"/>
      <c r="M48" s="34" t="s">
        <v>85</v>
      </c>
      <c r="N48" s="30" t="s">
        <v>189</v>
      </c>
      <c r="O48" s="31"/>
      <c r="P48" s="32">
        <v>479.0</v>
      </c>
      <c r="Q48" s="26"/>
      <c r="R48" s="21"/>
      <c r="S48" s="21"/>
      <c r="T48" s="21"/>
      <c r="U48" s="21"/>
      <c r="V48" s="21"/>
      <c r="W48" s="21"/>
      <c r="X48" s="21"/>
      <c r="Y48" s="21"/>
      <c r="Z48" s="21"/>
    </row>
    <row r="49" ht="49.5" customHeight="1">
      <c r="A49" s="46" t="s">
        <v>190</v>
      </c>
      <c r="B49" s="20" t="s">
        <v>191</v>
      </c>
      <c r="C49" s="22">
        <v>895000.0</v>
      </c>
      <c r="D49" s="23">
        <v>2023.0</v>
      </c>
      <c r="E49" s="24">
        <v>45157.0</v>
      </c>
      <c r="F49" s="38" t="s">
        <v>192</v>
      </c>
      <c r="G49" s="26" t="s">
        <v>89</v>
      </c>
      <c r="H49" s="26" t="s">
        <v>23</v>
      </c>
      <c r="I49" s="26"/>
      <c r="J49" s="23">
        <v>4.0</v>
      </c>
      <c r="K49" s="27"/>
      <c r="L49" s="28"/>
      <c r="M49" s="34" t="s">
        <v>85</v>
      </c>
      <c r="N49" s="35" t="s">
        <v>193</v>
      </c>
      <c r="O49" s="31"/>
      <c r="P49" s="32">
        <v>478.0</v>
      </c>
      <c r="Q49" s="26"/>
      <c r="R49" s="21"/>
      <c r="S49" s="21"/>
      <c r="T49" s="21"/>
      <c r="U49" s="21"/>
      <c r="V49" s="21"/>
      <c r="W49" s="21"/>
      <c r="X49" s="21"/>
      <c r="Y49" s="21"/>
      <c r="Z49" s="21"/>
    </row>
    <row r="50" ht="49.5" customHeight="1">
      <c r="A50" s="20" t="s">
        <v>194</v>
      </c>
      <c r="B50" s="40" t="s">
        <v>195</v>
      </c>
      <c r="C50" s="22">
        <v>80000.0</v>
      </c>
      <c r="D50" s="23">
        <v>2024.0</v>
      </c>
      <c r="E50" s="24">
        <v>45412.0</v>
      </c>
      <c r="F50" s="25" t="s">
        <v>196</v>
      </c>
      <c r="G50" s="26" t="s">
        <v>64</v>
      </c>
      <c r="H50" s="26" t="s">
        <v>23</v>
      </c>
      <c r="I50" s="26"/>
      <c r="J50" s="23">
        <v>4.0</v>
      </c>
      <c r="K50" s="27"/>
      <c r="L50" s="28"/>
      <c r="M50" s="34" t="s">
        <v>85</v>
      </c>
      <c r="N50" s="30" t="s">
        <v>197</v>
      </c>
      <c r="O50" s="30" t="s">
        <v>198</v>
      </c>
      <c r="P50" s="32">
        <v>477.0</v>
      </c>
      <c r="Q50" s="26"/>
      <c r="R50" s="21"/>
      <c r="S50" s="21"/>
      <c r="T50" s="21"/>
      <c r="U50" s="21"/>
      <c r="V50" s="21"/>
      <c r="W50" s="21"/>
      <c r="X50" s="21"/>
      <c r="Y50" s="21"/>
      <c r="Z50" s="21"/>
    </row>
    <row r="51" ht="49.5" customHeight="1">
      <c r="A51" s="20" t="s">
        <v>199</v>
      </c>
      <c r="B51" s="21"/>
      <c r="C51" s="22">
        <v>100000.0</v>
      </c>
      <c r="D51" s="23">
        <v>2024.0</v>
      </c>
      <c r="E51" s="24">
        <v>45412.0</v>
      </c>
      <c r="F51" s="38" t="s">
        <v>200</v>
      </c>
      <c r="G51" s="26" t="s">
        <v>58</v>
      </c>
      <c r="H51" s="26" t="s">
        <v>23</v>
      </c>
      <c r="I51" s="26"/>
      <c r="J51" s="23">
        <v>3.0</v>
      </c>
      <c r="K51" s="27"/>
      <c r="L51" s="28"/>
      <c r="M51" s="34" t="s">
        <v>85</v>
      </c>
      <c r="N51" s="35" t="s">
        <v>201</v>
      </c>
      <c r="O51" s="30" t="s">
        <v>202</v>
      </c>
      <c r="P51" s="32">
        <v>476.0</v>
      </c>
      <c r="Q51" s="26"/>
      <c r="R51" s="21"/>
      <c r="S51" s="21"/>
      <c r="T51" s="21"/>
      <c r="U51" s="21"/>
      <c r="V51" s="21"/>
      <c r="W51" s="21"/>
      <c r="X51" s="21"/>
      <c r="Y51" s="21"/>
      <c r="Z51" s="21"/>
    </row>
    <row r="52" ht="49.5" customHeight="1">
      <c r="A52" s="20" t="s">
        <v>203</v>
      </c>
      <c r="B52" s="21"/>
      <c r="C52" s="22">
        <v>2.6E7</v>
      </c>
      <c r="D52" s="23">
        <v>2024.0</v>
      </c>
      <c r="E52" s="24">
        <v>45414.0</v>
      </c>
      <c r="F52" s="38" t="s">
        <v>204</v>
      </c>
      <c r="G52" s="26" t="s">
        <v>38</v>
      </c>
      <c r="H52" s="26" t="s">
        <v>23</v>
      </c>
      <c r="I52" s="26"/>
      <c r="J52" s="23">
        <v>2.0</v>
      </c>
      <c r="K52" s="27"/>
      <c r="L52" s="28"/>
      <c r="M52" s="34" t="s">
        <v>85</v>
      </c>
      <c r="N52" s="30" t="s">
        <v>205</v>
      </c>
      <c r="O52" s="30" t="s">
        <v>206</v>
      </c>
      <c r="P52" s="32">
        <v>475.0</v>
      </c>
      <c r="Q52" s="26"/>
      <c r="R52" s="21"/>
      <c r="S52" s="21"/>
      <c r="T52" s="21"/>
      <c r="U52" s="21"/>
      <c r="V52" s="21"/>
      <c r="W52" s="21"/>
      <c r="X52" s="21"/>
      <c r="Y52" s="21"/>
      <c r="Z52" s="21"/>
    </row>
    <row r="53" ht="49.5" customHeight="1">
      <c r="A53" s="20" t="s">
        <v>207</v>
      </c>
      <c r="B53" s="21"/>
      <c r="C53" s="22">
        <v>4.9E7</v>
      </c>
      <c r="D53" s="23">
        <v>2024.0</v>
      </c>
      <c r="E53" s="24">
        <v>45410.0</v>
      </c>
      <c r="F53" s="38" t="s">
        <v>208</v>
      </c>
      <c r="G53" s="26" t="s">
        <v>50</v>
      </c>
      <c r="H53" s="26" t="s">
        <v>142</v>
      </c>
      <c r="I53" s="26"/>
      <c r="J53" s="23">
        <v>2.0</v>
      </c>
      <c r="K53" s="27"/>
      <c r="L53" s="28"/>
      <c r="M53" s="34" t="s">
        <v>85</v>
      </c>
      <c r="N53" s="35" t="s">
        <v>209</v>
      </c>
      <c r="O53" s="31"/>
      <c r="P53" s="32">
        <v>474.0</v>
      </c>
      <c r="Q53" s="26"/>
      <c r="R53" s="21"/>
      <c r="S53" s="21"/>
      <c r="T53" s="21"/>
      <c r="U53" s="21"/>
      <c r="V53" s="21"/>
      <c r="W53" s="21"/>
      <c r="X53" s="21"/>
      <c r="Y53" s="21"/>
      <c r="Z53" s="21"/>
    </row>
    <row r="54" ht="49.5" customHeight="1">
      <c r="A54" s="20" t="s">
        <v>210</v>
      </c>
      <c r="B54" s="21"/>
      <c r="C54" s="22">
        <v>270000.0</v>
      </c>
      <c r="D54" s="23">
        <v>2024.0</v>
      </c>
      <c r="E54" s="24">
        <v>45419.0</v>
      </c>
      <c r="F54" s="38" t="s">
        <v>211</v>
      </c>
      <c r="G54" s="26" t="s">
        <v>64</v>
      </c>
      <c r="H54" s="26" t="s">
        <v>23</v>
      </c>
      <c r="I54" s="26"/>
      <c r="J54" s="23">
        <v>2.0</v>
      </c>
      <c r="K54" s="27"/>
      <c r="L54" s="28"/>
      <c r="M54" s="43" t="s">
        <v>85</v>
      </c>
      <c r="N54" s="35" t="s">
        <v>212</v>
      </c>
      <c r="O54" s="35" t="s">
        <v>213</v>
      </c>
      <c r="P54" s="32">
        <v>473.0</v>
      </c>
      <c r="Q54" s="26"/>
      <c r="R54" s="21"/>
      <c r="S54" s="21"/>
      <c r="T54" s="21"/>
      <c r="U54" s="21"/>
      <c r="V54" s="21"/>
      <c r="W54" s="21"/>
      <c r="X54" s="21"/>
      <c r="Y54" s="21"/>
      <c r="Z54" s="21"/>
    </row>
    <row r="55" ht="49.5" customHeight="1">
      <c r="A55" s="20" t="s">
        <v>214</v>
      </c>
      <c r="B55" s="40" t="s">
        <v>215</v>
      </c>
      <c r="C55" s="22">
        <v>100000.0</v>
      </c>
      <c r="D55" s="23">
        <v>2024.0</v>
      </c>
      <c r="E55" s="24">
        <v>45406.0</v>
      </c>
      <c r="F55" s="38" t="s">
        <v>216</v>
      </c>
      <c r="G55" s="26" t="s">
        <v>50</v>
      </c>
      <c r="H55" s="26" t="s">
        <v>23</v>
      </c>
      <c r="I55" s="26"/>
      <c r="J55" s="23">
        <v>2.0</v>
      </c>
      <c r="K55" s="27"/>
      <c r="L55" s="28"/>
      <c r="M55" s="34" t="s">
        <v>85</v>
      </c>
      <c r="N55" s="35" t="s">
        <v>217</v>
      </c>
      <c r="O55" s="31"/>
      <c r="P55" s="32">
        <v>472.0</v>
      </c>
      <c r="Q55" s="26"/>
      <c r="R55" s="21"/>
      <c r="S55" s="21"/>
      <c r="T55" s="21"/>
      <c r="U55" s="21"/>
      <c r="V55" s="21"/>
      <c r="W55" s="21"/>
      <c r="X55" s="21"/>
      <c r="Y55" s="21"/>
      <c r="Z55" s="21"/>
    </row>
    <row r="56" ht="49.5" customHeight="1">
      <c r="A56" s="20" t="s">
        <v>218</v>
      </c>
      <c r="B56" s="21"/>
      <c r="C56" s="22">
        <v>47000.0</v>
      </c>
      <c r="D56" s="23">
        <v>2024.0</v>
      </c>
      <c r="E56" s="24">
        <v>45361.0</v>
      </c>
      <c r="F56" s="38" t="s">
        <v>219</v>
      </c>
      <c r="G56" s="26" t="s">
        <v>43</v>
      </c>
      <c r="H56" s="26" t="s">
        <v>23</v>
      </c>
      <c r="I56" s="26"/>
      <c r="J56" s="23">
        <v>2.0</v>
      </c>
      <c r="K56" s="27"/>
      <c r="L56" s="28"/>
      <c r="M56" s="34" t="s">
        <v>85</v>
      </c>
      <c r="N56" s="35" t="s">
        <v>220</v>
      </c>
      <c r="O56" s="31"/>
      <c r="P56" s="32">
        <v>471.0</v>
      </c>
      <c r="Q56" s="26"/>
      <c r="R56" s="21"/>
      <c r="S56" s="21"/>
      <c r="T56" s="21"/>
      <c r="U56" s="21"/>
      <c r="V56" s="21"/>
      <c r="W56" s="21"/>
      <c r="X56" s="21"/>
      <c r="Y56" s="21"/>
      <c r="Z56" s="21"/>
    </row>
    <row r="57" ht="49.5" customHeight="1">
      <c r="A57" s="20" t="s">
        <v>221</v>
      </c>
      <c r="B57" s="21"/>
      <c r="C57" s="22">
        <v>25000.0</v>
      </c>
      <c r="D57" s="23">
        <v>2023.0</v>
      </c>
      <c r="E57" s="24">
        <v>45059.0</v>
      </c>
      <c r="F57" s="38" t="s">
        <v>222</v>
      </c>
      <c r="G57" s="26" t="s">
        <v>38</v>
      </c>
      <c r="H57" s="26" t="s">
        <v>23</v>
      </c>
      <c r="I57" s="26"/>
      <c r="J57" s="23">
        <v>4.0</v>
      </c>
      <c r="K57" s="27"/>
      <c r="L57" s="28"/>
      <c r="M57" s="34" t="s">
        <v>85</v>
      </c>
      <c r="N57" s="35" t="s">
        <v>223</v>
      </c>
      <c r="O57" s="31"/>
      <c r="P57" s="32">
        <v>470.0</v>
      </c>
      <c r="Q57" s="26"/>
      <c r="R57" s="21"/>
      <c r="S57" s="21"/>
      <c r="T57" s="21"/>
      <c r="U57" s="21"/>
      <c r="V57" s="21"/>
      <c r="W57" s="21"/>
      <c r="X57" s="21"/>
      <c r="Y57" s="21"/>
      <c r="Z57" s="21"/>
    </row>
    <row r="58" ht="49.5" customHeight="1">
      <c r="A58" s="20" t="s">
        <v>224</v>
      </c>
      <c r="B58" s="21"/>
      <c r="C58" s="22">
        <v>4.3E7</v>
      </c>
      <c r="D58" s="23">
        <v>2024.0</v>
      </c>
      <c r="E58" s="24">
        <v>45328.0</v>
      </c>
      <c r="F58" s="38" t="s">
        <v>225</v>
      </c>
      <c r="G58" s="26" t="s">
        <v>64</v>
      </c>
      <c r="H58" s="26" t="s">
        <v>23</v>
      </c>
      <c r="I58" s="26"/>
      <c r="J58" s="23">
        <v>2.0</v>
      </c>
      <c r="K58" s="27" t="s">
        <v>226</v>
      </c>
      <c r="L58" s="28"/>
      <c r="M58" s="34" t="s">
        <v>227</v>
      </c>
      <c r="N58" s="30" t="s">
        <v>228</v>
      </c>
      <c r="O58" s="31"/>
      <c r="P58" s="32">
        <v>469.0</v>
      </c>
      <c r="Q58" s="26"/>
      <c r="R58" s="21"/>
      <c r="S58" s="21"/>
      <c r="T58" s="21"/>
      <c r="U58" s="21"/>
      <c r="V58" s="21"/>
      <c r="W58" s="21"/>
      <c r="X58" s="21"/>
      <c r="Y58" s="21"/>
      <c r="Z58" s="21"/>
    </row>
    <row r="59" ht="49.5" customHeight="1">
      <c r="A59" s="46" t="s">
        <v>229</v>
      </c>
      <c r="B59" s="20" t="s">
        <v>230</v>
      </c>
      <c r="C59" s="22">
        <v>800000.0</v>
      </c>
      <c r="D59" s="23">
        <v>2023.0</v>
      </c>
      <c r="E59" s="24">
        <v>45440.0</v>
      </c>
      <c r="F59" s="38" t="s">
        <v>231</v>
      </c>
      <c r="G59" s="26" t="s">
        <v>64</v>
      </c>
      <c r="H59" s="26" t="s">
        <v>23</v>
      </c>
      <c r="I59" s="26"/>
      <c r="J59" s="23">
        <v>2.0</v>
      </c>
      <c r="K59" s="27"/>
      <c r="L59" s="28"/>
      <c r="M59" s="34" t="s">
        <v>85</v>
      </c>
      <c r="N59" s="35" t="s">
        <v>232</v>
      </c>
      <c r="O59" s="35" t="s">
        <v>233</v>
      </c>
      <c r="P59" s="32">
        <v>468.0</v>
      </c>
      <c r="Q59" s="26"/>
      <c r="R59" s="21"/>
      <c r="S59" s="21"/>
      <c r="T59" s="21"/>
      <c r="U59" s="21"/>
      <c r="V59" s="21"/>
      <c r="W59" s="21"/>
      <c r="X59" s="21"/>
      <c r="Y59" s="21"/>
      <c r="Z59" s="21"/>
    </row>
    <row r="60" ht="49.5" customHeight="1">
      <c r="A60" s="20" t="s">
        <v>234</v>
      </c>
      <c r="B60" s="21"/>
      <c r="C60" s="22">
        <v>538000.0</v>
      </c>
      <c r="D60" s="23">
        <v>2023.0</v>
      </c>
      <c r="E60" s="24">
        <v>45650.0</v>
      </c>
      <c r="F60" s="38" t="s">
        <v>235</v>
      </c>
      <c r="G60" s="26" t="s">
        <v>236</v>
      </c>
      <c r="H60" s="26" t="s">
        <v>23</v>
      </c>
      <c r="I60" s="26"/>
      <c r="J60" s="23">
        <v>2.0</v>
      </c>
      <c r="K60" s="27"/>
      <c r="L60" s="28"/>
      <c r="M60" s="34" t="s">
        <v>85</v>
      </c>
      <c r="N60" s="35" t="s">
        <v>237</v>
      </c>
      <c r="O60" s="31"/>
      <c r="P60" s="32">
        <v>467.0</v>
      </c>
      <c r="Q60" s="26"/>
      <c r="R60" s="21"/>
      <c r="S60" s="21"/>
      <c r="T60" s="21"/>
      <c r="U60" s="21"/>
      <c r="V60" s="21"/>
      <c r="W60" s="21"/>
      <c r="X60" s="21"/>
      <c r="Y60" s="21"/>
      <c r="Z60" s="21"/>
    </row>
    <row r="61" ht="49.5" customHeight="1">
      <c r="A61" s="20" t="s">
        <v>238</v>
      </c>
      <c r="B61" s="21"/>
      <c r="C61" s="22">
        <v>100000.0</v>
      </c>
      <c r="D61" s="23">
        <v>2023.0</v>
      </c>
      <c r="E61" s="24">
        <v>45539.0</v>
      </c>
      <c r="F61" s="38" t="s">
        <v>239</v>
      </c>
      <c r="G61" s="26" t="s">
        <v>50</v>
      </c>
      <c r="H61" s="26" t="s">
        <v>23</v>
      </c>
      <c r="I61" s="26"/>
      <c r="J61" s="23">
        <v>3.0</v>
      </c>
      <c r="K61" s="27"/>
      <c r="L61" s="28"/>
      <c r="M61" s="34" t="s">
        <v>85</v>
      </c>
      <c r="N61" s="35" t="s">
        <v>240</v>
      </c>
      <c r="O61" s="31"/>
      <c r="P61" s="32">
        <v>466.0</v>
      </c>
      <c r="Q61" s="26"/>
      <c r="R61" s="21"/>
      <c r="S61" s="21"/>
      <c r="T61" s="21"/>
      <c r="U61" s="21"/>
      <c r="V61" s="21"/>
      <c r="W61" s="21"/>
      <c r="X61" s="21"/>
      <c r="Y61" s="21"/>
      <c r="Z61" s="21"/>
    </row>
    <row r="62" ht="49.5" customHeight="1">
      <c r="A62" s="20" t="s">
        <v>241</v>
      </c>
      <c r="B62" s="21"/>
      <c r="C62" s="22">
        <v>7500.0</v>
      </c>
      <c r="D62" s="23">
        <v>2023.0</v>
      </c>
      <c r="E62" s="24">
        <v>45429.0</v>
      </c>
      <c r="F62" s="38" t="s">
        <v>242</v>
      </c>
      <c r="G62" s="26" t="s">
        <v>110</v>
      </c>
      <c r="H62" s="26" t="s">
        <v>23</v>
      </c>
      <c r="I62" s="26"/>
      <c r="J62" s="23">
        <v>1.0</v>
      </c>
      <c r="K62" s="27"/>
      <c r="L62" s="28"/>
      <c r="M62" s="34" t="s">
        <v>85</v>
      </c>
      <c r="N62" s="35" t="s">
        <v>243</v>
      </c>
      <c r="O62" s="31"/>
      <c r="P62" s="32">
        <v>465.0</v>
      </c>
      <c r="Q62" s="26"/>
      <c r="R62" s="21"/>
      <c r="S62" s="21"/>
      <c r="T62" s="21"/>
      <c r="U62" s="21"/>
      <c r="V62" s="21"/>
      <c r="W62" s="21"/>
      <c r="X62" s="21"/>
      <c r="Y62" s="21"/>
      <c r="Z62" s="21"/>
    </row>
    <row r="63" ht="49.5" customHeight="1">
      <c r="A63" s="20" t="s">
        <v>244</v>
      </c>
      <c r="B63" s="47"/>
      <c r="C63" s="22">
        <v>7.3E7</v>
      </c>
      <c r="D63" s="23">
        <v>2024.0</v>
      </c>
      <c r="E63" s="24">
        <v>45406.0</v>
      </c>
      <c r="F63" s="37" t="s">
        <v>245</v>
      </c>
      <c r="G63" s="26" t="s">
        <v>129</v>
      </c>
      <c r="H63" s="26" t="s">
        <v>23</v>
      </c>
      <c r="I63" s="26"/>
      <c r="J63" s="23">
        <v>4.0</v>
      </c>
      <c r="K63" s="27" t="s">
        <v>246</v>
      </c>
      <c r="L63" s="28"/>
      <c r="M63" s="34" t="s">
        <v>247</v>
      </c>
      <c r="N63" s="48" t="s">
        <v>248</v>
      </c>
      <c r="O63" s="31"/>
      <c r="P63" s="32">
        <v>464.0</v>
      </c>
      <c r="Q63" s="34"/>
      <c r="R63" s="32"/>
      <c r="S63" s="32"/>
      <c r="T63" s="32"/>
      <c r="U63" s="32"/>
      <c r="V63" s="32"/>
      <c r="W63" s="32"/>
      <c r="X63" s="32"/>
      <c r="Y63" s="32"/>
      <c r="Z63" s="32"/>
    </row>
    <row r="64" ht="49.5" customHeight="1">
      <c r="A64" s="20" t="s">
        <v>249</v>
      </c>
      <c r="B64" s="47"/>
      <c r="C64" s="22">
        <v>512000.0</v>
      </c>
      <c r="D64" s="23">
        <v>2023.0</v>
      </c>
      <c r="E64" s="24">
        <v>45222.0</v>
      </c>
      <c r="F64" s="37" t="s">
        <v>250</v>
      </c>
      <c r="G64" s="26" t="s">
        <v>22</v>
      </c>
      <c r="H64" s="26" t="s">
        <v>51</v>
      </c>
      <c r="I64" s="26"/>
      <c r="J64" s="23">
        <v>3.0</v>
      </c>
      <c r="K64" s="27"/>
      <c r="L64" s="28"/>
      <c r="M64" s="34" t="s">
        <v>251</v>
      </c>
      <c r="N64" s="48" t="s">
        <v>252</v>
      </c>
      <c r="O64" s="31"/>
      <c r="P64" s="32">
        <v>463.0</v>
      </c>
      <c r="Q64" s="34"/>
      <c r="R64" s="32"/>
      <c r="S64" s="32"/>
      <c r="T64" s="32"/>
      <c r="U64" s="32"/>
      <c r="V64" s="32"/>
      <c r="W64" s="32"/>
      <c r="X64" s="32"/>
      <c r="Y64" s="32"/>
      <c r="Z64" s="32"/>
    </row>
    <row r="65" ht="49.5" customHeight="1">
      <c r="A65" s="20" t="s">
        <v>253</v>
      </c>
      <c r="B65" s="47"/>
      <c r="C65" s="22">
        <v>1300000.0</v>
      </c>
      <c r="D65" s="23">
        <v>2023.0</v>
      </c>
      <c r="E65" s="24">
        <v>45069.0</v>
      </c>
      <c r="F65" s="25" t="s">
        <v>254</v>
      </c>
      <c r="G65" s="26" t="s">
        <v>64</v>
      </c>
      <c r="H65" s="26" t="s">
        <v>23</v>
      </c>
      <c r="I65" s="26"/>
      <c r="J65" s="23">
        <v>4.0</v>
      </c>
      <c r="K65" s="27"/>
      <c r="L65" s="28"/>
      <c r="M65" s="34" t="s">
        <v>34</v>
      </c>
      <c r="N65" s="48" t="s">
        <v>255</v>
      </c>
      <c r="O65" s="31"/>
      <c r="P65" s="32">
        <v>462.0</v>
      </c>
      <c r="Q65" s="34"/>
      <c r="R65" s="32"/>
      <c r="S65" s="32"/>
      <c r="T65" s="32"/>
      <c r="U65" s="32"/>
      <c r="V65" s="32"/>
      <c r="W65" s="32"/>
      <c r="X65" s="32"/>
      <c r="Y65" s="32"/>
      <c r="Z65" s="32"/>
    </row>
    <row r="66" ht="49.5" customHeight="1">
      <c r="A66" s="20" t="s">
        <v>256</v>
      </c>
      <c r="B66" s="47"/>
      <c r="C66" s="22">
        <v>8500000.0</v>
      </c>
      <c r="D66" s="23">
        <v>2023.0</v>
      </c>
      <c r="E66" s="24">
        <v>45253.0</v>
      </c>
      <c r="F66" s="25" t="s">
        <v>257</v>
      </c>
      <c r="G66" s="26" t="s">
        <v>258</v>
      </c>
      <c r="H66" s="26" t="s">
        <v>23</v>
      </c>
      <c r="I66" s="26"/>
      <c r="J66" s="23">
        <v>4.0</v>
      </c>
      <c r="K66" s="27"/>
      <c r="L66" s="28"/>
      <c r="M66" s="34" t="s">
        <v>85</v>
      </c>
      <c r="N66" s="48" t="s">
        <v>259</v>
      </c>
      <c r="O66" s="31"/>
      <c r="P66" s="32">
        <v>461.0</v>
      </c>
      <c r="Q66" s="34"/>
      <c r="R66" s="32"/>
      <c r="S66" s="32"/>
      <c r="T66" s="32"/>
      <c r="U66" s="32"/>
      <c r="V66" s="32"/>
      <c r="W66" s="32"/>
      <c r="X66" s="32"/>
      <c r="Y66" s="32"/>
      <c r="Z66" s="32"/>
    </row>
    <row r="67" ht="49.5" customHeight="1">
      <c r="A67" s="20" t="s">
        <v>260</v>
      </c>
      <c r="B67" s="47"/>
      <c r="C67" s="22">
        <v>1.0E7</v>
      </c>
      <c r="D67" s="23">
        <v>2023.0</v>
      </c>
      <c r="E67" s="24">
        <v>45130.0</v>
      </c>
      <c r="F67" s="38" t="s">
        <v>261</v>
      </c>
      <c r="G67" s="26" t="s">
        <v>64</v>
      </c>
      <c r="H67" s="26" t="s">
        <v>23</v>
      </c>
      <c r="I67" s="26"/>
      <c r="J67" s="23">
        <v>4.0</v>
      </c>
      <c r="K67" s="27"/>
      <c r="L67" s="28"/>
      <c r="M67" s="34" t="s">
        <v>85</v>
      </c>
      <c r="N67" s="48" t="s">
        <v>262</v>
      </c>
      <c r="O67" s="31"/>
      <c r="P67" s="32">
        <v>460.0</v>
      </c>
      <c r="Q67" s="34"/>
      <c r="R67" s="32"/>
      <c r="S67" s="32"/>
      <c r="T67" s="32"/>
      <c r="U67" s="32"/>
      <c r="V67" s="32"/>
      <c r="W67" s="32"/>
      <c r="X67" s="32"/>
      <c r="Y67" s="32"/>
      <c r="Z67" s="32"/>
    </row>
    <row r="68" ht="49.5" customHeight="1">
      <c r="A68" s="20" t="s">
        <v>263</v>
      </c>
      <c r="B68" s="47"/>
      <c r="C68" s="22">
        <v>134.0</v>
      </c>
      <c r="D68" s="23">
        <v>2023.0</v>
      </c>
      <c r="E68" s="24">
        <v>45253.0</v>
      </c>
      <c r="F68" s="38" t="s">
        <v>264</v>
      </c>
      <c r="G68" s="26" t="s">
        <v>50</v>
      </c>
      <c r="H68" s="26" t="s">
        <v>23</v>
      </c>
      <c r="I68" s="26"/>
      <c r="J68" s="23">
        <v>1.0</v>
      </c>
      <c r="K68" s="27"/>
      <c r="L68" s="28"/>
      <c r="M68" s="34" t="s">
        <v>263</v>
      </c>
      <c r="N68" s="48" t="s">
        <v>265</v>
      </c>
      <c r="O68" s="31"/>
      <c r="P68" s="32">
        <v>459.0</v>
      </c>
      <c r="Q68" s="34"/>
      <c r="R68" s="32"/>
      <c r="S68" s="32"/>
      <c r="T68" s="32"/>
      <c r="U68" s="32"/>
      <c r="V68" s="32"/>
      <c r="W68" s="32"/>
      <c r="X68" s="32"/>
      <c r="Y68" s="32"/>
      <c r="Z68" s="32"/>
    </row>
    <row r="69" ht="49.5" customHeight="1">
      <c r="A69" s="20" t="s">
        <v>266</v>
      </c>
      <c r="B69" s="47"/>
      <c r="C69" s="22">
        <v>7000000.0</v>
      </c>
      <c r="D69" s="23">
        <v>2023.0</v>
      </c>
      <c r="E69" s="24">
        <v>45069.0</v>
      </c>
      <c r="F69" s="38" t="s">
        <v>267</v>
      </c>
      <c r="G69" s="26" t="s">
        <v>258</v>
      </c>
      <c r="H69" s="26" t="s">
        <v>23</v>
      </c>
      <c r="I69" s="26"/>
      <c r="J69" s="23">
        <v>3.0</v>
      </c>
      <c r="K69" s="27"/>
      <c r="L69" s="28"/>
      <c r="M69" s="34" t="s">
        <v>85</v>
      </c>
      <c r="N69" s="48" t="s">
        <v>268</v>
      </c>
      <c r="O69" s="31"/>
      <c r="P69" s="32">
        <v>458.0</v>
      </c>
      <c r="Q69" s="34"/>
      <c r="R69" s="32"/>
      <c r="S69" s="32"/>
      <c r="T69" s="32"/>
      <c r="U69" s="32"/>
      <c r="V69" s="32"/>
      <c r="W69" s="32"/>
      <c r="X69" s="32"/>
      <c r="Y69" s="32"/>
      <c r="Z69" s="32"/>
    </row>
    <row r="70" ht="49.5" customHeight="1">
      <c r="A70" s="20" t="s">
        <v>269</v>
      </c>
      <c r="B70" s="47"/>
      <c r="C70" s="22">
        <v>3.6E7</v>
      </c>
      <c r="D70" s="23">
        <v>2023.0</v>
      </c>
      <c r="E70" s="24">
        <v>45222.0</v>
      </c>
      <c r="F70" s="38" t="s">
        <v>270</v>
      </c>
      <c r="G70" s="26" t="s">
        <v>129</v>
      </c>
      <c r="H70" s="26" t="s">
        <v>23</v>
      </c>
      <c r="I70" s="26"/>
      <c r="J70" s="23">
        <v>2.0</v>
      </c>
      <c r="K70" s="27"/>
      <c r="L70" s="28"/>
      <c r="M70" s="34" t="s">
        <v>34</v>
      </c>
      <c r="N70" s="48" t="s">
        <v>271</v>
      </c>
      <c r="O70" s="31"/>
      <c r="P70" s="32">
        <v>457.0</v>
      </c>
      <c r="Q70" s="34"/>
      <c r="R70" s="32"/>
      <c r="S70" s="32"/>
      <c r="T70" s="32"/>
      <c r="U70" s="32"/>
      <c r="V70" s="32"/>
      <c r="W70" s="32"/>
      <c r="X70" s="32"/>
      <c r="Y70" s="32"/>
      <c r="Z70" s="32"/>
    </row>
    <row r="71" ht="49.5" customHeight="1">
      <c r="A71" s="20" t="s">
        <v>272</v>
      </c>
      <c r="B71" s="21"/>
      <c r="C71" s="22">
        <v>13200.0</v>
      </c>
      <c r="D71" s="23">
        <v>2023.0</v>
      </c>
      <c r="E71" s="24">
        <v>44980.0</v>
      </c>
      <c r="F71" s="49" t="s">
        <v>273</v>
      </c>
      <c r="G71" s="26" t="s">
        <v>50</v>
      </c>
      <c r="H71" s="26" t="s">
        <v>142</v>
      </c>
      <c r="I71" s="26" t="s">
        <v>29</v>
      </c>
      <c r="J71" s="23">
        <v>1.0</v>
      </c>
      <c r="K71" s="27"/>
      <c r="L71" s="28"/>
      <c r="M71" s="34" t="s">
        <v>274</v>
      </c>
      <c r="N71" s="35" t="s">
        <v>275</v>
      </c>
      <c r="O71" s="31"/>
      <c r="P71" s="32">
        <v>456.0</v>
      </c>
      <c r="Q71" s="38"/>
      <c r="R71" s="21"/>
      <c r="S71" s="21"/>
      <c r="T71" s="21"/>
      <c r="U71" s="21"/>
      <c r="V71" s="21"/>
      <c r="W71" s="21"/>
      <c r="X71" s="21"/>
      <c r="Y71" s="21"/>
      <c r="Z71" s="21"/>
    </row>
    <row r="72" ht="69.0" customHeight="1">
      <c r="A72" s="20" t="s">
        <v>276</v>
      </c>
      <c r="B72" s="21"/>
      <c r="C72" s="22">
        <v>100000.0</v>
      </c>
      <c r="D72" s="23">
        <v>2023.0</v>
      </c>
      <c r="E72" s="24">
        <v>44958.0</v>
      </c>
      <c r="F72" s="49" t="s">
        <v>277</v>
      </c>
      <c r="G72" s="26" t="s">
        <v>28</v>
      </c>
      <c r="H72" s="26" t="s">
        <v>23</v>
      </c>
      <c r="I72" s="26" t="s">
        <v>29</v>
      </c>
      <c r="J72" s="23">
        <v>1.0</v>
      </c>
      <c r="K72" s="27"/>
      <c r="L72" s="28"/>
      <c r="M72" s="34" t="s">
        <v>278</v>
      </c>
      <c r="N72" s="35" t="s">
        <v>279</v>
      </c>
      <c r="O72" s="31"/>
      <c r="P72" s="32">
        <v>455.0</v>
      </c>
      <c r="Q72" s="38"/>
      <c r="R72" s="21"/>
      <c r="S72" s="21"/>
      <c r="T72" s="21"/>
      <c r="U72" s="21"/>
      <c r="V72" s="21"/>
      <c r="W72" s="21"/>
      <c r="X72" s="21"/>
      <c r="Y72" s="21"/>
      <c r="Z72" s="21"/>
    </row>
    <row r="73" ht="49.5" customHeight="1">
      <c r="A73" s="20" t="s">
        <v>280</v>
      </c>
      <c r="B73" s="21"/>
      <c r="C73" s="22">
        <v>1228000.0</v>
      </c>
      <c r="D73" s="23">
        <v>2022.0</v>
      </c>
      <c r="E73" s="24">
        <v>45282.0</v>
      </c>
      <c r="F73" s="49" t="s">
        <v>281</v>
      </c>
      <c r="G73" s="26" t="s">
        <v>28</v>
      </c>
      <c r="H73" s="26" t="s">
        <v>23</v>
      </c>
      <c r="I73" s="26" t="s">
        <v>29</v>
      </c>
      <c r="J73" s="23">
        <v>3.0</v>
      </c>
      <c r="K73" s="27"/>
      <c r="L73" s="28"/>
      <c r="M73" s="34" t="s">
        <v>85</v>
      </c>
      <c r="N73" s="35" t="s">
        <v>282</v>
      </c>
      <c r="O73" s="31"/>
      <c r="P73" s="32">
        <v>454.0</v>
      </c>
      <c r="Q73" s="38"/>
      <c r="R73" s="21"/>
      <c r="S73" s="21"/>
      <c r="T73" s="21"/>
      <c r="U73" s="21"/>
      <c r="V73" s="21"/>
      <c r="W73" s="21"/>
      <c r="X73" s="21"/>
      <c r="Y73" s="21"/>
      <c r="Z73" s="21"/>
    </row>
    <row r="74" ht="49.5" customHeight="1">
      <c r="A74" s="20" t="s">
        <v>283</v>
      </c>
      <c r="B74" s="21"/>
      <c r="C74" s="22">
        <v>1.06E7</v>
      </c>
      <c r="D74" s="23">
        <v>2023.0</v>
      </c>
      <c r="E74" s="50" t="s">
        <v>284</v>
      </c>
      <c r="F74" s="49" t="s">
        <v>285</v>
      </c>
      <c r="G74" s="26" t="s">
        <v>43</v>
      </c>
      <c r="H74" s="26" t="s">
        <v>23</v>
      </c>
      <c r="I74" s="26" t="s">
        <v>29</v>
      </c>
      <c r="J74" s="23">
        <v>3.0</v>
      </c>
      <c r="K74" s="27"/>
      <c r="L74" s="28"/>
      <c r="M74" s="34" t="s">
        <v>286</v>
      </c>
      <c r="N74" s="35" t="s">
        <v>287</v>
      </c>
      <c r="O74" s="31"/>
      <c r="P74" s="32">
        <v>453.0</v>
      </c>
      <c r="Q74" s="38"/>
      <c r="R74" s="21"/>
      <c r="S74" s="21"/>
      <c r="T74" s="21"/>
      <c r="U74" s="21"/>
      <c r="V74" s="21"/>
      <c r="W74" s="21"/>
      <c r="X74" s="21"/>
      <c r="Y74" s="21"/>
      <c r="Z74" s="21"/>
    </row>
    <row r="75" ht="49.5" customHeight="1">
      <c r="A75" s="20" t="s">
        <v>288</v>
      </c>
      <c r="B75" s="21"/>
      <c r="C75" s="22">
        <v>2.0E7</v>
      </c>
      <c r="D75" s="23">
        <v>2022.0</v>
      </c>
      <c r="E75" s="24">
        <v>44896.0</v>
      </c>
      <c r="F75" s="38" t="s">
        <v>289</v>
      </c>
      <c r="G75" s="26" t="s">
        <v>22</v>
      </c>
      <c r="H75" s="26" t="s">
        <v>23</v>
      </c>
      <c r="I75" s="26" t="s">
        <v>29</v>
      </c>
      <c r="J75" s="23">
        <v>1.0</v>
      </c>
      <c r="K75" s="27"/>
      <c r="L75" s="28"/>
      <c r="M75" s="34" t="s">
        <v>290</v>
      </c>
      <c r="N75" s="35" t="s">
        <v>291</v>
      </c>
      <c r="O75" s="31"/>
      <c r="P75" s="32">
        <v>452.0</v>
      </c>
      <c r="Q75" s="26"/>
      <c r="R75" s="21"/>
      <c r="S75" s="21"/>
      <c r="T75" s="21"/>
      <c r="U75" s="21"/>
      <c r="V75" s="21"/>
      <c r="W75" s="21"/>
      <c r="X75" s="21"/>
      <c r="Y75" s="21"/>
      <c r="Z75" s="21"/>
    </row>
    <row r="76" ht="49.5" customHeight="1">
      <c r="A76" s="20" t="s">
        <v>292</v>
      </c>
      <c r="B76" s="51"/>
      <c r="C76" s="22">
        <v>2.0E8</v>
      </c>
      <c r="D76" s="23">
        <v>2023.0</v>
      </c>
      <c r="E76" s="24">
        <v>44927.0</v>
      </c>
      <c r="F76" s="38" t="s">
        <v>293</v>
      </c>
      <c r="G76" s="26" t="s">
        <v>28</v>
      </c>
      <c r="H76" s="26" t="s">
        <v>51</v>
      </c>
      <c r="I76" s="28"/>
      <c r="J76" s="23">
        <v>1.0</v>
      </c>
      <c r="K76" s="27" t="s">
        <v>294</v>
      </c>
      <c r="L76" s="28"/>
      <c r="M76" s="34" t="s">
        <v>295</v>
      </c>
      <c r="N76" s="35" t="s">
        <v>296</v>
      </c>
      <c r="O76" s="31"/>
      <c r="P76" s="32">
        <v>451.0</v>
      </c>
      <c r="Q76" s="26"/>
      <c r="R76" s="21"/>
      <c r="S76" s="21"/>
      <c r="T76" s="21"/>
      <c r="U76" s="21"/>
      <c r="V76" s="21"/>
      <c r="W76" s="21"/>
      <c r="X76" s="21"/>
      <c r="Y76" s="21"/>
      <c r="Z76" s="21"/>
    </row>
    <row r="77" ht="49.5" customHeight="1">
      <c r="A77" s="20" t="s">
        <v>297</v>
      </c>
      <c r="B77" s="51"/>
      <c r="C77" s="22">
        <v>1500000.0</v>
      </c>
      <c r="D77" s="23">
        <v>2023.0</v>
      </c>
      <c r="E77" s="24">
        <v>44927.0</v>
      </c>
      <c r="F77" s="26" t="s">
        <v>298</v>
      </c>
      <c r="G77" s="26" t="s">
        <v>22</v>
      </c>
      <c r="H77" s="26" t="s">
        <v>23</v>
      </c>
      <c r="I77" s="26" t="s">
        <v>29</v>
      </c>
      <c r="J77" s="23">
        <v>2.0</v>
      </c>
      <c r="K77" s="27"/>
      <c r="L77" s="28"/>
      <c r="M77" s="34" t="s">
        <v>85</v>
      </c>
      <c r="N77" s="35" t="s">
        <v>299</v>
      </c>
      <c r="O77" s="31"/>
      <c r="P77" s="32">
        <v>450.0</v>
      </c>
      <c r="Q77" s="26"/>
      <c r="R77" s="21"/>
      <c r="S77" s="21"/>
      <c r="T77" s="21"/>
      <c r="U77" s="21"/>
      <c r="V77" s="21"/>
      <c r="W77" s="21"/>
      <c r="X77" s="21"/>
      <c r="Y77" s="21"/>
      <c r="Z77" s="21"/>
    </row>
    <row r="78" ht="49.5" customHeight="1">
      <c r="A78" s="20" t="s">
        <v>300</v>
      </c>
      <c r="B78" s="51"/>
      <c r="C78" s="22">
        <v>1.0E7</v>
      </c>
      <c r="D78" s="23">
        <v>2023.0</v>
      </c>
      <c r="E78" s="24">
        <v>44927.0</v>
      </c>
      <c r="F78" s="26" t="s">
        <v>301</v>
      </c>
      <c r="G78" s="26" t="s">
        <v>43</v>
      </c>
      <c r="H78" s="26" t="s">
        <v>23</v>
      </c>
      <c r="I78" s="26" t="s">
        <v>29</v>
      </c>
      <c r="J78" s="23">
        <v>2.0</v>
      </c>
      <c r="K78" s="27"/>
      <c r="L78" s="28"/>
      <c r="M78" s="34" t="s">
        <v>85</v>
      </c>
      <c r="N78" s="35" t="s">
        <v>302</v>
      </c>
      <c r="O78" s="31"/>
      <c r="P78" s="32">
        <v>449.0</v>
      </c>
      <c r="Q78" s="26"/>
      <c r="R78" s="21"/>
      <c r="S78" s="21"/>
      <c r="T78" s="21"/>
      <c r="U78" s="21"/>
      <c r="V78" s="21"/>
      <c r="W78" s="21"/>
      <c r="X78" s="21"/>
      <c r="Y78" s="21"/>
      <c r="Z78" s="21"/>
    </row>
    <row r="79" ht="49.5" customHeight="1">
      <c r="A79" s="20" t="s">
        <v>303</v>
      </c>
      <c r="B79" s="51"/>
      <c r="C79" s="22">
        <v>5800000.0</v>
      </c>
      <c r="D79" s="23">
        <v>2023.0</v>
      </c>
      <c r="E79" s="24">
        <v>45047.0</v>
      </c>
      <c r="F79" s="26" t="s">
        <v>304</v>
      </c>
      <c r="G79" s="26" t="s">
        <v>258</v>
      </c>
      <c r="H79" s="26" t="s">
        <v>23</v>
      </c>
      <c r="I79" s="28"/>
      <c r="J79" s="23">
        <v>4.0</v>
      </c>
      <c r="K79" s="27"/>
      <c r="L79" s="28"/>
      <c r="M79" s="34" t="s">
        <v>85</v>
      </c>
      <c r="N79" s="35" t="s">
        <v>305</v>
      </c>
      <c r="O79" s="31"/>
      <c r="P79" s="32">
        <v>448.0</v>
      </c>
      <c r="Q79" s="26"/>
      <c r="R79" s="21"/>
      <c r="S79" s="21"/>
      <c r="T79" s="21"/>
      <c r="U79" s="21"/>
      <c r="V79" s="21"/>
      <c r="W79" s="21"/>
      <c r="X79" s="21"/>
      <c r="Y79" s="21"/>
      <c r="Z79" s="21"/>
    </row>
    <row r="80" ht="49.5" customHeight="1">
      <c r="A80" s="20" t="s">
        <v>306</v>
      </c>
      <c r="B80" s="51"/>
      <c r="C80" s="22">
        <v>8000.0</v>
      </c>
      <c r="D80" s="23">
        <v>2023.0</v>
      </c>
      <c r="E80" s="24">
        <v>45108.0</v>
      </c>
      <c r="F80" s="26" t="s">
        <v>307</v>
      </c>
      <c r="G80" s="26" t="s">
        <v>64</v>
      </c>
      <c r="H80" s="26" t="s">
        <v>23</v>
      </c>
      <c r="I80" s="26" t="s">
        <v>29</v>
      </c>
      <c r="J80" s="23">
        <v>4.0</v>
      </c>
      <c r="K80" s="27"/>
      <c r="L80" s="28"/>
      <c r="M80" s="34" t="s">
        <v>227</v>
      </c>
      <c r="N80" s="35" t="s">
        <v>308</v>
      </c>
      <c r="O80" s="31"/>
      <c r="P80" s="32">
        <v>447.0</v>
      </c>
      <c r="Q80" s="26"/>
      <c r="R80" s="21"/>
      <c r="S80" s="21"/>
      <c r="T80" s="21"/>
      <c r="U80" s="21"/>
      <c r="V80" s="21"/>
      <c r="W80" s="21"/>
      <c r="X80" s="21"/>
      <c r="Y80" s="21"/>
      <c r="Z80" s="21"/>
    </row>
    <row r="81" ht="49.5" customHeight="1">
      <c r="A81" s="20" t="s">
        <v>309</v>
      </c>
      <c r="B81" s="51"/>
      <c r="C81" s="22">
        <v>1114954.0</v>
      </c>
      <c r="D81" s="23">
        <v>2023.0</v>
      </c>
      <c r="E81" s="24">
        <v>45139.0</v>
      </c>
      <c r="F81" s="26" t="s">
        <v>310</v>
      </c>
      <c r="G81" s="26" t="s">
        <v>43</v>
      </c>
      <c r="H81" s="26" t="s">
        <v>23</v>
      </c>
      <c r="I81" s="28"/>
      <c r="J81" s="23">
        <v>2.0</v>
      </c>
      <c r="K81" s="27"/>
      <c r="L81" s="28"/>
      <c r="M81" s="34" t="s">
        <v>85</v>
      </c>
      <c r="N81" s="35" t="s">
        <v>311</v>
      </c>
      <c r="O81" s="31"/>
      <c r="P81" s="32">
        <v>446.0</v>
      </c>
      <c r="Q81" s="26"/>
      <c r="R81" s="21"/>
      <c r="S81" s="21"/>
      <c r="T81" s="21"/>
      <c r="U81" s="21"/>
      <c r="V81" s="21"/>
      <c r="W81" s="21"/>
      <c r="X81" s="21"/>
      <c r="Y81" s="21"/>
      <c r="Z81" s="21"/>
    </row>
    <row r="82" ht="49.5" customHeight="1">
      <c r="A82" s="20" t="s">
        <v>312</v>
      </c>
      <c r="B82" s="51"/>
      <c r="C82" s="22">
        <v>6800.0</v>
      </c>
      <c r="D82" s="23">
        <v>2023.0</v>
      </c>
      <c r="E82" s="24">
        <v>45200.0</v>
      </c>
      <c r="F82" s="26" t="s">
        <v>313</v>
      </c>
      <c r="G82" s="26" t="s">
        <v>50</v>
      </c>
      <c r="H82" s="26" t="s">
        <v>23</v>
      </c>
      <c r="I82" s="28"/>
      <c r="J82" s="23">
        <v>2.0</v>
      </c>
      <c r="K82" s="27"/>
      <c r="L82" s="28"/>
      <c r="M82" s="34" t="s">
        <v>314</v>
      </c>
      <c r="N82" s="35" t="s">
        <v>315</v>
      </c>
      <c r="O82" s="35" t="s">
        <v>316</v>
      </c>
      <c r="P82" s="32">
        <v>445.0</v>
      </c>
      <c r="Q82" s="26"/>
      <c r="R82" s="21"/>
      <c r="S82" s="21"/>
      <c r="T82" s="21"/>
      <c r="U82" s="21"/>
      <c r="V82" s="21"/>
      <c r="W82" s="21"/>
      <c r="X82" s="21"/>
      <c r="Y82" s="21"/>
      <c r="Z82" s="21"/>
    </row>
    <row r="83" ht="49.5" customHeight="1">
      <c r="A83" s="52" t="s">
        <v>317</v>
      </c>
      <c r="B83" s="53"/>
      <c r="C83" s="22">
        <v>6900000.0</v>
      </c>
      <c r="D83" s="23">
        <v>2023.0</v>
      </c>
      <c r="E83" s="54">
        <v>45200.0</v>
      </c>
      <c r="F83" s="38" t="s">
        <v>318</v>
      </c>
      <c r="G83" s="26" t="s">
        <v>258</v>
      </c>
      <c r="H83" s="34" t="s">
        <v>23</v>
      </c>
      <c r="I83" s="34" t="s">
        <v>29</v>
      </c>
      <c r="J83" s="23">
        <v>4.0</v>
      </c>
      <c r="K83" s="27" t="s">
        <v>319</v>
      </c>
      <c r="L83" s="53"/>
      <c r="M83" s="34" t="s">
        <v>34</v>
      </c>
      <c r="N83" s="55" t="s">
        <v>320</v>
      </c>
      <c r="O83" s="56" t="s">
        <v>321</v>
      </c>
      <c r="P83" s="32">
        <v>444.0</v>
      </c>
      <c r="Q83" s="34"/>
      <c r="R83" s="53"/>
      <c r="S83" s="53"/>
      <c r="T83" s="53"/>
      <c r="U83" s="53"/>
      <c r="V83" s="53"/>
      <c r="W83" s="53"/>
      <c r="X83" s="53"/>
      <c r="Y83" s="53"/>
      <c r="Z83" s="53"/>
    </row>
    <row r="84" ht="49.5" customHeight="1">
      <c r="A84" s="52" t="s">
        <v>322</v>
      </c>
      <c r="B84" s="53"/>
      <c r="C84" s="22">
        <v>9700000.0</v>
      </c>
      <c r="D84" s="23">
        <v>2022.0</v>
      </c>
      <c r="E84" s="54" t="s">
        <v>323</v>
      </c>
      <c r="F84" s="38" t="s">
        <v>324</v>
      </c>
      <c r="G84" s="34" t="s">
        <v>129</v>
      </c>
      <c r="H84" s="34" t="s">
        <v>23</v>
      </c>
      <c r="I84" s="53"/>
      <c r="J84" s="23">
        <v>4.0</v>
      </c>
      <c r="K84" s="57"/>
      <c r="L84" s="53"/>
      <c r="M84" s="34" t="s">
        <v>325</v>
      </c>
      <c r="N84" s="55" t="s">
        <v>326</v>
      </c>
      <c r="O84" s="56" t="s">
        <v>327</v>
      </c>
      <c r="P84" s="32">
        <v>443.0</v>
      </c>
      <c r="Q84" s="34"/>
      <c r="R84" s="53"/>
      <c r="S84" s="53"/>
      <c r="T84" s="53"/>
      <c r="U84" s="53"/>
      <c r="V84" s="53"/>
      <c r="W84" s="53"/>
      <c r="X84" s="53"/>
      <c r="Y84" s="53"/>
      <c r="Z84" s="53"/>
    </row>
    <row r="85" ht="49.5" customHeight="1">
      <c r="A85" s="52" t="s">
        <v>328</v>
      </c>
      <c r="B85" s="53"/>
      <c r="C85" s="26">
        <v>34942.0</v>
      </c>
      <c r="D85" s="23">
        <v>2023.0</v>
      </c>
      <c r="E85" s="54">
        <v>44896.0</v>
      </c>
      <c r="F85" s="38" t="s">
        <v>329</v>
      </c>
      <c r="G85" s="26" t="s">
        <v>58</v>
      </c>
      <c r="H85" s="34" t="s">
        <v>23</v>
      </c>
      <c r="I85" s="53"/>
      <c r="J85" s="23">
        <v>2.0</v>
      </c>
      <c r="K85" s="57"/>
      <c r="L85" s="53"/>
      <c r="M85" s="34" t="s">
        <v>330</v>
      </c>
      <c r="N85" s="55" t="s">
        <v>331</v>
      </c>
      <c r="O85" s="56" t="s">
        <v>332</v>
      </c>
      <c r="P85" s="32">
        <v>442.0</v>
      </c>
      <c r="Q85" s="34"/>
      <c r="R85" s="53"/>
      <c r="S85" s="53"/>
      <c r="T85" s="53"/>
      <c r="U85" s="53"/>
      <c r="V85" s="53"/>
      <c r="W85" s="53"/>
      <c r="X85" s="53"/>
      <c r="Y85" s="53"/>
      <c r="Z85" s="53"/>
    </row>
    <row r="86" ht="49.5" customHeight="1">
      <c r="A86" s="52" t="s">
        <v>333</v>
      </c>
      <c r="B86" s="53"/>
      <c r="C86" s="22">
        <v>1.0E7</v>
      </c>
      <c r="D86" s="23">
        <v>2023.0</v>
      </c>
      <c r="E86" s="54">
        <v>44986.0</v>
      </c>
      <c r="F86" s="38" t="s">
        <v>334</v>
      </c>
      <c r="G86" s="34" t="s">
        <v>50</v>
      </c>
      <c r="H86" s="34" t="s">
        <v>23</v>
      </c>
      <c r="I86" s="53"/>
      <c r="J86" s="23">
        <v>1.0</v>
      </c>
      <c r="K86" s="57"/>
      <c r="L86" s="53"/>
      <c r="M86" s="34" t="s">
        <v>152</v>
      </c>
      <c r="N86" s="55" t="s">
        <v>335</v>
      </c>
      <c r="O86" s="56" t="s">
        <v>336</v>
      </c>
      <c r="P86" s="32">
        <v>441.0</v>
      </c>
      <c r="Q86" s="34"/>
      <c r="R86" s="53"/>
      <c r="S86" s="53"/>
      <c r="T86" s="53"/>
      <c r="U86" s="53"/>
      <c r="V86" s="53"/>
      <c r="W86" s="53"/>
      <c r="X86" s="53"/>
      <c r="Y86" s="53"/>
      <c r="Z86" s="53"/>
    </row>
    <row r="87" ht="49.5" customHeight="1">
      <c r="A87" s="20" t="s">
        <v>337</v>
      </c>
      <c r="B87" s="51"/>
      <c r="C87" s="22">
        <v>1.0E7</v>
      </c>
      <c r="D87" s="23">
        <v>2023.0</v>
      </c>
      <c r="E87" s="24">
        <v>45017.0</v>
      </c>
      <c r="F87" s="38" t="s">
        <v>338</v>
      </c>
      <c r="G87" s="26" t="s">
        <v>50</v>
      </c>
      <c r="H87" s="26" t="s">
        <v>23</v>
      </c>
      <c r="I87" s="28"/>
      <c r="J87" s="23">
        <v>1.0</v>
      </c>
      <c r="K87" s="27"/>
      <c r="L87" s="28"/>
      <c r="M87" s="34" t="s">
        <v>152</v>
      </c>
      <c r="N87" s="35" t="s">
        <v>339</v>
      </c>
      <c r="O87" s="35" t="s">
        <v>340</v>
      </c>
      <c r="P87" s="32">
        <v>440.0</v>
      </c>
      <c r="Q87" s="26"/>
      <c r="R87" s="32"/>
      <c r="S87" s="32"/>
      <c r="T87" s="32"/>
      <c r="U87" s="32"/>
      <c r="V87" s="32"/>
      <c r="W87" s="32"/>
      <c r="X87" s="32"/>
      <c r="Y87" s="32"/>
      <c r="Z87" s="32"/>
    </row>
    <row r="88" ht="49.5" customHeight="1">
      <c r="A88" s="20" t="s">
        <v>341</v>
      </c>
      <c r="B88" s="51"/>
      <c r="C88" s="22">
        <v>3.7E7</v>
      </c>
      <c r="D88" s="23">
        <v>2023.0</v>
      </c>
      <c r="E88" s="24">
        <v>44927.0</v>
      </c>
      <c r="F88" s="38" t="s">
        <v>342</v>
      </c>
      <c r="G88" s="26" t="s">
        <v>129</v>
      </c>
      <c r="H88" s="26" t="s">
        <v>23</v>
      </c>
      <c r="I88" s="28"/>
      <c r="J88" s="23">
        <v>2.0</v>
      </c>
      <c r="K88" s="27"/>
      <c r="L88" s="28"/>
      <c r="M88" s="34" t="s">
        <v>247</v>
      </c>
      <c r="N88" s="35" t="s">
        <v>343</v>
      </c>
      <c r="O88" s="31"/>
      <c r="P88" s="32">
        <v>439.0</v>
      </c>
      <c r="Q88" s="26"/>
      <c r="R88" s="32"/>
      <c r="S88" s="32"/>
      <c r="T88" s="32"/>
      <c r="U88" s="32"/>
      <c r="V88" s="32"/>
      <c r="W88" s="32"/>
      <c r="X88" s="32"/>
      <c r="Y88" s="32"/>
      <c r="Z88" s="32"/>
    </row>
    <row r="89" ht="49.5" customHeight="1">
      <c r="A89" s="20" t="s">
        <v>341</v>
      </c>
      <c r="B89" s="51"/>
      <c r="C89" s="22">
        <v>836.0</v>
      </c>
      <c r="D89" s="23">
        <v>2023.0</v>
      </c>
      <c r="E89" s="24">
        <v>44986.0</v>
      </c>
      <c r="F89" s="38" t="s">
        <v>344</v>
      </c>
      <c r="G89" s="26" t="s">
        <v>129</v>
      </c>
      <c r="H89" s="26" t="s">
        <v>23</v>
      </c>
      <c r="I89" s="28"/>
      <c r="J89" s="23">
        <v>2.0</v>
      </c>
      <c r="K89" s="27"/>
      <c r="L89" s="28"/>
      <c r="M89" s="34" t="s">
        <v>85</v>
      </c>
      <c r="N89" s="30" t="s">
        <v>345</v>
      </c>
      <c r="O89" s="31"/>
      <c r="P89" s="32">
        <v>438.0</v>
      </c>
      <c r="Q89" s="26"/>
      <c r="R89" s="32"/>
      <c r="S89" s="32"/>
      <c r="T89" s="32"/>
      <c r="U89" s="32"/>
      <c r="V89" s="32"/>
      <c r="W89" s="32"/>
      <c r="X89" s="32"/>
      <c r="Y89" s="32"/>
      <c r="Z89" s="32"/>
    </row>
    <row r="90" ht="49.5" customHeight="1">
      <c r="A90" s="20" t="s">
        <v>346</v>
      </c>
      <c r="B90" s="51"/>
      <c r="C90" s="22">
        <v>101000.0</v>
      </c>
      <c r="D90" s="23">
        <v>2023.0</v>
      </c>
      <c r="E90" s="24">
        <v>44986.0</v>
      </c>
      <c r="F90" s="26" t="s">
        <v>347</v>
      </c>
      <c r="G90" s="26" t="s">
        <v>50</v>
      </c>
      <c r="H90" s="26" t="s">
        <v>23</v>
      </c>
      <c r="I90" s="26" t="s">
        <v>29</v>
      </c>
      <c r="J90" s="23">
        <v>2.0</v>
      </c>
      <c r="K90" s="27"/>
      <c r="L90" s="28"/>
      <c r="M90" s="34" t="s">
        <v>85</v>
      </c>
      <c r="N90" s="35" t="s">
        <v>348</v>
      </c>
      <c r="O90" s="31"/>
      <c r="P90" s="32">
        <v>437.0</v>
      </c>
      <c r="Q90" s="26"/>
      <c r="R90" s="32"/>
      <c r="S90" s="32"/>
      <c r="T90" s="32"/>
      <c r="U90" s="32"/>
      <c r="V90" s="32"/>
      <c r="W90" s="32"/>
      <c r="X90" s="32"/>
      <c r="Y90" s="32"/>
      <c r="Z90" s="32"/>
    </row>
    <row r="91" ht="49.5" customHeight="1">
      <c r="A91" s="20" t="s">
        <v>349</v>
      </c>
      <c r="B91" s="47" t="s">
        <v>350</v>
      </c>
      <c r="C91" s="22">
        <v>2300000.0</v>
      </c>
      <c r="D91" s="23">
        <v>2023.0</v>
      </c>
      <c r="E91" s="24">
        <v>45047.0</v>
      </c>
      <c r="F91" s="38" t="s">
        <v>351</v>
      </c>
      <c r="G91" s="26" t="s">
        <v>58</v>
      </c>
      <c r="H91" s="26" t="s">
        <v>352</v>
      </c>
      <c r="I91" s="28"/>
      <c r="J91" s="23">
        <v>2.0</v>
      </c>
      <c r="K91" s="27"/>
      <c r="L91" s="28"/>
      <c r="M91" s="58" t="s">
        <v>353</v>
      </c>
      <c r="N91" s="35" t="s">
        <v>354</v>
      </c>
      <c r="O91" s="59" t="s">
        <v>355</v>
      </c>
      <c r="P91" s="32">
        <v>436.0</v>
      </c>
      <c r="Q91" s="26"/>
      <c r="R91" s="32"/>
      <c r="S91" s="32"/>
      <c r="T91" s="32"/>
      <c r="U91" s="32"/>
      <c r="V91" s="32"/>
      <c r="W91" s="32"/>
      <c r="X91" s="32"/>
      <c r="Y91" s="32"/>
      <c r="Z91" s="32"/>
    </row>
    <row r="92" ht="49.5" customHeight="1">
      <c r="A92" s="20" t="s">
        <v>356</v>
      </c>
      <c r="B92" s="51"/>
      <c r="C92" s="22">
        <v>3.0E7</v>
      </c>
      <c r="D92" s="23">
        <v>2023.0</v>
      </c>
      <c r="E92" s="24">
        <v>45078.0</v>
      </c>
      <c r="F92" s="38" t="s">
        <v>357</v>
      </c>
      <c r="G92" s="26" t="s">
        <v>28</v>
      </c>
      <c r="H92" s="26" t="s">
        <v>23</v>
      </c>
      <c r="I92" s="28"/>
      <c r="J92" s="23">
        <v>2.0</v>
      </c>
      <c r="K92" s="27"/>
      <c r="L92" s="28"/>
      <c r="M92" s="34" t="s">
        <v>85</v>
      </c>
      <c r="N92" s="55" t="s">
        <v>358</v>
      </c>
      <c r="O92" s="31"/>
      <c r="P92" s="32">
        <v>435.0</v>
      </c>
      <c r="Q92" s="26"/>
      <c r="R92" s="32"/>
      <c r="S92" s="32"/>
      <c r="T92" s="32"/>
      <c r="U92" s="32"/>
      <c r="V92" s="32"/>
      <c r="W92" s="32"/>
      <c r="X92" s="32"/>
      <c r="Y92" s="32"/>
      <c r="Z92" s="32"/>
    </row>
    <row r="93" ht="49.5" customHeight="1">
      <c r="A93" s="20" t="s">
        <v>356</v>
      </c>
      <c r="B93" s="51"/>
      <c r="C93" s="22">
        <v>1.0E7</v>
      </c>
      <c r="D93" s="23">
        <v>2023.0</v>
      </c>
      <c r="E93" s="24">
        <v>45047.0</v>
      </c>
      <c r="F93" s="38" t="s">
        <v>359</v>
      </c>
      <c r="G93" s="26" t="s">
        <v>28</v>
      </c>
      <c r="H93" s="26" t="s">
        <v>23</v>
      </c>
      <c r="I93" s="28"/>
      <c r="J93" s="23">
        <v>3.0</v>
      </c>
      <c r="K93" s="27" t="s">
        <v>360</v>
      </c>
      <c r="L93" s="28"/>
      <c r="M93" s="34" t="s">
        <v>361</v>
      </c>
      <c r="N93" s="35" t="s">
        <v>362</v>
      </c>
      <c r="O93" s="35" t="s">
        <v>363</v>
      </c>
      <c r="P93" s="32">
        <v>434.0</v>
      </c>
      <c r="Q93" s="26"/>
      <c r="R93" s="32"/>
      <c r="S93" s="32"/>
      <c r="T93" s="32"/>
      <c r="U93" s="32"/>
      <c r="V93" s="32"/>
      <c r="W93" s="32"/>
      <c r="X93" s="32"/>
      <c r="Y93" s="32"/>
      <c r="Z93" s="21"/>
    </row>
    <row r="94" ht="49.5" customHeight="1">
      <c r="A94" s="20" t="s">
        <v>364</v>
      </c>
      <c r="B94" s="51"/>
      <c r="C94" s="22">
        <v>4000.0</v>
      </c>
      <c r="D94" s="23">
        <v>2020.0</v>
      </c>
      <c r="E94" s="24">
        <v>44166.0</v>
      </c>
      <c r="F94" s="38" t="s">
        <v>365</v>
      </c>
      <c r="G94" s="26" t="s">
        <v>236</v>
      </c>
      <c r="H94" s="26" t="s">
        <v>51</v>
      </c>
      <c r="I94" s="28"/>
      <c r="J94" s="23">
        <v>2.0</v>
      </c>
      <c r="K94" s="27"/>
      <c r="L94" s="28"/>
      <c r="M94" s="34" t="s">
        <v>314</v>
      </c>
      <c r="N94" s="35" t="s">
        <v>366</v>
      </c>
      <c r="O94" s="31"/>
      <c r="P94" s="32">
        <v>433.0</v>
      </c>
      <c r="Q94" s="26"/>
      <c r="R94" s="32"/>
      <c r="S94" s="32"/>
      <c r="T94" s="32"/>
      <c r="U94" s="32"/>
      <c r="V94" s="32"/>
      <c r="W94" s="32"/>
      <c r="X94" s="32"/>
      <c r="Y94" s="32"/>
      <c r="Z94" s="32"/>
    </row>
    <row r="95" ht="49.5" customHeight="1">
      <c r="A95" s="60" t="s">
        <v>367</v>
      </c>
      <c r="B95" s="51"/>
      <c r="C95" s="22">
        <v>760000.0</v>
      </c>
      <c r="D95" s="23">
        <v>2023.0</v>
      </c>
      <c r="E95" s="24">
        <v>45139.0</v>
      </c>
      <c r="F95" s="38" t="s">
        <v>368</v>
      </c>
      <c r="G95" s="26" t="s">
        <v>236</v>
      </c>
      <c r="H95" s="26" t="s">
        <v>23</v>
      </c>
      <c r="I95" s="28"/>
      <c r="J95" s="23">
        <v>1.0</v>
      </c>
      <c r="K95" s="27"/>
      <c r="L95" s="28"/>
      <c r="M95" s="34" t="s">
        <v>369</v>
      </c>
      <c r="N95" s="30" t="s">
        <v>370</v>
      </c>
      <c r="O95" s="31"/>
      <c r="P95" s="32">
        <v>432.0</v>
      </c>
      <c r="Q95" s="61"/>
      <c r="R95" s="32"/>
      <c r="S95" s="32"/>
      <c r="T95" s="32"/>
      <c r="U95" s="32"/>
      <c r="V95" s="32"/>
      <c r="W95" s="32"/>
      <c r="X95" s="32"/>
      <c r="Y95" s="32"/>
      <c r="Z95" s="32"/>
    </row>
    <row r="96" ht="49.5" customHeight="1">
      <c r="A96" s="20" t="s">
        <v>371</v>
      </c>
      <c r="B96" s="51"/>
      <c r="C96" s="22">
        <v>1.0E7</v>
      </c>
      <c r="D96" s="23">
        <v>2023.0</v>
      </c>
      <c r="E96" s="24">
        <v>45139.0</v>
      </c>
      <c r="F96" s="38" t="s">
        <v>372</v>
      </c>
      <c r="G96" s="26" t="s">
        <v>43</v>
      </c>
      <c r="H96" s="26" t="s">
        <v>23</v>
      </c>
      <c r="I96" s="28"/>
      <c r="J96" s="23">
        <v>1.0</v>
      </c>
      <c r="K96" s="27" t="s">
        <v>360</v>
      </c>
      <c r="L96" s="28"/>
      <c r="M96" s="34" t="s">
        <v>152</v>
      </c>
      <c r="N96" s="35" t="s">
        <v>373</v>
      </c>
      <c r="O96" s="31"/>
      <c r="P96" s="32">
        <v>431.0</v>
      </c>
      <c r="Q96" s="26"/>
      <c r="R96" s="32"/>
      <c r="S96" s="32"/>
      <c r="T96" s="32"/>
      <c r="U96" s="32"/>
      <c r="V96" s="32"/>
      <c r="W96" s="32"/>
      <c r="X96" s="32"/>
      <c r="Y96" s="32"/>
      <c r="Z96" s="32"/>
    </row>
    <row r="97" ht="49.5" customHeight="1">
      <c r="A97" s="20" t="s">
        <v>374</v>
      </c>
      <c r="B97" s="51"/>
      <c r="C97" s="22">
        <v>1.4E7</v>
      </c>
      <c r="D97" s="23">
        <v>2023.0</v>
      </c>
      <c r="E97" s="24">
        <v>45017.0</v>
      </c>
      <c r="F97" s="26" t="s">
        <v>375</v>
      </c>
      <c r="G97" s="26" t="s">
        <v>58</v>
      </c>
      <c r="H97" s="26" t="s">
        <v>23</v>
      </c>
      <c r="I97" s="28"/>
      <c r="J97" s="23">
        <v>2.0</v>
      </c>
      <c r="K97" s="27"/>
      <c r="L97" s="28"/>
      <c r="M97" s="34" t="s">
        <v>376</v>
      </c>
      <c r="N97" s="35" t="s">
        <v>377</v>
      </c>
      <c r="O97" s="31"/>
      <c r="P97" s="32">
        <v>430.0</v>
      </c>
      <c r="Q97" s="26"/>
      <c r="R97" s="32"/>
      <c r="S97" s="32"/>
      <c r="T97" s="32"/>
      <c r="U97" s="32"/>
      <c r="V97" s="32"/>
      <c r="W97" s="32"/>
      <c r="X97" s="32"/>
      <c r="Y97" s="32"/>
      <c r="Z97" s="32"/>
    </row>
    <row r="98" ht="49.5" customHeight="1">
      <c r="A98" s="20" t="s">
        <v>378</v>
      </c>
      <c r="B98" s="51"/>
      <c r="C98" s="22">
        <v>296019.0</v>
      </c>
      <c r="D98" s="23">
        <v>2022.0</v>
      </c>
      <c r="E98" s="24">
        <v>44835.0</v>
      </c>
      <c r="F98" s="26" t="s">
        <v>379</v>
      </c>
      <c r="G98" s="26" t="s">
        <v>22</v>
      </c>
      <c r="H98" s="26" t="s">
        <v>380</v>
      </c>
      <c r="I98" s="28"/>
      <c r="J98" s="23">
        <v>2.0</v>
      </c>
      <c r="K98" s="27"/>
      <c r="L98" s="28"/>
      <c r="M98" s="34" t="s">
        <v>152</v>
      </c>
      <c r="N98" s="35" t="s">
        <v>381</v>
      </c>
      <c r="O98" s="31"/>
      <c r="P98" s="32">
        <v>429.0</v>
      </c>
      <c r="Q98" s="26"/>
      <c r="R98" s="32"/>
      <c r="S98" s="32"/>
      <c r="T98" s="32"/>
      <c r="U98" s="32"/>
      <c r="V98" s="32"/>
      <c r="W98" s="32"/>
      <c r="X98" s="32"/>
      <c r="Y98" s="32"/>
      <c r="Z98" s="32"/>
    </row>
    <row r="99" ht="49.5" customHeight="1">
      <c r="A99" s="20" t="s">
        <v>382</v>
      </c>
      <c r="B99" s="51"/>
      <c r="C99" s="22">
        <v>3.9E7</v>
      </c>
      <c r="D99" s="23">
        <v>2022.0</v>
      </c>
      <c r="E99" s="24">
        <v>44835.0</v>
      </c>
      <c r="F99" s="26" t="s">
        <v>383</v>
      </c>
      <c r="G99" s="26" t="s">
        <v>43</v>
      </c>
      <c r="H99" s="26" t="s">
        <v>23</v>
      </c>
      <c r="I99" s="28"/>
      <c r="J99" s="23">
        <v>2.0</v>
      </c>
      <c r="K99" s="27"/>
      <c r="L99" s="28"/>
      <c r="M99" s="34" t="s">
        <v>34</v>
      </c>
      <c r="N99" s="35" t="s">
        <v>384</v>
      </c>
      <c r="O99" s="31"/>
      <c r="P99" s="32">
        <v>428.0</v>
      </c>
      <c r="Q99" s="26"/>
      <c r="R99" s="32"/>
      <c r="S99" s="32"/>
      <c r="T99" s="32"/>
      <c r="U99" s="32"/>
      <c r="V99" s="32"/>
      <c r="W99" s="32"/>
      <c r="X99" s="32"/>
      <c r="Y99" s="32"/>
      <c r="Z99" s="32"/>
    </row>
    <row r="100" ht="49.5" customHeight="1">
      <c r="A100" s="40" t="s">
        <v>385</v>
      </c>
      <c r="B100" s="20" t="s">
        <v>386</v>
      </c>
      <c r="C100" s="22">
        <v>2.79E8</v>
      </c>
      <c r="D100" s="23">
        <v>2022.0</v>
      </c>
      <c r="E100" s="24">
        <v>44317.0</v>
      </c>
      <c r="F100" s="26" t="s">
        <v>387</v>
      </c>
      <c r="G100" s="26" t="s">
        <v>64</v>
      </c>
      <c r="H100" s="26" t="s">
        <v>23</v>
      </c>
      <c r="I100" s="26" t="s">
        <v>29</v>
      </c>
      <c r="J100" s="23">
        <v>3.0</v>
      </c>
      <c r="K100" s="27"/>
      <c r="L100" s="28"/>
      <c r="M100" s="34" t="s">
        <v>388</v>
      </c>
      <c r="N100" s="35" t="s">
        <v>389</v>
      </c>
      <c r="O100" s="31"/>
      <c r="P100" s="32">
        <v>427.0</v>
      </c>
      <c r="Q100" s="26"/>
      <c r="R100" s="32"/>
      <c r="S100" s="32"/>
      <c r="T100" s="32"/>
      <c r="U100" s="32"/>
      <c r="V100" s="32"/>
      <c r="W100" s="32"/>
      <c r="X100" s="32"/>
      <c r="Y100" s="32"/>
      <c r="Z100" s="32"/>
    </row>
    <row r="101" ht="49.5" customHeight="1">
      <c r="A101" s="20" t="s">
        <v>390</v>
      </c>
      <c r="B101" s="51"/>
      <c r="C101" s="22">
        <v>50000.0</v>
      </c>
      <c r="D101" s="23">
        <v>2022.0</v>
      </c>
      <c r="E101" s="24">
        <v>44866.0</v>
      </c>
      <c r="F101" s="26" t="s">
        <v>391</v>
      </c>
      <c r="G101" s="26" t="s">
        <v>50</v>
      </c>
      <c r="H101" s="26" t="s">
        <v>23</v>
      </c>
      <c r="I101" s="28"/>
      <c r="J101" s="23">
        <v>1.0</v>
      </c>
      <c r="K101" s="27"/>
      <c r="L101" s="28"/>
      <c r="M101" s="34" t="s">
        <v>392</v>
      </c>
      <c r="N101" s="35" t="s">
        <v>393</v>
      </c>
      <c r="O101" s="31"/>
      <c r="P101" s="32">
        <v>426.0</v>
      </c>
      <c r="Q101" s="26"/>
      <c r="R101" s="32"/>
      <c r="S101" s="32"/>
      <c r="T101" s="32"/>
      <c r="U101" s="32"/>
      <c r="V101" s="32"/>
      <c r="W101" s="32"/>
      <c r="X101" s="32"/>
      <c r="Y101" s="32"/>
      <c r="Z101" s="32"/>
    </row>
    <row r="102" ht="49.5" customHeight="1">
      <c r="A102" s="20" t="s">
        <v>394</v>
      </c>
      <c r="B102" s="47"/>
      <c r="C102" s="22">
        <v>3.0E7</v>
      </c>
      <c r="D102" s="23">
        <v>2022.0</v>
      </c>
      <c r="E102" s="24">
        <v>44896.0</v>
      </c>
      <c r="F102" s="34" t="s">
        <v>395</v>
      </c>
      <c r="G102" s="26" t="s">
        <v>22</v>
      </c>
      <c r="H102" s="26" t="s">
        <v>23</v>
      </c>
      <c r="I102" s="26"/>
      <c r="J102" s="23">
        <v>2.0</v>
      </c>
      <c r="K102" s="27"/>
      <c r="L102" s="28"/>
      <c r="M102" s="34" t="s">
        <v>396</v>
      </c>
      <c r="N102" s="48" t="s">
        <v>397</v>
      </c>
      <c r="O102" s="31"/>
      <c r="P102" s="32">
        <v>425.0</v>
      </c>
      <c r="Q102" s="34"/>
      <c r="R102" s="32"/>
      <c r="S102" s="32"/>
      <c r="T102" s="32"/>
      <c r="U102" s="32"/>
      <c r="V102" s="32"/>
      <c r="W102" s="32"/>
      <c r="X102" s="32"/>
      <c r="Y102" s="32"/>
      <c r="Z102" s="32"/>
    </row>
    <row r="103" ht="49.5" customHeight="1">
      <c r="A103" s="20" t="s">
        <v>398</v>
      </c>
      <c r="B103" s="47"/>
      <c r="C103" s="22">
        <v>1.0E9</v>
      </c>
      <c r="D103" s="23">
        <v>2022.0</v>
      </c>
      <c r="E103" s="24">
        <v>44835.0</v>
      </c>
      <c r="F103" s="34" t="s">
        <v>399</v>
      </c>
      <c r="G103" s="26" t="s">
        <v>129</v>
      </c>
      <c r="H103" s="26" t="s">
        <v>23</v>
      </c>
      <c r="I103" s="26"/>
      <c r="J103" s="23">
        <v>3.0</v>
      </c>
      <c r="K103" s="27" t="s">
        <v>400</v>
      </c>
      <c r="L103" s="28"/>
      <c r="M103" s="34" t="s">
        <v>401</v>
      </c>
      <c r="N103" s="48" t="s">
        <v>402</v>
      </c>
      <c r="O103" s="31"/>
      <c r="P103" s="32">
        <v>424.0</v>
      </c>
      <c r="Q103" s="34"/>
      <c r="R103" s="32"/>
      <c r="S103" s="32"/>
      <c r="T103" s="32"/>
      <c r="U103" s="32"/>
      <c r="V103" s="32"/>
      <c r="W103" s="32"/>
      <c r="X103" s="32"/>
      <c r="Y103" s="32"/>
      <c r="Z103" s="32"/>
    </row>
    <row r="104" ht="49.5" customHeight="1">
      <c r="A104" s="20" t="s">
        <v>403</v>
      </c>
      <c r="B104" s="47"/>
      <c r="C104" s="22">
        <v>3.3E7</v>
      </c>
      <c r="D104" s="23">
        <v>2022.0</v>
      </c>
      <c r="E104" s="24">
        <v>44774.0</v>
      </c>
      <c r="F104" s="40" t="s">
        <v>404</v>
      </c>
      <c r="G104" s="26" t="s">
        <v>28</v>
      </c>
      <c r="H104" s="26" t="s">
        <v>23</v>
      </c>
      <c r="I104" s="26"/>
      <c r="J104" s="23">
        <v>2.0</v>
      </c>
      <c r="K104" s="27"/>
      <c r="L104" s="28"/>
      <c r="M104" s="34" t="s">
        <v>34</v>
      </c>
      <c r="N104" s="48" t="s">
        <v>405</v>
      </c>
      <c r="O104" s="35" t="s">
        <v>406</v>
      </c>
      <c r="P104" s="32">
        <v>423.0</v>
      </c>
      <c r="Q104" s="34"/>
      <c r="R104" s="32"/>
      <c r="S104" s="32"/>
      <c r="T104" s="32"/>
      <c r="U104" s="32"/>
      <c r="V104" s="32"/>
      <c r="W104" s="32"/>
      <c r="X104" s="32"/>
      <c r="Y104" s="32"/>
      <c r="Z104" s="32"/>
    </row>
    <row r="105" ht="49.5" customHeight="1">
      <c r="A105" s="20" t="s">
        <v>407</v>
      </c>
      <c r="B105" s="47"/>
      <c r="C105" s="22">
        <v>2.0E8</v>
      </c>
      <c r="D105" s="23">
        <v>2022.0</v>
      </c>
      <c r="E105" s="24">
        <v>44896.0</v>
      </c>
      <c r="F105" s="38" t="s">
        <v>408</v>
      </c>
      <c r="G105" s="26" t="s">
        <v>409</v>
      </c>
      <c r="H105" s="26" t="s">
        <v>23</v>
      </c>
      <c r="I105" s="26"/>
      <c r="J105" s="23">
        <v>1.0</v>
      </c>
      <c r="K105" s="27"/>
      <c r="L105" s="28"/>
      <c r="M105" s="34" t="s">
        <v>410</v>
      </c>
      <c r="N105" s="48" t="s">
        <v>411</v>
      </c>
      <c r="O105" s="31"/>
      <c r="P105" s="32">
        <v>422.0</v>
      </c>
      <c r="Q105" s="34"/>
      <c r="R105" s="32"/>
      <c r="S105" s="32"/>
      <c r="T105" s="32"/>
      <c r="U105" s="32"/>
      <c r="V105" s="32"/>
      <c r="W105" s="32"/>
      <c r="X105" s="32"/>
      <c r="Y105" s="32"/>
      <c r="Z105" s="32"/>
    </row>
    <row r="106" ht="49.5" customHeight="1">
      <c r="A106" s="62" t="s">
        <v>412</v>
      </c>
      <c r="B106" s="63"/>
      <c r="C106" s="64">
        <v>500000.0</v>
      </c>
      <c r="D106" s="65">
        <v>2022.0</v>
      </c>
      <c r="E106" s="66">
        <v>44713.0</v>
      </c>
      <c r="F106" s="67" t="s">
        <v>413</v>
      </c>
      <c r="G106" s="68" t="s">
        <v>64</v>
      </c>
      <c r="H106" s="68" t="s">
        <v>142</v>
      </c>
      <c r="I106" s="68"/>
      <c r="J106" s="65">
        <v>3.0</v>
      </c>
      <c r="K106" s="69"/>
      <c r="L106" s="70"/>
      <c r="M106" s="71" t="s">
        <v>147</v>
      </c>
      <c r="N106" s="72" t="s">
        <v>414</v>
      </c>
      <c r="O106" s="73"/>
      <c r="P106" s="74">
        <v>421.0</v>
      </c>
      <c r="Q106" s="74"/>
      <c r="R106" s="74"/>
      <c r="S106" s="74"/>
      <c r="T106" s="74"/>
      <c r="U106" s="74"/>
      <c r="V106" s="74"/>
      <c r="W106" s="74"/>
      <c r="X106" s="74"/>
      <c r="Y106" s="74"/>
      <c r="Z106" s="74"/>
    </row>
    <row r="107" ht="49.5" customHeight="1">
      <c r="A107" s="62" t="s">
        <v>415</v>
      </c>
      <c r="B107" s="63"/>
      <c r="C107" s="64">
        <v>5.0E8</v>
      </c>
      <c r="D107" s="65">
        <v>2022.0</v>
      </c>
      <c r="E107" s="66">
        <v>44743.0</v>
      </c>
      <c r="F107" s="67" t="s">
        <v>416</v>
      </c>
      <c r="G107" s="26" t="s">
        <v>64</v>
      </c>
      <c r="H107" s="68" t="s">
        <v>23</v>
      </c>
      <c r="I107" s="68"/>
      <c r="J107" s="65">
        <v>5.0</v>
      </c>
      <c r="K107" s="69" t="s">
        <v>417</v>
      </c>
      <c r="L107" s="70"/>
      <c r="M107" s="71" t="s">
        <v>227</v>
      </c>
      <c r="N107" s="72" t="s">
        <v>418</v>
      </c>
      <c r="O107" s="73"/>
      <c r="P107" s="74">
        <v>420.0</v>
      </c>
      <c r="Q107" s="74"/>
      <c r="R107" s="74"/>
      <c r="S107" s="74"/>
      <c r="T107" s="74"/>
      <c r="U107" s="74"/>
      <c r="V107" s="74"/>
      <c r="W107" s="74"/>
      <c r="X107" s="74"/>
      <c r="Y107" s="74"/>
      <c r="Z107" s="74"/>
    </row>
    <row r="108" ht="49.5" customHeight="1">
      <c r="A108" s="62" t="s">
        <v>407</v>
      </c>
      <c r="B108" s="63"/>
      <c r="C108" s="64">
        <v>5400000.0</v>
      </c>
      <c r="D108" s="65">
        <v>2021.0</v>
      </c>
      <c r="E108" s="66">
        <v>44531.0</v>
      </c>
      <c r="F108" s="75" t="s">
        <v>419</v>
      </c>
      <c r="G108" s="68" t="s">
        <v>28</v>
      </c>
      <c r="H108" s="68" t="s">
        <v>23</v>
      </c>
      <c r="I108" s="68"/>
      <c r="J108" s="65">
        <v>2.0</v>
      </c>
      <c r="K108" s="69"/>
      <c r="L108" s="70"/>
      <c r="M108" s="71" t="s">
        <v>85</v>
      </c>
      <c r="N108" s="72" t="s">
        <v>420</v>
      </c>
      <c r="O108" s="73"/>
      <c r="P108" s="74">
        <v>419.0</v>
      </c>
      <c r="Q108" s="74"/>
      <c r="R108" s="74"/>
      <c r="S108" s="74"/>
      <c r="T108" s="74"/>
      <c r="U108" s="74"/>
      <c r="V108" s="74"/>
      <c r="W108" s="74"/>
      <c r="X108" s="74"/>
      <c r="Y108" s="74"/>
      <c r="Z108" s="74"/>
    </row>
    <row r="109" ht="49.5" customHeight="1">
      <c r="A109" s="62" t="s">
        <v>421</v>
      </c>
      <c r="B109" s="63"/>
      <c r="C109" s="64">
        <v>1.5E7</v>
      </c>
      <c r="D109" s="65">
        <v>2022.0</v>
      </c>
      <c r="E109" s="66">
        <v>44774.0</v>
      </c>
      <c r="F109" s="76" t="s">
        <v>422</v>
      </c>
      <c r="G109" s="68" t="s">
        <v>409</v>
      </c>
      <c r="H109" s="68" t="s">
        <v>23</v>
      </c>
      <c r="I109" s="68"/>
      <c r="J109" s="65">
        <v>1.0</v>
      </c>
      <c r="K109" s="69"/>
      <c r="L109" s="70"/>
      <c r="M109" s="71" t="s">
        <v>423</v>
      </c>
      <c r="N109" s="72" t="s">
        <v>424</v>
      </c>
      <c r="O109" s="73"/>
      <c r="P109" s="74">
        <v>418.0</v>
      </c>
      <c r="Q109" s="74"/>
      <c r="R109" s="74"/>
      <c r="S109" s="74"/>
      <c r="T109" s="74"/>
      <c r="U109" s="74"/>
      <c r="V109" s="74"/>
      <c r="W109" s="74"/>
      <c r="X109" s="74"/>
      <c r="Y109" s="74"/>
      <c r="Z109" s="74"/>
    </row>
    <row r="110" ht="49.5" customHeight="1">
      <c r="A110" s="62" t="s">
        <v>425</v>
      </c>
      <c r="B110" s="63"/>
      <c r="C110" s="64">
        <v>800000.0</v>
      </c>
      <c r="D110" s="65">
        <v>2022.0</v>
      </c>
      <c r="E110" s="66">
        <v>44682.0</v>
      </c>
      <c r="F110" s="68" t="s">
        <v>426</v>
      </c>
      <c r="G110" s="26" t="s">
        <v>58</v>
      </c>
      <c r="H110" s="68" t="s">
        <v>59</v>
      </c>
      <c r="I110" s="68" t="s">
        <v>29</v>
      </c>
      <c r="J110" s="65">
        <v>1.0</v>
      </c>
      <c r="K110" s="69"/>
      <c r="L110" s="70"/>
      <c r="M110" s="71" t="s">
        <v>427</v>
      </c>
      <c r="N110" s="72" t="s">
        <v>428</v>
      </c>
      <c r="O110" s="73"/>
      <c r="P110" s="74">
        <v>417.0</v>
      </c>
      <c r="Q110" s="74"/>
      <c r="R110" s="74"/>
      <c r="S110" s="74"/>
      <c r="T110" s="74"/>
      <c r="U110" s="74"/>
      <c r="V110" s="74"/>
      <c r="W110" s="74"/>
      <c r="X110" s="74"/>
      <c r="Y110" s="74"/>
      <c r="Z110" s="74"/>
    </row>
    <row r="111" ht="87.0" customHeight="1">
      <c r="A111" s="62" t="s">
        <v>429</v>
      </c>
      <c r="B111" s="63"/>
      <c r="C111" s="64">
        <v>50000.0</v>
      </c>
      <c r="D111" s="65">
        <v>2022.0</v>
      </c>
      <c r="E111" s="66">
        <v>44652.0</v>
      </c>
      <c r="F111" s="68" t="s">
        <v>430</v>
      </c>
      <c r="G111" s="68" t="s">
        <v>50</v>
      </c>
      <c r="H111" s="68" t="s">
        <v>23</v>
      </c>
      <c r="I111" s="68"/>
      <c r="J111" s="65">
        <v>2.0</v>
      </c>
      <c r="K111" s="69"/>
      <c r="L111" s="70"/>
      <c r="M111" s="71" t="s">
        <v>85</v>
      </c>
      <c r="N111" s="72" t="s">
        <v>431</v>
      </c>
      <c r="O111" s="73"/>
      <c r="P111" s="74">
        <v>416.0</v>
      </c>
      <c r="Q111" s="74"/>
      <c r="R111" s="74"/>
      <c r="S111" s="74"/>
      <c r="T111" s="74"/>
      <c r="U111" s="74"/>
      <c r="V111" s="74"/>
      <c r="W111" s="74"/>
      <c r="X111" s="74"/>
      <c r="Y111" s="74"/>
      <c r="Z111" s="74"/>
    </row>
    <row r="112" ht="32.25" customHeight="1">
      <c r="A112" s="62" t="s">
        <v>432</v>
      </c>
      <c r="B112" s="63"/>
      <c r="C112" s="64">
        <v>106586.0</v>
      </c>
      <c r="D112" s="65">
        <v>2022.0</v>
      </c>
      <c r="E112" s="66">
        <v>44652.0</v>
      </c>
      <c r="F112" s="71" t="s">
        <v>433</v>
      </c>
      <c r="G112" s="68" t="s">
        <v>50</v>
      </c>
      <c r="H112" s="68" t="s">
        <v>23</v>
      </c>
      <c r="I112" s="68"/>
      <c r="J112" s="65">
        <v>1.0</v>
      </c>
      <c r="K112" s="69"/>
      <c r="L112" s="70"/>
      <c r="M112" s="71" t="s">
        <v>85</v>
      </c>
      <c r="N112" s="77" t="s">
        <v>434</v>
      </c>
      <c r="O112" s="73"/>
      <c r="P112" s="74">
        <v>415.0</v>
      </c>
      <c r="Q112" s="74"/>
      <c r="R112" s="74"/>
      <c r="S112" s="74"/>
      <c r="T112" s="74"/>
      <c r="U112" s="74"/>
      <c r="V112" s="74"/>
      <c r="W112" s="74"/>
      <c r="X112" s="74"/>
      <c r="Y112" s="74"/>
      <c r="Z112" s="74"/>
    </row>
    <row r="113" ht="32.25" customHeight="1">
      <c r="A113" s="62" t="s">
        <v>435</v>
      </c>
      <c r="B113" s="78"/>
      <c r="C113" s="64">
        <v>1580249.0</v>
      </c>
      <c r="D113" s="65">
        <v>2022.0</v>
      </c>
      <c r="E113" s="66">
        <v>44621.0</v>
      </c>
      <c r="F113" s="68" t="s">
        <v>436</v>
      </c>
      <c r="G113" s="26" t="s">
        <v>58</v>
      </c>
      <c r="H113" s="68" t="s">
        <v>23</v>
      </c>
      <c r="I113" s="68"/>
      <c r="J113" s="65">
        <v>3.0</v>
      </c>
      <c r="K113" s="69"/>
      <c r="L113" s="70"/>
      <c r="M113" s="71" t="s">
        <v>437</v>
      </c>
      <c r="N113" s="72" t="s">
        <v>438</v>
      </c>
      <c r="O113" s="73"/>
      <c r="P113" s="74">
        <v>414.0</v>
      </c>
      <c r="Q113" s="74"/>
      <c r="R113" s="74"/>
      <c r="S113" s="74"/>
      <c r="T113" s="74"/>
      <c r="U113" s="74"/>
      <c r="V113" s="74"/>
      <c r="W113" s="74"/>
      <c r="X113" s="74"/>
      <c r="Y113" s="74"/>
      <c r="Z113" s="74"/>
    </row>
    <row r="114" ht="32.25" customHeight="1">
      <c r="A114" s="62" t="s">
        <v>439</v>
      </c>
      <c r="B114" s="79"/>
      <c r="C114" s="64">
        <v>1.8218203E7</v>
      </c>
      <c r="D114" s="65">
        <v>2022.0</v>
      </c>
      <c r="E114" s="66">
        <v>44621.0</v>
      </c>
      <c r="F114" s="68" t="s">
        <v>440</v>
      </c>
      <c r="G114" s="68" t="s">
        <v>43</v>
      </c>
      <c r="H114" s="68" t="s">
        <v>23</v>
      </c>
      <c r="I114" s="68"/>
      <c r="J114" s="65">
        <v>3.0</v>
      </c>
      <c r="K114" s="69" t="s">
        <v>441</v>
      </c>
      <c r="L114" s="70"/>
      <c r="M114" s="71" t="s">
        <v>72</v>
      </c>
      <c r="N114" s="80" t="s">
        <v>442</v>
      </c>
      <c r="O114" s="73"/>
      <c r="P114" s="74">
        <v>413.0</v>
      </c>
      <c r="Q114" s="74"/>
      <c r="R114" s="74"/>
      <c r="S114" s="74"/>
      <c r="T114" s="74"/>
      <c r="U114" s="74"/>
      <c r="V114" s="74"/>
      <c r="W114" s="74"/>
      <c r="X114" s="74"/>
      <c r="Y114" s="74"/>
      <c r="Z114" s="74"/>
    </row>
    <row r="115" ht="32.25" customHeight="1">
      <c r="A115" s="62" t="s">
        <v>443</v>
      </c>
      <c r="B115" s="63"/>
      <c r="C115" s="64">
        <v>257000.0</v>
      </c>
      <c r="D115" s="65">
        <v>2022.0</v>
      </c>
      <c r="E115" s="66">
        <v>44593.0</v>
      </c>
      <c r="F115" s="81" t="s">
        <v>444</v>
      </c>
      <c r="G115" s="68" t="s">
        <v>64</v>
      </c>
      <c r="H115" s="68" t="s">
        <v>23</v>
      </c>
      <c r="I115" s="68"/>
      <c r="J115" s="65">
        <v>3.0</v>
      </c>
      <c r="K115" s="69"/>
      <c r="L115" s="70"/>
      <c r="M115" s="71" t="s">
        <v>445</v>
      </c>
      <c r="N115" s="82" t="s">
        <v>446</v>
      </c>
      <c r="O115" s="73"/>
      <c r="P115" s="74">
        <v>412.0</v>
      </c>
      <c r="Q115" s="74"/>
      <c r="R115" s="74"/>
      <c r="S115" s="74"/>
      <c r="T115" s="74"/>
      <c r="U115" s="74"/>
      <c r="V115" s="74"/>
      <c r="W115" s="74"/>
      <c r="X115" s="74"/>
      <c r="Y115" s="74"/>
      <c r="Z115" s="74"/>
    </row>
    <row r="116" ht="32.25" customHeight="1">
      <c r="A116" s="62" t="s">
        <v>447</v>
      </c>
      <c r="B116" s="63"/>
      <c r="C116" s="64">
        <v>500000.0</v>
      </c>
      <c r="D116" s="65">
        <v>2022.0</v>
      </c>
      <c r="E116" s="66">
        <v>44562.0</v>
      </c>
      <c r="F116" s="71" t="s">
        <v>448</v>
      </c>
      <c r="G116" s="68" t="s">
        <v>38</v>
      </c>
      <c r="H116" s="68" t="s">
        <v>23</v>
      </c>
      <c r="I116" s="68"/>
      <c r="J116" s="65">
        <v>4.0</v>
      </c>
      <c r="K116" s="69"/>
      <c r="L116" s="70"/>
      <c r="M116" s="71" t="s">
        <v>449</v>
      </c>
      <c r="N116" s="72" t="s">
        <v>450</v>
      </c>
      <c r="O116" s="73"/>
      <c r="P116" s="74">
        <v>411.0</v>
      </c>
      <c r="Q116" s="74"/>
      <c r="R116" s="74"/>
      <c r="S116" s="74"/>
      <c r="T116" s="74"/>
      <c r="U116" s="74"/>
      <c r="V116" s="74"/>
      <c r="W116" s="74"/>
      <c r="X116" s="74"/>
      <c r="Y116" s="74"/>
      <c r="Z116" s="74"/>
    </row>
    <row r="117" ht="54.0" customHeight="1">
      <c r="A117" s="62" t="s">
        <v>451</v>
      </c>
      <c r="B117" s="63"/>
      <c r="C117" s="64">
        <v>100000.0</v>
      </c>
      <c r="D117" s="65">
        <v>2022.0</v>
      </c>
      <c r="E117" s="66">
        <v>44562.0</v>
      </c>
      <c r="F117" s="83"/>
      <c r="G117" s="68" t="s">
        <v>28</v>
      </c>
      <c r="H117" s="68" t="s">
        <v>23</v>
      </c>
      <c r="I117" s="68"/>
      <c r="J117" s="65">
        <v>1.0</v>
      </c>
      <c r="K117" s="69"/>
      <c r="L117" s="70"/>
      <c r="M117" s="71" t="s">
        <v>451</v>
      </c>
      <c r="N117" s="72" t="s">
        <v>452</v>
      </c>
      <c r="O117" s="73"/>
      <c r="P117" s="74">
        <v>410.0</v>
      </c>
      <c r="Q117" s="74"/>
      <c r="R117" s="74"/>
      <c r="S117" s="74"/>
      <c r="T117" s="74"/>
      <c r="U117" s="74"/>
      <c r="V117" s="74"/>
      <c r="W117" s="74"/>
      <c r="X117" s="74"/>
      <c r="Y117" s="74"/>
      <c r="Z117" s="74"/>
    </row>
    <row r="118" ht="32.25" customHeight="1">
      <c r="A118" s="62" t="s">
        <v>453</v>
      </c>
      <c r="B118" s="78"/>
      <c r="C118" s="64">
        <v>3700000.0</v>
      </c>
      <c r="D118" s="65">
        <v>2022.0</v>
      </c>
      <c r="E118" s="66">
        <v>44562.0</v>
      </c>
      <c r="F118" s="84" t="s">
        <v>454</v>
      </c>
      <c r="G118" s="68" t="s">
        <v>28</v>
      </c>
      <c r="H118" s="68" t="s">
        <v>23</v>
      </c>
      <c r="I118" s="68"/>
      <c r="J118" s="65">
        <v>3.0</v>
      </c>
      <c r="K118" s="69" t="s">
        <v>455</v>
      </c>
      <c r="L118" s="70"/>
      <c r="M118" s="71" t="s">
        <v>85</v>
      </c>
      <c r="N118" s="72" t="s">
        <v>456</v>
      </c>
      <c r="O118" s="73"/>
      <c r="P118" s="74">
        <v>409.0</v>
      </c>
      <c r="Q118" s="74"/>
      <c r="R118" s="74"/>
      <c r="S118" s="74"/>
      <c r="T118" s="74"/>
      <c r="U118" s="74"/>
      <c r="V118" s="74"/>
      <c r="W118" s="74"/>
      <c r="X118" s="74"/>
      <c r="Y118" s="74"/>
      <c r="Z118" s="74"/>
    </row>
    <row r="119" ht="32.25" customHeight="1">
      <c r="A119" s="62" t="s">
        <v>457</v>
      </c>
      <c r="B119" s="78"/>
      <c r="C119" s="64">
        <v>133000.0</v>
      </c>
      <c r="D119" s="65">
        <v>2021.0</v>
      </c>
      <c r="E119" s="66">
        <v>44531.0</v>
      </c>
      <c r="F119" s="85"/>
      <c r="G119" s="26" t="s">
        <v>58</v>
      </c>
      <c r="H119" s="68" t="s">
        <v>380</v>
      </c>
      <c r="I119" s="68"/>
      <c r="J119" s="65">
        <v>2.0</v>
      </c>
      <c r="K119" s="69"/>
      <c r="L119" s="70"/>
      <c r="M119" s="71" t="s">
        <v>227</v>
      </c>
      <c r="N119" s="72" t="s">
        <v>458</v>
      </c>
      <c r="O119" s="73"/>
      <c r="P119" s="74">
        <v>408.0</v>
      </c>
      <c r="Q119" s="74"/>
      <c r="R119" s="74"/>
      <c r="S119" s="74"/>
      <c r="T119" s="74"/>
      <c r="U119" s="74"/>
      <c r="V119" s="74"/>
      <c r="W119" s="74"/>
      <c r="X119" s="74"/>
      <c r="Y119" s="74"/>
      <c r="Z119" s="74"/>
    </row>
    <row r="120" ht="32.25" customHeight="1">
      <c r="A120" s="62" t="s">
        <v>459</v>
      </c>
      <c r="B120" s="78"/>
      <c r="C120" s="64">
        <v>5000937.0</v>
      </c>
      <c r="D120" s="65">
        <v>2021.0</v>
      </c>
      <c r="E120" s="66">
        <v>44501.0</v>
      </c>
      <c r="F120" s="85" t="s">
        <v>460</v>
      </c>
      <c r="G120" s="26" t="s">
        <v>58</v>
      </c>
      <c r="H120" s="68" t="s">
        <v>23</v>
      </c>
      <c r="I120" s="68"/>
      <c r="J120" s="65">
        <v>2.0</v>
      </c>
      <c r="K120" s="69" t="s">
        <v>461</v>
      </c>
      <c r="L120" s="70"/>
      <c r="M120" s="71" t="s">
        <v>34</v>
      </c>
      <c r="N120" s="72" t="s">
        <v>462</v>
      </c>
      <c r="O120" s="73"/>
      <c r="P120" s="74">
        <v>407.0</v>
      </c>
      <c r="Q120" s="74"/>
      <c r="R120" s="74"/>
      <c r="S120" s="74"/>
      <c r="T120" s="74"/>
      <c r="U120" s="74"/>
      <c r="V120" s="74"/>
      <c r="W120" s="74"/>
      <c r="X120" s="74"/>
      <c r="Y120" s="74"/>
      <c r="Z120" s="74"/>
    </row>
    <row r="121" ht="32.25" customHeight="1">
      <c r="A121" s="62" t="s">
        <v>463</v>
      </c>
      <c r="B121" s="78"/>
      <c r="C121" s="64">
        <v>1200000.0</v>
      </c>
      <c r="D121" s="65">
        <v>2021.0</v>
      </c>
      <c r="E121" s="66">
        <v>44501.0</v>
      </c>
      <c r="F121" s="68" t="s">
        <v>464</v>
      </c>
      <c r="G121" s="68" t="s">
        <v>28</v>
      </c>
      <c r="H121" s="68" t="s">
        <v>23</v>
      </c>
      <c r="I121" s="68"/>
      <c r="J121" s="65">
        <v>1.0</v>
      </c>
      <c r="K121" s="69"/>
      <c r="L121" s="70"/>
      <c r="M121" s="71" t="s">
        <v>465</v>
      </c>
      <c r="N121" s="72" t="s">
        <v>462</v>
      </c>
      <c r="O121" s="73"/>
      <c r="P121" s="74">
        <v>406.0</v>
      </c>
      <c r="Q121" s="74"/>
      <c r="R121" s="74"/>
      <c r="S121" s="74"/>
      <c r="T121" s="74"/>
      <c r="U121" s="74"/>
      <c r="V121" s="74"/>
      <c r="W121" s="74"/>
      <c r="X121" s="74"/>
      <c r="Y121" s="74"/>
      <c r="Z121" s="74"/>
    </row>
    <row r="122" ht="32.25" customHeight="1">
      <c r="A122" s="62" t="s">
        <v>466</v>
      </c>
      <c r="B122" s="79"/>
      <c r="C122" s="64">
        <v>471376.0</v>
      </c>
      <c r="D122" s="65">
        <v>2021.0</v>
      </c>
      <c r="E122" s="66">
        <v>44501.0</v>
      </c>
      <c r="F122" s="68" t="s">
        <v>467</v>
      </c>
      <c r="G122" s="68" t="s">
        <v>38</v>
      </c>
      <c r="H122" s="68" t="s">
        <v>23</v>
      </c>
      <c r="I122" s="68"/>
      <c r="J122" s="65">
        <v>2.0</v>
      </c>
      <c r="K122" s="69" t="s">
        <v>468</v>
      </c>
      <c r="L122" s="70"/>
      <c r="M122" s="71" t="s">
        <v>469</v>
      </c>
      <c r="N122" s="77" t="s">
        <v>470</v>
      </c>
      <c r="O122" s="73"/>
      <c r="P122" s="74">
        <v>405.0</v>
      </c>
      <c r="Q122" s="74"/>
      <c r="R122" s="74"/>
      <c r="S122" s="74"/>
      <c r="T122" s="74"/>
      <c r="U122" s="74"/>
      <c r="V122" s="74"/>
      <c r="W122" s="74"/>
      <c r="X122" s="74"/>
      <c r="Y122" s="74"/>
      <c r="Z122" s="74"/>
    </row>
    <row r="123" ht="32.25" customHeight="1">
      <c r="A123" s="62" t="s">
        <v>333</v>
      </c>
      <c r="B123" s="78"/>
      <c r="C123" s="64">
        <v>3000000.0</v>
      </c>
      <c r="D123" s="65">
        <v>2021.0</v>
      </c>
      <c r="E123" s="66">
        <v>44470.0</v>
      </c>
      <c r="F123" s="68"/>
      <c r="G123" s="68" t="s">
        <v>50</v>
      </c>
      <c r="H123" s="68" t="s">
        <v>23</v>
      </c>
      <c r="I123" s="68"/>
      <c r="J123" s="65">
        <v>1.0</v>
      </c>
      <c r="K123" s="69"/>
      <c r="L123" s="70"/>
      <c r="M123" s="71" t="s">
        <v>471</v>
      </c>
      <c r="N123" s="72" t="s">
        <v>472</v>
      </c>
      <c r="O123" s="73"/>
      <c r="P123" s="74">
        <v>404.0</v>
      </c>
      <c r="Q123" s="74"/>
      <c r="R123" s="74"/>
      <c r="S123" s="74"/>
      <c r="T123" s="74"/>
      <c r="U123" s="74"/>
      <c r="V123" s="74"/>
      <c r="W123" s="74"/>
      <c r="X123" s="74"/>
      <c r="Y123" s="74"/>
      <c r="Z123" s="74"/>
    </row>
    <row r="124" ht="32.25" customHeight="1">
      <c r="A124" s="62" t="s">
        <v>473</v>
      </c>
      <c r="B124" s="78"/>
      <c r="C124" s="64">
        <v>200000.0</v>
      </c>
      <c r="D124" s="65">
        <v>2021.0</v>
      </c>
      <c r="E124" s="66">
        <v>44470.0</v>
      </c>
      <c r="F124" s="82" t="s">
        <v>474</v>
      </c>
      <c r="G124" s="68" t="s">
        <v>43</v>
      </c>
      <c r="H124" s="68" t="s">
        <v>51</v>
      </c>
      <c r="I124" s="68"/>
      <c r="J124" s="65">
        <v>1.0</v>
      </c>
      <c r="K124" s="69"/>
      <c r="L124" s="70"/>
      <c r="M124" s="71" t="s">
        <v>475</v>
      </c>
      <c r="N124" s="72" t="s">
        <v>476</v>
      </c>
      <c r="O124" s="73"/>
      <c r="P124" s="74">
        <v>403.0</v>
      </c>
      <c r="Q124" s="74"/>
      <c r="R124" s="74"/>
      <c r="S124" s="74"/>
      <c r="T124" s="74"/>
      <c r="U124" s="74"/>
      <c r="V124" s="74"/>
      <c r="W124" s="74"/>
      <c r="X124" s="74"/>
      <c r="Y124" s="74"/>
      <c r="Z124" s="74"/>
    </row>
    <row r="125" ht="32.25" customHeight="1">
      <c r="A125" s="62" t="s">
        <v>477</v>
      </c>
      <c r="B125" s="37" t="s">
        <v>478</v>
      </c>
      <c r="C125" s="64">
        <v>2.4E7</v>
      </c>
      <c r="D125" s="65">
        <v>2020.0</v>
      </c>
      <c r="E125" s="86">
        <v>44013.0</v>
      </c>
      <c r="F125" s="68" t="s">
        <v>479</v>
      </c>
      <c r="G125" s="68" t="s">
        <v>28</v>
      </c>
      <c r="H125" s="68" t="s">
        <v>142</v>
      </c>
      <c r="I125" s="68"/>
      <c r="J125" s="65">
        <v>3.0</v>
      </c>
      <c r="K125" s="69"/>
      <c r="L125" s="70"/>
      <c r="M125" s="71" t="s">
        <v>480</v>
      </c>
      <c r="N125" s="87" t="s">
        <v>481</v>
      </c>
      <c r="O125" s="73"/>
      <c r="P125" s="74">
        <v>402.0</v>
      </c>
      <c r="Q125" s="74"/>
      <c r="R125" s="74"/>
      <c r="S125" s="74"/>
      <c r="T125" s="74"/>
      <c r="U125" s="74"/>
      <c r="V125" s="74"/>
      <c r="W125" s="74"/>
      <c r="X125" s="74"/>
      <c r="Y125" s="74"/>
      <c r="Z125" s="74"/>
    </row>
    <row r="126">
      <c r="A126" s="62" t="s">
        <v>482</v>
      </c>
      <c r="B126" s="79"/>
      <c r="C126" s="64">
        <v>100000.0</v>
      </c>
      <c r="D126" s="65">
        <v>2021.0</v>
      </c>
      <c r="E126" s="66">
        <v>44256.0</v>
      </c>
      <c r="F126" s="88"/>
      <c r="G126" s="68" t="s">
        <v>50</v>
      </c>
      <c r="H126" s="68" t="s">
        <v>23</v>
      </c>
      <c r="I126" s="68"/>
      <c r="J126" s="65">
        <v>2.0</v>
      </c>
      <c r="K126" s="69"/>
      <c r="L126" s="70"/>
      <c r="M126" s="71" t="s">
        <v>483</v>
      </c>
      <c r="N126" s="72" t="s">
        <v>484</v>
      </c>
      <c r="O126" s="77" t="s">
        <v>485</v>
      </c>
      <c r="P126" s="74">
        <v>401.0</v>
      </c>
      <c r="Q126" s="74"/>
      <c r="R126" s="74"/>
      <c r="S126" s="74"/>
      <c r="T126" s="74"/>
      <c r="U126" s="74"/>
      <c r="V126" s="74"/>
      <c r="W126" s="74"/>
      <c r="X126" s="74"/>
      <c r="Y126" s="74"/>
      <c r="Z126" s="74"/>
    </row>
    <row r="127">
      <c r="A127" s="62" t="s">
        <v>263</v>
      </c>
      <c r="B127" s="79"/>
      <c r="C127" s="64">
        <v>100000.0</v>
      </c>
      <c r="D127" s="65">
        <v>2021.0</v>
      </c>
      <c r="E127" s="66">
        <v>44197.0</v>
      </c>
      <c r="F127" s="89" t="s">
        <v>486</v>
      </c>
      <c r="G127" s="68" t="s">
        <v>50</v>
      </c>
      <c r="H127" s="68" t="s">
        <v>23</v>
      </c>
      <c r="I127" s="68"/>
      <c r="J127" s="65">
        <v>1.0</v>
      </c>
      <c r="K127" s="69"/>
      <c r="L127" s="70"/>
      <c r="M127" s="71" t="s">
        <v>314</v>
      </c>
      <c r="N127" s="72" t="s">
        <v>487</v>
      </c>
      <c r="O127" s="77" t="s">
        <v>488</v>
      </c>
      <c r="P127" s="74">
        <v>399.0</v>
      </c>
      <c r="Q127" s="74"/>
      <c r="R127" s="74"/>
      <c r="S127" s="74"/>
      <c r="T127" s="74"/>
      <c r="U127" s="74"/>
      <c r="V127" s="74"/>
      <c r="W127" s="74"/>
      <c r="X127" s="74"/>
      <c r="Y127" s="74"/>
      <c r="Z127" s="74"/>
    </row>
    <row r="128">
      <c r="A128" s="62" t="s">
        <v>489</v>
      </c>
      <c r="B128" s="79"/>
      <c r="C128" s="64">
        <v>420873.0</v>
      </c>
      <c r="D128" s="65">
        <v>2020.0</v>
      </c>
      <c r="E128" s="86">
        <v>43831.0</v>
      </c>
      <c r="F128" s="68" t="s">
        <v>490</v>
      </c>
      <c r="G128" s="68" t="s">
        <v>22</v>
      </c>
      <c r="H128" s="68" t="s">
        <v>51</v>
      </c>
      <c r="I128" s="68"/>
      <c r="J128" s="65">
        <v>3.0</v>
      </c>
      <c r="K128" s="69"/>
      <c r="L128" s="70"/>
      <c r="M128" s="71" t="s">
        <v>491</v>
      </c>
      <c r="N128" s="77" t="s">
        <v>492</v>
      </c>
      <c r="O128" s="73"/>
      <c r="P128" s="74">
        <v>398.0</v>
      </c>
      <c r="Q128" s="74"/>
      <c r="R128" s="74"/>
      <c r="S128" s="74"/>
      <c r="T128" s="74"/>
      <c r="U128" s="74"/>
      <c r="V128" s="74"/>
      <c r="W128" s="74"/>
      <c r="X128" s="74"/>
      <c r="Y128" s="74"/>
      <c r="Z128" s="74"/>
    </row>
    <row r="129">
      <c r="A129" s="62" t="s">
        <v>493</v>
      </c>
      <c r="B129" s="63"/>
      <c r="C129" s="64">
        <v>4101101.0</v>
      </c>
      <c r="D129" s="65">
        <v>2019.0</v>
      </c>
      <c r="E129" s="66">
        <v>43800.0</v>
      </c>
      <c r="F129" s="68" t="s">
        <v>494</v>
      </c>
      <c r="G129" s="68" t="s">
        <v>38</v>
      </c>
      <c r="H129" s="68" t="s">
        <v>23</v>
      </c>
      <c r="I129" s="68"/>
      <c r="J129" s="65">
        <v>1.0</v>
      </c>
      <c r="K129" s="69" t="s">
        <v>495</v>
      </c>
      <c r="L129" s="70"/>
      <c r="M129" s="71" t="s">
        <v>469</v>
      </c>
      <c r="N129" s="77" t="s">
        <v>496</v>
      </c>
      <c r="O129" s="73"/>
      <c r="P129" s="74">
        <v>397.0</v>
      </c>
      <c r="Q129" s="74"/>
      <c r="R129" s="74"/>
      <c r="S129" s="74"/>
      <c r="T129" s="74"/>
      <c r="U129" s="74"/>
      <c r="V129" s="74"/>
      <c r="W129" s="74"/>
      <c r="X129" s="74"/>
      <c r="Y129" s="74"/>
      <c r="Z129" s="74"/>
    </row>
    <row r="130">
      <c r="A130" s="62" t="s">
        <v>497</v>
      </c>
      <c r="B130" s="78"/>
      <c r="C130" s="64">
        <v>305470.0</v>
      </c>
      <c r="D130" s="65">
        <v>2019.0</v>
      </c>
      <c r="E130" s="66">
        <v>43586.0</v>
      </c>
      <c r="F130" s="81" t="s">
        <v>498</v>
      </c>
      <c r="G130" s="68" t="s">
        <v>236</v>
      </c>
      <c r="H130" s="68" t="s">
        <v>23</v>
      </c>
      <c r="I130" s="68"/>
      <c r="J130" s="65">
        <v>3.0</v>
      </c>
      <c r="K130" s="69"/>
      <c r="L130" s="70"/>
      <c r="M130" s="71" t="s">
        <v>469</v>
      </c>
      <c r="N130" s="90"/>
      <c r="O130" s="73"/>
      <c r="P130" s="74">
        <v>396.0</v>
      </c>
      <c r="Q130" s="74"/>
      <c r="R130" s="74"/>
      <c r="S130" s="74"/>
      <c r="T130" s="74"/>
      <c r="U130" s="74"/>
      <c r="V130" s="74"/>
      <c r="W130" s="74"/>
      <c r="X130" s="74"/>
      <c r="Y130" s="74"/>
      <c r="Z130" s="74"/>
    </row>
    <row r="131">
      <c r="A131" s="20" t="s">
        <v>499</v>
      </c>
      <c r="B131" s="51"/>
      <c r="C131" s="22">
        <v>1.0E7</v>
      </c>
      <c r="D131" s="23">
        <v>2021.0</v>
      </c>
      <c r="E131" s="91">
        <v>44470.0</v>
      </c>
      <c r="F131" s="26" t="s">
        <v>500</v>
      </c>
      <c r="G131" s="26" t="s">
        <v>236</v>
      </c>
      <c r="H131" s="26" t="s">
        <v>23</v>
      </c>
      <c r="I131" s="26" t="s">
        <v>29</v>
      </c>
      <c r="J131" s="23">
        <v>4.0</v>
      </c>
      <c r="K131" s="27" t="s">
        <v>360</v>
      </c>
      <c r="L131" s="28"/>
      <c r="M131" s="34" t="s">
        <v>147</v>
      </c>
      <c r="N131" s="92" t="s">
        <v>501</v>
      </c>
      <c r="O131" s="31"/>
      <c r="P131" s="32">
        <v>395.0</v>
      </c>
      <c r="Q131" s="32"/>
      <c r="R131" s="32"/>
      <c r="S131" s="32"/>
      <c r="T131" s="32"/>
      <c r="U131" s="32"/>
      <c r="V131" s="32"/>
      <c r="W131" s="32"/>
      <c r="X131" s="32"/>
      <c r="Y131" s="32"/>
      <c r="Z131" s="32"/>
    </row>
    <row r="132">
      <c r="A132" s="20" t="s">
        <v>502</v>
      </c>
      <c r="B132" s="51"/>
      <c r="C132" s="22">
        <v>5.0E8</v>
      </c>
      <c r="D132" s="23">
        <v>2021.0</v>
      </c>
      <c r="E132" s="91">
        <v>44440.0</v>
      </c>
      <c r="F132" s="26" t="s">
        <v>503</v>
      </c>
      <c r="G132" s="26" t="s">
        <v>129</v>
      </c>
      <c r="H132" s="26" t="s">
        <v>23</v>
      </c>
      <c r="I132" s="26"/>
      <c r="J132" s="23">
        <v>4.0</v>
      </c>
      <c r="K132" s="27" t="s">
        <v>360</v>
      </c>
      <c r="L132" s="28"/>
      <c r="M132" s="34" t="s">
        <v>30</v>
      </c>
      <c r="N132" s="92" t="s">
        <v>504</v>
      </c>
      <c r="O132" s="31"/>
      <c r="P132" s="32">
        <v>394.0</v>
      </c>
      <c r="Q132" s="32"/>
      <c r="R132" s="32"/>
      <c r="S132" s="32"/>
      <c r="T132" s="32"/>
      <c r="U132" s="32"/>
      <c r="V132" s="32"/>
      <c r="W132" s="32"/>
      <c r="X132" s="32"/>
      <c r="Y132" s="32"/>
      <c r="Z132" s="32"/>
    </row>
    <row r="133">
      <c r="A133" s="20" t="s">
        <v>505</v>
      </c>
      <c r="B133" s="51"/>
      <c r="C133" s="22">
        <v>1.19E7</v>
      </c>
      <c r="D133" s="23">
        <v>2021.0</v>
      </c>
      <c r="E133" s="91">
        <v>44470.0</v>
      </c>
      <c r="F133" s="93" t="s">
        <v>506</v>
      </c>
      <c r="G133" s="26" t="s">
        <v>64</v>
      </c>
      <c r="H133" s="26" t="s">
        <v>23</v>
      </c>
      <c r="I133" s="26" t="s">
        <v>29</v>
      </c>
      <c r="J133" s="23">
        <v>4.0</v>
      </c>
      <c r="K133" s="27"/>
      <c r="L133" s="28"/>
      <c r="M133" s="34" t="s">
        <v>507</v>
      </c>
      <c r="N133" s="92" t="s">
        <v>508</v>
      </c>
      <c r="O133" s="31"/>
      <c r="P133" s="32">
        <v>393.0</v>
      </c>
      <c r="Q133" s="32"/>
      <c r="R133" s="32"/>
      <c r="S133" s="32"/>
      <c r="T133" s="32"/>
      <c r="U133" s="32"/>
      <c r="V133" s="32"/>
      <c r="W133" s="32"/>
      <c r="X133" s="32"/>
      <c r="Y133" s="32"/>
      <c r="Z133" s="32"/>
    </row>
    <row r="134">
      <c r="A134" s="20" t="s">
        <v>509</v>
      </c>
      <c r="B134" s="51"/>
      <c r="C134" s="22">
        <v>4600000.0</v>
      </c>
      <c r="D134" s="23">
        <v>2021.0</v>
      </c>
      <c r="E134" s="91">
        <v>44440.0</v>
      </c>
      <c r="F134" s="34" t="s">
        <v>510</v>
      </c>
      <c r="G134" s="26" t="s">
        <v>43</v>
      </c>
      <c r="H134" s="26" t="s">
        <v>23</v>
      </c>
      <c r="I134" s="26"/>
      <c r="J134" s="23">
        <v>3.0</v>
      </c>
      <c r="K134" s="27"/>
      <c r="L134" s="28"/>
      <c r="M134" s="34" t="s">
        <v>247</v>
      </c>
      <c r="N134" s="92" t="s">
        <v>511</v>
      </c>
      <c r="O134" s="31"/>
      <c r="P134" s="32">
        <v>392.0</v>
      </c>
      <c r="Q134" s="32"/>
      <c r="R134" s="32"/>
      <c r="S134" s="32"/>
      <c r="T134" s="32"/>
      <c r="U134" s="32"/>
      <c r="V134" s="32"/>
      <c r="W134" s="32"/>
      <c r="X134" s="32"/>
      <c r="Y134" s="32"/>
      <c r="Z134" s="32"/>
    </row>
    <row r="135">
      <c r="A135" s="20" t="s">
        <v>512</v>
      </c>
      <c r="B135" s="51"/>
      <c r="C135" s="22">
        <v>1.5E7</v>
      </c>
      <c r="D135" s="23">
        <v>2021.0</v>
      </c>
      <c r="E135" s="91">
        <v>44440.0</v>
      </c>
      <c r="F135" s="34" t="s">
        <v>513</v>
      </c>
      <c r="G135" s="26" t="s">
        <v>43</v>
      </c>
      <c r="H135" s="26" t="s">
        <v>23</v>
      </c>
      <c r="I135" s="26" t="s">
        <v>29</v>
      </c>
      <c r="J135" s="23">
        <v>5.0</v>
      </c>
      <c r="K135" s="27"/>
      <c r="L135" s="28"/>
      <c r="M135" s="34" t="s">
        <v>247</v>
      </c>
      <c r="N135" s="92" t="s">
        <v>514</v>
      </c>
      <c r="O135" s="31"/>
      <c r="P135" s="32">
        <v>391.0</v>
      </c>
      <c r="Q135" s="32"/>
      <c r="R135" s="32"/>
      <c r="S135" s="32"/>
      <c r="T135" s="32"/>
      <c r="U135" s="32"/>
      <c r="V135" s="32"/>
      <c r="W135" s="32"/>
      <c r="X135" s="32"/>
      <c r="Y135" s="32"/>
      <c r="Z135" s="32"/>
    </row>
    <row r="136">
      <c r="A136" s="20" t="s">
        <v>515</v>
      </c>
      <c r="B136" s="51"/>
      <c r="C136" s="22">
        <v>1.0E8</v>
      </c>
      <c r="D136" s="23">
        <v>2021.0</v>
      </c>
      <c r="E136" s="91">
        <v>44440.0</v>
      </c>
      <c r="F136" s="94" t="s">
        <v>516</v>
      </c>
      <c r="G136" s="26" t="s">
        <v>64</v>
      </c>
      <c r="H136" s="26" t="s">
        <v>380</v>
      </c>
      <c r="I136" s="26"/>
      <c r="J136" s="23">
        <v>2.0</v>
      </c>
      <c r="K136" s="27" t="s">
        <v>517</v>
      </c>
      <c r="L136" s="28"/>
      <c r="M136" s="34" t="s">
        <v>518</v>
      </c>
      <c r="N136" s="92" t="s">
        <v>519</v>
      </c>
      <c r="O136" s="31"/>
      <c r="P136" s="32">
        <v>390.0</v>
      </c>
      <c r="Q136" s="32"/>
      <c r="R136" s="32"/>
      <c r="S136" s="32"/>
      <c r="T136" s="32"/>
      <c r="U136" s="32"/>
      <c r="V136" s="32"/>
      <c r="W136" s="32"/>
      <c r="X136" s="32"/>
      <c r="Y136" s="32"/>
      <c r="Z136" s="32"/>
    </row>
    <row r="137">
      <c r="A137" s="20" t="s">
        <v>520</v>
      </c>
      <c r="B137" s="51"/>
      <c r="C137" s="22">
        <v>7.6E7</v>
      </c>
      <c r="D137" s="23">
        <v>2021.0</v>
      </c>
      <c r="E137" s="91">
        <v>44409.0</v>
      </c>
      <c r="F137" s="95" t="s">
        <v>521</v>
      </c>
      <c r="G137" s="26" t="s">
        <v>129</v>
      </c>
      <c r="H137" s="26" t="s">
        <v>23</v>
      </c>
      <c r="I137" s="26"/>
      <c r="J137" s="23">
        <v>3.0</v>
      </c>
      <c r="K137" s="27"/>
      <c r="L137" s="28"/>
      <c r="M137" s="34" t="s">
        <v>522</v>
      </c>
      <c r="N137" s="92" t="s">
        <v>523</v>
      </c>
      <c r="O137" s="31"/>
      <c r="P137" s="32">
        <v>389.0</v>
      </c>
      <c r="Q137" s="32"/>
      <c r="R137" s="32"/>
      <c r="S137" s="32"/>
      <c r="T137" s="32"/>
      <c r="U137" s="32"/>
      <c r="V137" s="32"/>
      <c r="W137" s="32"/>
      <c r="X137" s="32"/>
      <c r="Y137" s="32"/>
      <c r="Z137" s="32"/>
    </row>
    <row r="138">
      <c r="A138" s="20" t="s">
        <v>524</v>
      </c>
      <c r="B138" s="51"/>
      <c r="C138" s="22">
        <v>3.8E7</v>
      </c>
      <c r="D138" s="23">
        <v>2021.0</v>
      </c>
      <c r="E138" s="91">
        <v>44409.0</v>
      </c>
      <c r="F138" s="96" t="s">
        <v>525</v>
      </c>
      <c r="G138" s="26" t="s">
        <v>129</v>
      </c>
      <c r="H138" s="26" t="s">
        <v>23</v>
      </c>
      <c r="I138" s="26"/>
      <c r="J138" s="23">
        <v>3.0</v>
      </c>
      <c r="K138" s="27" t="s">
        <v>526</v>
      </c>
      <c r="L138" s="28"/>
      <c r="M138" s="34" t="s">
        <v>410</v>
      </c>
      <c r="N138" s="92" t="s">
        <v>527</v>
      </c>
      <c r="O138" s="31"/>
      <c r="P138" s="32">
        <v>388.0</v>
      </c>
      <c r="Q138" s="32"/>
      <c r="R138" s="32"/>
      <c r="S138" s="32"/>
      <c r="T138" s="32"/>
      <c r="U138" s="32"/>
      <c r="V138" s="32"/>
      <c r="W138" s="32"/>
      <c r="X138" s="32"/>
      <c r="Y138" s="32"/>
      <c r="Z138" s="32"/>
    </row>
    <row r="139">
      <c r="A139" s="20" t="s">
        <v>528</v>
      </c>
      <c r="B139" s="51"/>
      <c r="C139" s="22">
        <v>280000.0</v>
      </c>
      <c r="D139" s="23">
        <v>2021.0</v>
      </c>
      <c r="E139" s="91">
        <v>44378.0</v>
      </c>
      <c r="F139" s="97" t="s">
        <v>529</v>
      </c>
      <c r="G139" s="26" t="s">
        <v>64</v>
      </c>
      <c r="H139" s="26" t="s">
        <v>23</v>
      </c>
      <c r="I139" s="26"/>
      <c r="J139" s="23">
        <v>4.0</v>
      </c>
      <c r="K139" s="27"/>
      <c r="L139" s="28"/>
      <c r="M139" s="34" t="s">
        <v>530</v>
      </c>
      <c r="N139" s="92" t="s">
        <v>531</v>
      </c>
      <c r="O139" s="31"/>
      <c r="P139" s="32">
        <v>387.0</v>
      </c>
      <c r="Q139" s="32"/>
      <c r="R139" s="32"/>
      <c r="S139" s="32"/>
      <c r="T139" s="32"/>
      <c r="U139" s="32"/>
      <c r="V139" s="32"/>
      <c r="W139" s="32"/>
      <c r="X139" s="32"/>
      <c r="Y139" s="32"/>
      <c r="Z139" s="32"/>
    </row>
    <row r="140">
      <c r="A140" s="20" t="s">
        <v>532</v>
      </c>
      <c r="B140" s="98" t="s">
        <v>533</v>
      </c>
      <c r="C140" s="22">
        <v>111000.0</v>
      </c>
      <c r="D140" s="23">
        <v>2021.0</v>
      </c>
      <c r="E140" s="91">
        <v>44378.0</v>
      </c>
      <c r="F140" s="67" t="s">
        <v>534</v>
      </c>
      <c r="G140" s="26" t="s">
        <v>43</v>
      </c>
      <c r="H140" s="26" t="s">
        <v>23</v>
      </c>
      <c r="I140" s="26"/>
      <c r="J140" s="23">
        <v>2.0</v>
      </c>
      <c r="K140" s="27"/>
      <c r="L140" s="28"/>
      <c r="M140" s="34" t="s">
        <v>227</v>
      </c>
      <c r="N140" s="92" t="s">
        <v>535</v>
      </c>
      <c r="O140" s="31"/>
      <c r="P140" s="32">
        <v>386.0</v>
      </c>
      <c r="Q140" s="32"/>
      <c r="R140" s="32"/>
      <c r="S140" s="32"/>
      <c r="T140" s="32"/>
      <c r="U140" s="32"/>
      <c r="V140" s="32"/>
      <c r="W140" s="32"/>
      <c r="X140" s="32"/>
      <c r="Y140" s="32"/>
      <c r="Z140" s="32"/>
    </row>
    <row r="141">
      <c r="A141" s="20" t="s">
        <v>536</v>
      </c>
      <c r="B141" s="98"/>
      <c r="C141" s="22">
        <v>7.0E8</v>
      </c>
      <c r="D141" s="23">
        <v>2021.0</v>
      </c>
      <c r="E141" s="91">
        <v>44378.0</v>
      </c>
      <c r="F141" s="67" t="s">
        <v>537</v>
      </c>
      <c r="G141" s="26" t="s">
        <v>409</v>
      </c>
      <c r="H141" s="26" t="s">
        <v>23</v>
      </c>
      <c r="I141" s="26"/>
      <c r="J141" s="23">
        <v>1.0</v>
      </c>
      <c r="K141" s="27" t="s">
        <v>538</v>
      </c>
      <c r="L141" s="28"/>
      <c r="M141" s="34" t="s">
        <v>539</v>
      </c>
      <c r="N141" s="92" t="s">
        <v>540</v>
      </c>
      <c r="O141" s="31"/>
      <c r="P141" s="32">
        <v>385.0</v>
      </c>
      <c r="Q141" s="32"/>
      <c r="R141" s="32"/>
      <c r="S141" s="32"/>
      <c r="T141" s="32"/>
      <c r="U141" s="32"/>
      <c r="V141" s="32"/>
      <c r="W141" s="32"/>
      <c r="X141" s="32"/>
      <c r="Y141" s="32"/>
      <c r="Z141" s="32"/>
    </row>
    <row r="142">
      <c r="A142" s="20" t="s">
        <v>541</v>
      </c>
      <c r="B142" s="98"/>
      <c r="C142" s="22">
        <v>3300000.0</v>
      </c>
      <c r="D142" s="23">
        <v>2021.0</v>
      </c>
      <c r="E142" s="91">
        <v>44348.0</v>
      </c>
      <c r="F142" s="67" t="s">
        <v>542</v>
      </c>
      <c r="G142" s="26" t="s">
        <v>22</v>
      </c>
      <c r="H142" s="26" t="s">
        <v>23</v>
      </c>
      <c r="I142" s="26"/>
      <c r="J142" s="23">
        <v>2.0</v>
      </c>
      <c r="K142" s="27"/>
      <c r="L142" s="28"/>
      <c r="M142" s="34" t="s">
        <v>286</v>
      </c>
      <c r="N142" s="92" t="s">
        <v>543</v>
      </c>
      <c r="O142" s="31"/>
      <c r="P142" s="32">
        <v>384.0</v>
      </c>
      <c r="Q142" s="32"/>
      <c r="R142" s="32"/>
      <c r="S142" s="32"/>
      <c r="T142" s="32"/>
      <c r="U142" s="32"/>
      <c r="V142" s="32"/>
      <c r="W142" s="32"/>
      <c r="X142" s="32"/>
      <c r="Y142" s="32"/>
      <c r="Z142" s="32"/>
    </row>
    <row r="143">
      <c r="A143" s="20" t="s">
        <v>544</v>
      </c>
      <c r="B143" s="98"/>
      <c r="C143" s="22">
        <v>1.0E7</v>
      </c>
      <c r="D143" s="23">
        <v>2021.0</v>
      </c>
      <c r="E143" s="91">
        <v>44348.0</v>
      </c>
      <c r="F143" s="67" t="s">
        <v>545</v>
      </c>
      <c r="G143" s="26" t="s">
        <v>43</v>
      </c>
      <c r="H143" s="26" t="s">
        <v>23</v>
      </c>
      <c r="I143" s="26"/>
      <c r="J143" s="23">
        <v>2.0</v>
      </c>
      <c r="K143" s="27" t="s">
        <v>360</v>
      </c>
      <c r="L143" s="28"/>
      <c r="M143" s="34" t="s">
        <v>546</v>
      </c>
      <c r="N143" s="92" t="s">
        <v>547</v>
      </c>
      <c r="O143" s="31"/>
      <c r="P143" s="32">
        <v>383.0</v>
      </c>
      <c r="Q143" s="32"/>
      <c r="R143" s="32"/>
      <c r="S143" s="32"/>
      <c r="T143" s="32"/>
      <c r="U143" s="32"/>
      <c r="V143" s="32"/>
      <c r="W143" s="32"/>
      <c r="X143" s="32"/>
      <c r="Y143" s="32"/>
      <c r="Z143" s="32"/>
    </row>
    <row r="144">
      <c r="A144" s="20" t="s">
        <v>548</v>
      </c>
      <c r="B144" s="98"/>
      <c r="C144" s="22">
        <v>4500000.0</v>
      </c>
      <c r="D144" s="23">
        <v>2021.0</v>
      </c>
      <c r="E144" s="91">
        <v>44317.0</v>
      </c>
      <c r="F144" s="67" t="s">
        <v>549</v>
      </c>
      <c r="G144" s="26" t="s">
        <v>22</v>
      </c>
      <c r="H144" s="26" t="s">
        <v>23</v>
      </c>
      <c r="I144" s="26"/>
      <c r="J144" s="23">
        <v>2.0</v>
      </c>
      <c r="K144" s="27"/>
      <c r="L144" s="28"/>
      <c r="M144" s="34" t="s">
        <v>550</v>
      </c>
      <c r="N144" s="92" t="s">
        <v>551</v>
      </c>
      <c r="O144" s="31"/>
      <c r="P144" s="32">
        <v>382.0</v>
      </c>
      <c r="Q144" s="32"/>
      <c r="R144" s="32"/>
      <c r="S144" s="32"/>
      <c r="T144" s="32"/>
      <c r="U144" s="32"/>
      <c r="V144" s="32"/>
      <c r="W144" s="32"/>
      <c r="X144" s="32"/>
      <c r="Y144" s="32"/>
      <c r="Z144" s="32"/>
    </row>
    <row r="145">
      <c r="A145" s="20" t="s">
        <v>552</v>
      </c>
      <c r="B145" s="98" t="s">
        <v>553</v>
      </c>
      <c r="C145" s="22">
        <v>1710000.0</v>
      </c>
      <c r="D145" s="23">
        <v>2021.0</v>
      </c>
      <c r="E145" s="91">
        <v>44317.0</v>
      </c>
      <c r="F145" s="99" t="s">
        <v>554</v>
      </c>
      <c r="G145" s="26" t="s">
        <v>28</v>
      </c>
      <c r="H145" s="26" t="s">
        <v>23</v>
      </c>
      <c r="I145" s="26"/>
      <c r="J145" s="23">
        <v>2.0</v>
      </c>
      <c r="K145" s="27"/>
      <c r="L145" s="28"/>
      <c r="M145" s="34" t="s">
        <v>555</v>
      </c>
      <c r="N145" s="92" t="s">
        <v>556</v>
      </c>
      <c r="O145" s="31"/>
      <c r="P145" s="32">
        <v>381.0</v>
      </c>
      <c r="Q145" s="32"/>
      <c r="R145" s="32"/>
      <c r="S145" s="32"/>
      <c r="T145" s="32"/>
      <c r="U145" s="32"/>
      <c r="V145" s="32"/>
      <c r="W145" s="32"/>
      <c r="X145" s="32"/>
      <c r="Y145" s="32"/>
      <c r="Z145" s="32"/>
    </row>
    <row r="146">
      <c r="A146" s="20" t="s">
        <v>557</v>
      </c>
      <c r="B146" s="98"/>
      <c r="C146" s="22">
        <v>1.3124962E7</v>
      </c>
      <c r="D146" s="23">
        <v>2021.0</v>
      </c>
      <c r="E146" s="91">
        <v>44317.0</v>
      </c>
      <c r="F146" s="99" t="s">
        <v>558</v>
      </c>
      <c r="G146" s="26" t="s">
        <v>28</v>
      </c>
      <c r="H146" s="26" t="s">
        <v>380</v>
      </c>
      <c r="I146" s="26" t="s">
        <v>29</v>
      </c>
      <c r="J146" s="23">
        <v>2.0</v>
      </c>
      <c r="K146" s="27"/>
      <c r="L146" s="28"/>
      <c r="M146" s="34" t="s">
        <v>559</v>
      </c>
      <c r="N146" s="92" t="s">
        <v>560</v>
      </c>
      <c r="O146" s="31"/>
      <c r="P146" s="32">
        <v>380.0</v>
      </c>
      <c r="Q146" s="32"/>
      <c r="R146" s="32"/>
      <c r="S146" s="32"/>
      <c r="T146" s="32"/>
      <c r="U146" s="32"/>
      <c r="V146" s="32"/>
      <c r="W146" s="32"/>
      <c r="X146" s="32"/>
      <c r="Y146" s="32"/>
      <c r="Z146" s="32"/>
    </row>
    <row r="147">
      <c r="A147" s="20" t="s">
        <v>561</v>
      </c>
      <c r="B147" s="98"/>
      <c r="C147" s="22">
        <v>3000000.0</v>
      </c>
      <c r="D147" s="23">
        <v>2021.0</v>
      </c>
      <c r="E147" s="91">
        <v>44317.0</v>
      </c>
      <c r="F147" s="99"/>
      <c r="G147" s="26" t="s">
        <v>50</v>
      </c>
      <c r="H147" s="26" t="s">
        <v>380</v>
      </c>
      <c r="I147" s="26"/>
      <c r="J147" s="23">
        <v>2.0</v>
      </c>
      <c r="K147" s="27"/>
      <c r="L147" s="28"/>
      <c r="M147" s="34" t="s">
        <v>247</v>
      </c>
      <c r="N147" s="92" t="s">
        <v>562</v>
      </c>
      <c r="O147" s="31"/>
      <c r="P147" s="32">
        <v>379.0</v>
      </c>
      <c r="Q147" s="32"/>
      <c r="R147" s="32"/>
      <c r="S147" s="32"/>
      <c r="T147" s="32"/>
      <c r="U147" s="32"/>
      <c r="V147" s="32"/>
      <c r="W147" s="32"/>
      <c r="X147" s="32"/>
      <c r="Y147" s="32"/>
      <c r="Z147" s="32"/>
    </row>
    <row r="148">
      <c r="A148" s="20" t="s">
        <v>563</v>
      </c>
      <c r="B148" s="98"/>
      <c r="C148" s="22">
        <v>1.0E7</v>
      </c>
      <c r="D148" s="23">
        <v>2021.0</v>
      </c>
      <c r="E148" s="91">
        <v>44287.0</v>
      </c>
      <c r="F148" s="99"/>
      <c r="G148" s="26" t="s">
        <v>50</v>
      </c>
      <c r="H148" s="26" t="s">
        <v>380</v>
      </c>
      <c r="I148" s="26"/>
      <c r="J148" s="23"/>
      <c r="K148" s="27" t="s">
        <v>360</v>
      </c>
      <c r="L148" s="28"/>
      <c r="M148" s="34" t="s">
        <v>34</v>
      </c>
      <c r="N148" s="92" t="s">
        <v>564</v>
      </c>
      <c r="O148" s="31"/>
      <c r="P148" s="32">
        <v>378.0</v>
      </c>
      <c r="Q148" s="32"/>
      <c r="R148" s="32"/>
      <c r="S148" s="32"/>
      <c r="T148" s="32"/>
      <c r="U148" s="32"/>
      <c r="V148" s="32"/>
      <c r="W148" s="32"/>
      <c r="X148" s="32"/>
      <c r="Y148" s="32"/>
      <c r="Z148" s="32"/>
    </row>
    <row r="149">
      <c r="A149" s="20" t="s">
        <v>565</v>
      </c>
      <c r="B149" s="98" t="s">
        <v>566</v>
      </c>
      <c r="C149" s="22">
        <v>2.1E7</v>
      </c>
      <c r="D149" s="23">
        <v>2021.0</v>
      </c>
      <c r="E149" s="91">
        <v>44287.0</v>
      </c>
      <c r="F149" s="95" t="s">
        <v>567</v>
      </c>
      <c r="G149" s="26" t="s">
        <v>22</v>
      </c>
      <c r="H149" s="26" t="s">
        <v>23</v>
      </c>
      <c r="I149" s="26"/>
      <c r="J149" s="23">
        <v>2.0</v>
      </c>
      <c r="K149" s="27"/>
      <c r="L149" s="28"/>
      <c r="M149" s="34" t="s">
        <v>522</v>
      </c>
      <c r="N149" s="92" t="s">
        <v>568</v>
      </c>
      <c r="O149" s="31"/>
      <c r="P149" s="32">
        <v>377.0</v>
      </c>
      <c r="Q149" s="32"/>
      <c r="R149" s="32"/>
      <c r="S149" s="32"/>
      <c r="T149" s="32"/>
      <c r="U149" s="32"/>
      <c r="V149" s="32"/>
      <c r="W149" s="32"/>
      <c r="X149" s="32"/>
      <c r="Y149" s="32"/>
      <c r="Z149" s="32"/>
    </row>
    <row r="150">
      <c r="A150" s="20" t="s">
        <v>569</v>
      </c>
      <c r="B150" s="51"/>
      <c r="C150" s="22">
        <v>1.6E7</v>
      </c>
      <c r="D150" s="23">
        <v>2021.0</v>
      </c>
      <c r="E150" s="91">
        <v>44228.0</v>
      </c>
      <c r="F150" s="26" t="s">
        <v>570</v>
      </c>
      <c r="G150" s="26" t="s">
        <v>50</v>
      </c>
      <c r="H150" s="26" t="s">
        <v>23</v>
      </c>
      <c r="I150" s="26"/>
      <c r="J150" s="23">
        <v>2.0</v>
      </c>
      <c r="K150" s="27"/>
      <c r="L150" s="28"/>
      <c r="M150" s="34" t="s">
        <v>571</v>
      </c>
      <c r="N150" s="100" t="s">
        <v>572</v>
      </c>
      <c r="O150" s="31"/>
      <c r="P150" s="32">
        <v>376.0</v>
      </c>
      <c r="Q150" s="32"/>
      <c r="R150" s="32"/>
      <c r="S150" s="32"/>
      <c r="T150" s="32"/>
      <c r="U150" s="32"/>
      <c r="V150" s="32"/>
      <c r="W150" s="32"/>
      <c r="X150" s="32"/>
      <c r="Y150" s="32"/>
      <c r="Z150" s="32"/>
    </row>
    <row r="151">
      <c r="A151" s="20" t="s">
        <v>573</v>
      </c>
      <c r="B151" s="51"/>
      <c r="C151" s="22">
        <v>2240000.0</v>
      </c>
      <c r="D151" s="23">
        <v>2021.0</v>
      </c>
      <c r="E151" s="91">
        <v>44228.0</v>
      </c>
      <c r="F151" s="26" t="s">
        <v>574</v>
      </c>
      <c r="G151" s="26" t="s">
        <v>50</v>
      </c>
      <c r="H151" s="26" t="s">
        <v>23</v>
      </c>
      <c r="I151" s="26"/>
      <c r="J151" s="23">
        <v>4.0</v>
      </c>
      <c r="K151" s="27"/>
      <c r="L151" s="28"/>
      <c r="M151" s="34" t="s">
        <v>575</v>
      </c>
      <c r="N151" s="100" t="s">
        <v>576</v>
      </c>
      <c r="O151" s="31"/>
      <c r="P151" s="32">
        <v>375.0</v>
      </c>
      <c r="Q151" s="32"/>
      <c r="R151" s="32"/>
      <c r="S151" s="32"/>
      <c r="T151" s="32"/>
      <c r="U151" s="32"/>
      <c r="V151" s="32"/>
      <c r="W151" s="32"/>
      <c r="X151" s="32"/>
      <c r="Y151" s="32"/>
      <c r="Z151" s="32"/>
    </row>
    <row r="152">
      <c r="A152" s="20" t="s">
        <v>577</v>
      </c>
      <c r="B152" s="51"/>
      <c r="C152" s="22">
        <v>2.2E8</v>
      </c>
      <c r="D152" s="23">
        <v>2021.0</v>
      </c>
      <c r="E152" s="91">
        <v>44228.0</v>
      </c>
      <c r="F152" s="26" t="s">
        <v>578</v>
      </c>
      <c r="G152" s="26" t="s">
        <v>58</v>
      </c>
      <c r="H152" s="26" t="s">
        <v>23</v>
      </c>
      <c r="I152" s="26"/>
      <c r="J152" s="23">
        <v>2.0</v>
      </c>
      <c r="K152" s="27" t="s">
        <v>579</v>
      </c>
      <c r="L152" s="28"/>
      <c r="M152" s="34" t="s">
        <v>571</v>
      </c>
      <c r="N152" s="100" t="s">
        <v>580</v>
      </c>
      <c r="O152" s="31"/>
      <c r="P152" s="32">
        <v>374.0</v>
      </c>
      <c r="Q152" s="32"/>
      <c r="R152" s="32"/>
      <c r="S152" s="32"/>
      <c r="T152" s="32"/>
      <c r="U152" s="32"/>
      <c r="V152" s="32"/>
      <c r="W152" s="32"/>
      <c r="X152" s="32"/>
      <c r="Y152" s="32"/>
      <c r="Z152" s="32"/>
    </row>
    <row r="153">
      <c r="A153" s="20" t="s">
        <v>581</v>
      </c>
      <c r="B153" s="51"/>
      <c r="C153" s="22">
        <v>4000000.0</v>
      </c>
      <c r="D153" s="23">
        <v>2021.0</v>
      </c>
      <c r="E153" s="101">
        <v>44256.0</v>
      </c>
      <c r="F153" s="26" t="s">
        <v>582</v>
      </c>
      <c r="G153" s="26" t="s">
        <v>50</v>
      </c>
      <c r="H153" s="26" t="s">
        <v>23</v>
      </c>
      <c r="I153" s="26" t="s">
        <v>29</v>
      </c>
      <c r="J153" s="23">
        <v>3.0</v>
      </c>
      <c r="K153" s="27" t="s">
        <v>583</v>
      </c>
      <c r="L153" s="28"/>
      <c r="M153" s="34" t="s">
        <v>410</v>
      </c>
      <c r="N153" s="100" t="s">
        <v>584</v>
      </c>
      <c r="O153" s="31"/>
      <c r="P153" s="32">
        <v>373.0</v>
      </c>
      <c r="Q153" s="32"/>
      <c r="R153" s="32"/>
      <c r="S153" s="32"/>
      <c r="T153" s="32"/>
      <c r="U153" s="32"/>
      <c r="V153" s="32"/>
      <c r="W153" s="32"/>
      <c r="X153" s="32"/>
      <c r="Y153" s="32"/>
      <c r="Z153" s="32"/>
    </row>
    <row r="154">
      <c r="A154" s="20" t="s">
        <v>585</v>
      </c>
      <c r="B154" s="51"/>
      <c r="C154" s="22">
        <v>1.6E7</v>
      </c>
      <c r="D154" s="23">
        <v>2021.0</v>
      </c>
      <c r="E154" s="101">
        <v>44256.0</v>
      </c>
      <c r="F154" s="26" t="s">
        <v>586</v>
      </c>
      <c r="G154" s="26" t="s">
        <v>22</v>
      </c>
      <c r="H154" s="26" t="s">
        <v>23</v>
      </c>
      <c r="I154" s="26"/>
      <c r="J154" s="23">
        <v>1.0</v>
      </c>
      <c r="K154" s="27"/>
      <c r="L154" s="28"/>
      <c r="M154" s="34" t="s">
        <v>325</v>
      </c>
      <c r="N154" s="100" t="s">
        <v>587</v>
      </c>
      <c r="O154" s="31"/>
      <c r="P154" s="32">
        <v>372.0</v>
      </c>
      <c r="Q154" s="32"/>
      <c r="R154" s="32"/>
      <c r="S154" s="32"/>
      <c r="T154" s="32"/>
      <c r="U154" s="32"/>
      <c r="V154" s="32"/>
      <c r="W154" s="32"/>
      <c r="X154" s="32"/>
      <c r="Y154" s="32"/>
      <c r="Z154" s="32"/>
    </row>
    <row r="155">
      <c r="A155" s="20" t="s">
        <v>588</v>
      </c>
      <c r="B155" s="51"/>
      <c r="C155" s="22">
        <v>5.33E8</v>
      </c>
      <c r="D155" s="23">
        <v>2021.0</v>
      </c>
      <c r="E155" s="101">
        <v>44256.0</v>
      </c>
      <c r="F155" s="26" t="s">
        <v>589</v>
      </c>
      <c r="G155" s="26" t="s">
        <v>50</v>
      </c>
      <c r="H155" s="26" t="s">
        <v>23</v>
      </c>
      <c r="I155" s="26" t="s">
        <v>29</v>
      </c>
      <c r="J155" s="23">
        <v>1.0</v>
      </c>
      <c r="K155" s="27" t="s">
        <v>590</v>
      </c>
      <c r="L155" s="28"/>
      <c r="M155" s="34" t="s">
        <v>591</v>
      </c>
      <c r="N155" s="100" t="s">
        <v>592</v>
      </c>
      <c r="O155" s="31"/>
      <c r="P155" s="32">
        <v>371.0</v>
      </c>
      <c r="Q155" s="32"/>
      <c r="R155" s="32"/>
      <c r="S155" s="32"/>
      <c r="T155" s="32"/>
      <c r="U155" s="32"/>
      <c r="V155" s="32"/>
      <c r="W155" s="32"/>
      <c r="X155" s="32"/>
      <c r="Y155" s="32"/>
      <c r="Z155" s="32"/>
    </row>
    <row r="156">
      <c r="A156" s="20" t="s">
        <v>593</v>
      </c>
      <c r="B156" s="51"/>
      <c r="C156" s="22">
        <v>270000.0</v>
      </c>
      <c r="D156" s="23">
        <v>2020.0</v>
      </c>
      <c r="E156" s="101">
        <v>44166.0</v>
      </c>
      <c r="F156" s="26" t="s">
        <v>594</v>
      </c>
      <c r="G156" s="26" t="s">
        <v>58</v>
      </c>
      <c r="H156" s="26" t="s">
        <v>23</v>
      </c>
      <c r="I156" s="26"/>
      <c r="J156" s="23">
        <v>2.0</v>
      </c>
      <c r="K156" s="27"/>
      <c r="L156" s="28"/>
      <c r="M156" s="34" t="s">
        <v>85</v>
      </c>
      <c r="N156" s="100" t="s">
        <v>595</v>
      </c>
      <c r="O156" s="31"/>
      <c r="P156" s="32">
        <v>370.0</v>
      </c>
      <c r="Q156" s="32"/>
      <c r="R156" s="32"/>
      <c r="S156" s="32"/>
      <c r="T156" s="32"/>
      <c r="U156" s="32"/>
      <c r="V156" s="32"/>
      <c r="W156" s="32"/>
      <c r="X156" s="32"/>
      <c r="Y156" s="32"/>
      <c r="Z156" s="32"/>
    </row>
    <row r="157">
      <c r="A157" s="20" t="s">
        <v>596</v>
      </c>
      <c r="B157" s="51"/>
      <c r="C157" s="22">
        <v>200000.0</v>
      </c>
      <c r="D157" s="23">
        <v>2020.0</v>
      </c>
      <c r="E157" s="101">
        <v>44166.0</v>
      </c>
      <c r="F157" s="26" t="s">
        <v>597</v>
      </c>
      <c r="G157" s="26" t="s">
        <v>129</v>
      </c>
      <c r="H157" s="26" t="s">
        <v>23</v>
      </c>
      <c r="I157" s="26"/>
      <c r="J157" s="23">
        <v>1.0</v>
      </c>
      <c r="K157" s="27"/>
      <c r="L157" s="28"/>
      <c r="M157" s="34" t="s">
        <v>85</v>
      </c>
      <c r="N157" s="100" t="s">
        <v>598</v>
      </c>
      <c r="O157" s="31"/>
      <c r="P157" s="32">
        <v>369.0</v>
      </c>
      <c r="Q157" s="32"/>
      <c r="R157" s="32"/>
      <c r="S157" s="32"/>
      <c r="T157" s="32"/>
      <c r="U157" s="32"/>
      <c r="V157" s="32"/>
      <c r="W157" s="32"/>
      <c r="X157" s="32"/>
      <c r="Y157" s="32"/>
      <c r="Z157" s="32"/>
    </row>
    <row r="158">
      <c r="A158" s="20" t="s">
        <v>599</v>
      </c>
      <c r="B158" s="51"/>
      <c r="C158" s="22">
        <v>1000000.0</v>
      </c>
      <c r="D158" s="23">
        <v>2020.0</v>
      </c>
      <c r="E158" s="101">
        <v>44166.0</v>
      </c>
      <c r="F158" s="26" t="s">
        <v>600</v>
      </c>
      <c r="G158" s="26" t="s">
        <v>258</v>
      </c>
      <c r="H158" s="26" t="s">
        <v>23</v>
      </c>
      <c r="I158" s="26" t="s">
        <v>29</v>
      </c>
      <c r="J158" s="23">
        <v>4.0</v>
      </c>
      <c r="K158" s="27"/>
      <c r="L158" s="28"/>
      <c r="M158" s="34" t="s">
        <v>147</v>
      </c>
      <c r="N158" s="100" t="s">
        <v>601</v>
      </c>
      <c r="O158" s="31"/>
      <c r="P158" s="32">
        <v>368.0</v>
      </c>
      <c r="Q158" s="32"/>
      <c r="R158" s="32"/>
      <c r="S158" s="32"/>
      <c r="T158" s="32"/>
      <c r="U158" s="32"/>
      <c r="V158" s="32"/>
      <c r="W158" s="32"/>
      <c r="X158" s="32"/>
      <c r="Y158" s="32"/>
      <c r="Z158" s="32"/>
    </row>
    <row r="159">
      <c r="A159" s="20" t="s">
        <v>602</v>
      </c>
      <c r="B159" s="51"/>
      <c r="C159" s="22">
        <v>5.0E7</v>
      </c>
      <c r="D159" s="23">
        <v>2020.0</v>
      </c>
      <c r="E159" s="101">
        <v>44166.0</v>
      </c>
      <c r="F159" s="26" t="s">
        <v>603</v>
      </c>
      <c r="G159" s="26" t="s">
        <v>28</v>
      </c>
      <c r="H159" s="26" t="s">
        <v>23</v>
      </c>
      <c r="I159" s="26" t="s">
        <v>29</v>
      </c>
      <c r="J159" s="23">
        <v>3.0</v>
      </c>
      <c r="K159" s="27"/>
      <c r="L159" s="28"/>
      <c r="M159" s="34" t="s">
        <v>604</v>
      </c>
      <c r="N159" s="100" t="s">
        <v>605</v>
      </c>
      <c r="O159" s="31"/>
      <c r="P159" s="32">
        <v>367.0</v>
      </c>
      <c r="Q159" s="32"/>
      <c r="R159" s="32"/>
      <c r="S159" s="32"/>
      <c r="T159" s="32"/>
      <c r="U159" s="32"/>
      <c r="V159" s="32"/>
      <c r="W159" s="32"/>
      <c r="X159" s="32"/>
      <c r="Y159" s="32"/>
      <c r="Z159" s="32"/>
    </row>
    <row r="160">
      <c r="A160" s="20" t="s">
        <v>606</v>
      </c>
      <c r="B160" s="51"/>
      <c r="C160" s="22">
        <v>2500000.0</v>
      </c>
      <c r="D160" s="23">
        <v>2020.0</v>
      </c>
      <c r="E160" s="101">
        <v>44166.0</v>
      </c>
      <c r="F160" s="26" t="s">
        <v>607</v>
      </c>
      <c r="G160" s="26" t="s">
        <v>129</v>
      </c>
      <c r="H160" s="26" t="s">
        <v>23</v>
      </c>
      <c r="I160" s="26"/>
      <c r="J160" s="23">
        <v>2.0</v>
      </c>
      <c r="K160" s="27"/>
      <c r="L160" s="28"/>
      <c r="M160" s="34" t="s">
        <v>608</v>
      </c>
      <c r="N160" s="100" t="s">
        <v>609</v>
      </c>
      <c r="O160" s="31"/>
      <c r="P160" s="32">
        <v>366.0</v>
      </c>
      <c r="Q160" s="32"/>
      <c r="R160" s="32"/>
      <c r="S160" s="32"/>
      <c r="T160" s="32"/>
      <c r="U160" s="32"/>
      <c r="V160" s="32"/>
      <c r="W160" s="32"/>
      <c r="X160" s="32"/>
      <c r="Y160" s="32"/>
      <c r="Z160" s="32"/>
    </row>
    <row r="161">
      <c r="A161" s="20" t="s">
        <v>610</v>
      </c>
      <c r="B161" s="51"/>
      <c r="C161" s="22">
        <v>500000.0</v>
      </c>
      <c r="D161" s="23">
        <v>2020.0</v>
      </c>
      <c r="E161" s="101">
        <v>44166.0</v>
      </c>
      <c r="F161" s="26" t="s">
        <v>611</v>
      </c>
      <c r="G161" s="26" t="s">
        <v>28</v>
      </c>
      <c r="H161" s="26" t="s">
        <v>142</v>
      </c>
      <c r="I161" s="26"/>
      <c r="J161" s="23">
        <v>1.0</v>
      </c>
      <c r="K161" s="27"/>
      <c r="L161" s="28"/>
      <c r="M161" s="34" t="s">
        <v>34</v>
      </c>
      <c r="N161" s="100" t="s">
        <v>612</v>
      </c>
      <c r="O161" s="31"/>
      <c r="P161" s="32">
        <v>365.0</v>
      </c>
      <c r="Q161" s="32"/>
      <c r="R161" s="32"/>
      <c r="S161" s="32"/>
      <c r="T161" s="32"/>
      <c r="U161" s="32"/>
      <c r="V161" s="32"/>
      <c r="W161" s="32"/>
      <c r="X161" s="32"/>
      <c r="Y161" s="32"/>
      <c r="Z161" s="32"/>
    </row>
    <row r="162">
      <c r="A162" s="20" t="s">
        <v>613</v>
      </c>
      <c r="B162" s="51"/>
      <c r="C162" s="22">
        <v>2400000.0</v>
      </c>
      <c r="D162" s="23">
        <v>2020.0</v>
      </c>
      <c r="E162" s="101">
        <v>44075.0</v>
      </c>
      <c r="F162" s="26" t="s">
        <v>614</v>
      </c>
      <c r="G162" s="26" t="s">
        <v>28</v>
      </c>
      <c r="H162" s="26" t="s">
        <v>23</v>
      </c>
      <c r="I162" s="26"/>
      <c r="J162" s="23">
        <v>2.0</v>
      </c>
      <c r="K162" s="27"/>
      <c r="L162" s="28"/>
      <c r="M162" s="34" t="s">
        <v>34</v>
      </c>
      <c r="N162" s="100" t="s">
        <v>615</v>
      </c>
      <c r="O162" s="31"/>
      <c r="P162" s="32">
        <v>364.0</v>
      </c>
      <c r="Q162" s="32"/>
      <c r="R162" s="32"/>
      <c r="S162" s="32"/>
      <c r="T162" s="32"/>
      <c r="U162" s="32"/>
      <c r="V162" s="32"/>
      <c r="W162" s="32"/>
      <c r="X162" s="32"/>
      <c r="Y162" s="32"/>
      <c r="Z162" s="32"/>
    </row>
    <row r="163">
      <c r="A163" s="20" t="s">
        <v>616</v>
      </c>
      <c r="B163" s="51"/>
      <c r="C163" s="22">
        <v>1400000.0</v>
      </c>
      <c r="D163" s="23">
        <v>2020.0</v>
      </c>
      <c r="E163" s="101">
        <v>44075.0</v>
      </c>
      <c r="F163" s="26" t="s">
        <v>617</v>
      </c>
      <c r="G163" s="26" t="s">
        <v>618</v>
      </c>
      <c r="H163" s="26" t="s">
        <v>23</v>
      </c>
      <c r="I163" s="26" t="s">
        <v>29</v>
      </c>
      <c r="J163" s="23">
        <v>5.0</v>
      </c>
      <c r="K163" s="27"/>
      <c r="L163" s="28"/>
      <c r="M163" s="34" t="s">
        <v>604</v>
      </c>
      <c r="N163" s="100" t="s">
        <v>619</v>
      </c>
      <c r="O163" s="31"/>
      <c r="P163" s="32">
        <v>363.0</v>
      </c>
      <c r="Q163" s="32"/>
      <c r="R163" s="32"/>
      <c r="S163" s="32"/>
      <c r="T163" s="32"/>
      <c r="U163" s="32"/>
      <c r="V163" s="32"/>
      <c r="W163" s="32"/>
      <c r="X163" s="32"/>
      <c r="Y163" s="32"/>
      <c r="Z163" s="32"/>
    </row>
    <row r="164">
      <c r="A164" s="20" t="s">
        <v>620</v>
      </c>
      <c r="B164" s="51"/>
      <c r="C164" s="22">
        <v>500000.0</v>
      </c>
      <c r="D164" s="23">
        <v>2020.0</v>
      </c>
      <c r="E164" s="101">
        <v>44075.0</v>
      </c>
      <c r="F164" s="26" t="s">
        <v>621</v>
      </c>
      <c r="G164" s="26" t="s">
        <v>236</v>
      </c>
      <c r="H164" s="26" t="s">
        <v>23</v>
      </c>
      <c r="I164" s="26"/>
      <c r="J164" s="23">
        <v>1.0</v>
      </c>
      <c r="K164" s="27"/>
      <c r="L164" s="28"/>
      <c r="M164" s="34" t="s">
        <v>278</v>
      </c>
      <c r="N164" s="100" t="s">
        <v>622</v>
      </c>
      <c r="O164" s="31"/>
      <c r="P164" s="32">
        <v>362.0</v>
      </c>
      <c r="Q164" s="32"/>
      <c r="R164" s="32"/>
      <c r="S164" s="32"/>
      <c r="T164" s="32"/>
      <c r="U164" s="32"/>
      <c r="V164" s="32"/>
      <c r="W164" s="32"/>
      <c r="X164" s="32"/>
      <c r="Y164" s="32"/>
      <c r="Z164" s="32"/>
    </row>
    <row r="165">
      <c r="A165" s="20" t="s">
        <v>623</v>
      </c>
      <c r="B165" s="51"/>
      <c r="C165" s="22">
        <v>2400000.0</v>
      </c>
      <c r="D165" s="23">
        <v>2020.0</v>
      </c>
      <c r="E165" s="101">
        <v>44075.0</v>
      </c>
      <c r="F165" s="26" t="s">
        <v>624</v>
      </c>
      <c r="G165" s="26" t="s">
        <v>38</v>
      </c>
      <c r="H165" s="26" t="s">
        <v>142</v>
      </c>
      <c r="I165" s="26" t="s">
        <v>29</v>
      </c>
      <c r="J165" s="23">
        <v>1.0</v>
      </c>
      <c r="K165" s="27"/>
      <c r="L165" s="28"/>
      <c r="M165" s="34" t="s">
        <v>325</v>
      </c>
      <c r="N165" s="100" t="s">
        <v>625</v>
      </c>
      <c r="O165" s="31"/>
      <c r="P165" s="32">
        <v>361.0</v>
      </c>
      <c r="Q165" s="32"/>
      <c r="R165" s="32"/>
      <c r="S165" s="32"/>
      <c r="T165" s="32"/>
      <c r="U165" s="32"/>
      <c r="V165" s="32"/>
      <c r="W165" s="32"/>
      <c r="X165" s="32"/>
      <c r="Y165" s="32"/>
      <c r="Z165" s="32"/>
    </row>
    <row r="166">
      <c r="A166" s="20" t="s">
        <v>626</v>
      </c>
      <c r="B166" s="51"/>
      <c r="C166" s="22">
        <v>2500000.0</v>
      </c>
      <c r="D166" s="23">
        <v>2020.0</v>
      </c>
      <c r="E166" s="101">
        <v>44044.0</v>
      </c>
      <c r="F166" s="26" t="s">
        <v>627</v>
      </c>
      <c r="G166" s="26" t="s">
        <v>628</v>
      </c>
      <c r="H166" s="26" t="s">
        <v>51</v>
      </c>
      <c r="I166" s="28"/>
      <c r="J166" s="23">
        <v>4.0</v>
      </c>
      <c r="K166" s="27"/>
      <c r="L166" s="28"/>
      <c r="M166" s="34" t="s">
        <v>629</v>
      </c>
      <c r="N166" s="100" t="s">
        <v>630</v>
      </c>
      <c r="O166" s="31"/>
      <c r="P166" s="32">
        <v>360.0</v>
      </c>
      <c r="Q166" s="32"/>
      <c r="R166" s="32"/>
      <c r="S166" s="32"/>
      <c r="T166" s="32"/>
      <c r="U166" s="32"/>
      <c r="V166" s="32"/>
      <c r="W166" s="32"/>
      <c r="X166" s="32"/>
      <c r="Y166" s="32"/>
      <c r="Z166" s="32"/>
    </row>
    <row r="167">
      <c r="A167" s="20" t="s">
        <v>631</v>
      </c>
      <c r="B167" s="51"/>
      <c r="C167" s="22">
        <v>300000.0</v>
      </c>
      <c r="D167" s="23">
        <v>2020.0</v>
      </c>
      <c r="E167" s="101">
        <v>43922.0</v>
      </c>
      <c r="F167" s="26" t="s">
        <v>632</v>
      </c>
      <c r="G167" s="26" t="s">
        <v>236</v>
      </c>
      <c r="H167" s="26" t="s">
        <v>23</v>
      </c>
      <c r="I167" s="28"/>
      <c r="J167" s="23">
        <v>3.0</v>
      </c>
      <c r="K167" s="27" t="s">
        <v>633</v>
      </c>
      <c r="L167" s="28"/>
      <c r="M167" s="34" t="s">
        <v>34</v>
      </c>
      <c r="N167" s="100" t="s">
        <v>634</v>
      </c>
      <c r="O167" s="31"/>
      <c r="P167" s="32">
        <v>359.0</v>
      </c>
      <c r="Q167" s="32"/>
      <c r="R167" s="32"/>
      <c r="S167" s="32"/>
      <c r="T167" s="32"/>
      <c r="U167" s="32"/>
      <c r="V167" s="32"/>
      <c r="W167" s="32"/>
      <c r="X167" s="32"/>
      <c r="Y167" s="32"/>
      <c r="Z167" s="32"/>
    </row>
    <row r="168">
      <c r="A168" s="20" t="s">
        <v>635</v>
      </c>
      <c r="B168" s="51"/>
      <c r="C168" s="22">
        <v>1.15E8</v>
      </c>
      <c r="D168" s="23">
        <v>2020.0</v>
      </c>
      <c r="E168" s="101">
        <v>43922.0</v>
      </c>
      <c r="F168" s="26" t="s">
        <v>636</v>
      </c>
      <c r="G168" s="26" t="s">
        <v>129</v>
      </c>
      <c r="H168" s="26" t="s">
        <v>23</v>
      </c>
      <c r="I168" s="28"/>
      <c r="J168" s="23">
        <v>2.0</v>
      </c>
      <c r="K168" s="27" t="s">
        <v>637</v>
      </c>
      <c r="L168" s="28"/>
      <c r="M168" s="34" t="s">
        <v>571</v>
      </c>
      <c r="N168" s="100" t="s">
        <v>638</v>
      </c>
      <c r="O168" s="31"/>
      <c r="P168" s="32">
        <v>358.0</v>
      </c>
      <c r="Q168" s="32"/>
      <c r="R168" s="32"/>
      <c r="S168" s="32"/>
      <c r="T168" s="32"/>
      <c r="U168" s="32"/>
      <c r="V168" s="32"/>
      <c r="W168" s="32"/>
      <c r="X168" s="32"/>
      <c r="Y168" s="32"/>
      <c r="Z168" s="32"/>
    </row>
    <row r="169">
      <c r="A169" s="20" t="s">
        <v>639</v>
      </c>
      <c r="B169" s="51"/>
      <c r="C169" s="22">
        <v>387000.0</v>
      </c>
      <c r="D169" s="23">
        <v>2020.0</v>
      </c>
      <c r="E169" s="101">
        <v>43952.0</v>
      </c>
      <c r="F169" s="26" t="s">
        <v>640</v>
      </c>
      <c r="G169" s="26" t="s">
        <v>64</v>
      </c>
      <c r="H169" s="26" t="s">
        <v>23</v>
      </c>
      <c r="I169" s="28"/>
      <c r="J169" s="23">
        <v>2.0</v>
      </c>
      <c r="K169" s="27" t="s">
        <v>641</v>
      </c>
      <c r="L169" s="28"/>
      <c r="M169" s="34" t="s">
        <v>642</v>
      </c>
      <c r="N169" s="100" t="s">
        <v>643</v>
      </c>
      <c r="O169" s="31"/>
      <c r="P169" s="32">
        <v>357.0</v>
      </c>
      <c r="Q169" s="32"/>
      <c r="R169" s="32"/>
      <c r="S169" s="32"/>
      <c r="T169" s="32"/>
      <c r="U169" s="32"/>
      <c r="V169" s="32"/>
      <c r="W169" s="32"/>
      <c r="X169" s="32"/>
      <c r="Y169" s="32"/>
      <c r="Z169" s="32"/>
    </row>
    <row r="170">
      <c r="A170" s="52" t="s">
        <v>644</v>
      </c>
      <c r="B170" s="52" t="s">
        <v>645</v>
      </c>
      <c r="C170" s="22">
        <v>2.2E7</v>
      </c>
      <c r="D170" s="23">
        <v>2020.0</v>
      </c>
      <c r="E170" s="101">
        <v>43952.0</v>
      </c>
      <c r="F170" s="26" t="s">
        <v>646</v>
      </c>
      <c r="G170" s="26" t="s">
        <v>28</v>
      </c>
      <c r="H170" s="26" t="s">
        <v>23</v>
      </c>
      <c r="I170" s="28"/>
      <c r="J170" s="23">
        <v>2.0</v>
      </c>
      <c r="K170" s="27" t="s">
        <v>647</v>
      </c>
      <c r="L170" s="28"/>
      <c r="M170" s="34" t="s">
        <v>648</v>
      </c>
      <c r="N170" s="100" t="s">
        <v>649</v>
      </c>
      <c r="O170" s="31"/>
      <c r="P170" s="32">
        <v>356.0</v>
      </c>
      <c r="Q170" s="32"/>
      <c r="R170" s="32"/>
      <c r="S170" s="32"/>
      <c r="T170" s="32"/>
      <c r="U170" s="32"/>
      <c r="V170" s="32"/>
      <c r="W170" s="32"/>
      <c r="X170" s="32"/>
      <c r="Y170" s="32"/>
      <c r="Z170" s="32"/>
    </row>
    <row r="171">
      <c r="A171" s="20" t="s">
        <v>650</v>
      </c>
      <c r="B171" s="51"/>
      <c r="C171" s="22">
        <v>9000000.0</v>
      </c>
      <c r="D171" s="23">
        <v>2020.0</v>
      </c>
      <c r="E171" s="101">
        <v>43952.0</v>
      </c>
      <c r="F171" s="26" t="s">
        <v>651</v>
      </c>
      <c r="G171" s="26" t="s">
        <v>22</v>
      </c>
      <c r="H171" s="26" t="s">
        <v>23</v>
      </c>
      <c r="I171" s="28"/>
      <c r="J171" s="23">
        <v>3.0</v>
      </c>
      <c r="K171" s="27" t="s">
        <v>652</v>
      </c>
      <c r="L171" s="28"/>
      <c r="M171" s="34" t="s">
        <v>147</v>
      </c>
      <c r="N171" s="100" t="s">
        <v>653</v>
      </c>
      <c r="O171" s="31"/>
      <c r="P171" s="32">
        <v>355.0</v>
      </c>
      <c r="Q171" s="32"/>
      <c r="R171" s="32"/>
      <c r="S171" s="32"/>
      <c r="T171" s="32"/>
      <c r="U171" s="32"/>
      <c r="V171" s="32"/>
      <c r="W171" s="32"/>
      <c r="X171" s="32"/>
      <c r="Y171" s="32"/>
      <c r="Z171" s="32"/>
    </row>
    <row r="172">
      <c r="A172" s="20" t="s">
        <v>356</v>
      </c>
      <c r="B172" s="51"/>
      <c r="C172" s="22">
        <v>2.5E8</v>
      </c>
      <c r="D172" s="23">
        <v>2020.0</v>
      </c>
      <c r="E172" s="101">
        <v>43831.0</v>
      </c>
      <c r="F172" s="26" t="s">
        <v>654</v>
      </c>
      <c r="G172" s="26" t="s">
        <v>28</v>
      </c>
      <c r="H172" s="26" t="s">
        <v>51</v>
      </c>
      <c r="I172" s="28"/>
      <c r="J172" s="23">
        <v>1.0</v>
      </c>
      <c r="K172" s="27" t="s">
        <v>655</v>
      </c>
      <c r="L172" s="28"/>
      <c r="M172" s="34" t="s">
        <v>278</v>
      </c>
      <c r="N172" s="100" t="s">
        <v>656</v>
      </c>
      <c r="O172" s="31"/>
      <c r="P172" s="32">
        <v>354.0</v>
      </c>
      <c r="Q172" s="32"/>
      <c r="R172" s="32"/>
      <c r="S172" s="32"/>
      <c r="T172" s="32"/>
      <c r="U172" s="32"/>
      <c r="V172" s="32"/>
      <c r="W172" s="32"/>
      <c r="X172" s="32"/>
      <c r="Y172" s="32"/>
      <c r="Z172" s="32"/>
    </row>
    <row r="173">
      <c r="A173" s="20" t="s">
        <v>657</v>
      </c>
      <c r="B173" s="51"/>
      <c r="C173" s="22">
        <v>6900000.0</v>
      </c>
      <c r="D173" s="23">
        <v>2020.0</v>
      </c>
      <c r="E173" s="101">
        <v>43891.0</v>
      </c>
      <c r="F173" s="26" t="s">
        <v>658</v>
      </c>
      <c r="G173" s="26" t="s">
        <v>64</v>
      </c>
      <c r="H173" s="26" t="s">
        <v>659</v>
      </c>
      <c r="I173" s="28"/>
      <c r="J173" s="23">
        <v>4.0</v>
      </c>
      <c r="K173" s="27" t="s">
        <v>319</v>
      </c>
      <c r="L173" s="28"/>
      <c r="M173" s="34" t="s">
        <v>571</v>
      </c>
      <c r="N173" s="100" t="s">
        <v>660</v>
      </c>
      <c r="O173" s="31"/>
      <c r="P173" s="32">
        <v>353.0</v>
      </c>
      <c r="Q173" s="32"/>
      <c r="R173" s="32"/>
      <c r="S173" s="32"/>
      <c r="T173" s="32"/>
      <c r="U173" s="32"/>
      <c r="V173" s="32"/>
      <c r="W173" s="32"/>
      <c r="X173" s="32"/>
      <c r="Y173" s="32"/>
      <c r="Z173" s="32"/>
    </row>
    <row r="174">
      <c r="A174" s="20" t="s">
        <v>661</v>
      </c>
      <c r="B174" s="51"/>
      <c r="C174" s="22">
        <v>900000.0</v>
      </c>
      <c r="D174" s="23">
        <v>2020.0</v>
      </c>
      <c r="E174" s="101">
        <v>43891.0</v>
      </c>
      <c r="F174" s="26" t="s">
        <v>662</v>
      </c>
      <c r="G174" s="26" t="s">
        <v>43</v>
      </c>
      <c r="H174" s="26" t="s">
        <v>51</v>
      </c>
      <c r="I174" s="28"/>
      <c r="J174" s="23">
        <v>1.0</v>
      </c>
      <c r="K174" s="27" t="s">
        <v>663</v>
      </c>
      <c r="L174" s="28"/>
      <c r="M174" s="34" t="s">
        <v>664</v>
      </c>
      <c r="N174" s="100" t="s">
        <v>665</v>
      </c>
      <c r="O174" s="31"/>
      <c r="P174" s="32">
        <v>352.0</v>
      </c>
      <c r="Q174" s="32"/>
      <c r="R174" s="32"/>
      <c r="S174" s="32"/>
      <c r="T174" s="32"/>
      <c r="U174" s="32"/>
      <c r="V174" s="32"/>
      <c r="W174" s="32"/>
      <c r="X174" s="32"/>
      <c r="Y174" s="32"/>
      <c r="Z174" s="32"/>
    </row>
    <row r="175">
      <c r="A175" s="20" t="s">
        <v>666</v>
      </c>
      <c r="B175" s="51"/>
      <c r="C175" s="22">
        <v>150000.0</v>
      </c>
      <c r="D175" s="23">
        <v>2020.0</v>
      </c>
      <c r="E175" s="101">
        <v>43891.0</v>
      </c>
      <c r="F175" s="26" t="s">
        <v>667</v>
      </c>
      <c r="G175" s="26" t="s">
        <v>43</v>
      </c>
      <c r="H175" s="26" t="s">
        <v>23</v>
      </c>
      <c r="I175" s="28"/>
      <c r="J175" s="23">
        <v>1.0</v>
      </c>
      <c r="K175" s="27" t="s">
        <v>668</v>
      </c>
      <c r="L175" s="28"/>
      <c r="M175" s="34" t="s">
        <v>669</v>
      </c>
      <c r="N175" s="100" t="s">
        <v>670</v>
      </c>
      <c r="O175" s="31"/>
      <c r="P175" s="32">
        <v>351.0</v>
      </c>
      <c r="Q175" s="32"/>
      <c r="R175" s="32"/>
      <c r="S175" s="32"/>
      <c r="T175" s="32"/>
      <c r="U175" s="32"/>
      <c r="V175" s="32"/>
      <c r="W175" s="32"/>
      <c r="X175" s="32"/>
      <c r="Y175" s="32"/>
      <c r="Z175" s="32"/>
    </row>
    <row r="176">
      <c r="A176" s="20" t="s">
        <v>671</v>
      </c>
      <c r="B176" s="51"/>
      <c r="C176" s="22">
        <v>600000.0</v>
      </c>
      <c r="D176" s="23">
        <v>2020.0</v>
      </c>
      <c r="E176" s="101">
        <v>43891.0</v>
      </c>
      <c r="F176" s="26" t="s">
        <v>672</v>
      </c>
      <c r="G176" s="26" t="s">
        <v>43</v>
      </c>
      <c r="H176" s="26" t="s">
        <v>23</v>
      </c>
      <c r="I176" s="28"/>
      <c r="J176" s="23">
        <v>1.0</v>
      </c>
      <c r="K176" s="27" t="s">
        <v>673</v>
      </c>
      <c r="L176" s="28"/>
      <c r="M176" s="34" t="s">
        <v>475</v>
      </c>
      <c r="N176" s="100" t="s">
        <v>674</v>
      </c>
      <c r="O176" s="31"/>
      <c r="P176" s="32">
        <v>350.0</v>
      </c>
      <c r="Q176" s="32"/>
      <c r="R176" s="32"/>
      <c r="S176" s="32"/>
      <c r="T176" s="32"/>
      <c r="U176" s="32"/>
      <c r="V176" s="32"/>
      <c r="W176" s="32"/>
      <c r="X176" s="32"/>
      <c r="Y176" s="32"/>
      <c r="Z176" s="32"/>
    </row>
    <row r="177">
      <c r="A177" s="20" t="s">
        <v>675</v>
      </c>
      <c r="B177" s="51"/>
      <c r="C177" s="22">
        <v>5200000.0</v>
      </c>
      <c r="D177" s="23">
        <v>2020.0</v>
      </c>
      <c r="E177" s="101">
        <v>43891.0</v>
      </c>
      <c r="F177" s="26" t="s">
        <v>676</v>
      </c>
      <c r="G177" s="26" t="s">
        <v>43</v>
      </c>
      <c r="H177" s="26" t="s">
        <v>59</v>
      </c>
      <c r="I177" s="28"/>
      <c r="J177" s="23">
        <v>2.0</v>
      </c>
      <c r="K177" s="27" t="s">
        <v>677</v>
      </c>
      <c r="L177" s="28"/>
      <c r="M177" s="34" t="s">
        <v>678</v>
      </c>
      <c r="N177" s="100" t="s">
        <v>679</v>
      </c>
      <c r="O177" s="31"/>
      <c r="P177" s="32">
        <v>349.0</v>
      </c>
      <c r="Q177" s="32"/>
      <c r="R177" s="32"/>
      <c r="S177" s="32"/>
      <c r="T177" s="32"/>
      <c r="U177" s="32"/>
      <c r="V177" s="32"/>
      <c r="W177" s="32"/>
      <c r="X177" s="32"/>
      <c r="Y177" s="32"/>
      <c r="Z177" s="32"/>
    </row>
    <row r="178">
      <c r="A178" s="20" t="s">
        <v>680</v>
      </c>
      <c r="B178" s="51"/>
      <c r="C178" s="22">
        <v>500000.0</v>
      </c>
      <c r="D178" s="23">
        <v>2020.0</v>
      </c>
      <c r="E178" s="101">
        <v>43922.0</v>
      </c>
      <c r="F178" s="26" t="s">
        <v>681</v>
      </c>
      <c r="G178" s="26" t="s">
        <v>28</v>
      </c>
      <c r="H178" s="26" t="s">
        <v>23</v>
      </c>
      <c r="I178" s="28"/>
      <c r="J178" s="23">
        <v>1.0</v>
      </c>
      <c r="K178" s="27" t="s">
        <v>682</v>
      </c>
      <c r="L178" s="28"/>
      <c r="M178" s="34" t="s">
        <v>683</v>
      </c>
      <c r="N178" s="92" t="s">
        <v>684</v>
      </c>
      <c r="O178" s="31"/>
      <c r="P178" s="32">
        <v>348.0</v>
      </c>
      <c r="Q178" s="32"/>
      <c r="R178" s="32"/>
      <c r="S178" s="32"/>
      <c r="T178" s="32"/>
      <c r="U178" s="32"/>
      <c r="V178" s="32"/>
      <c r="W178" s="32"/>
      <c r="X178" s="32"/>
      <c r="Y178" s="32"/>
      <c r="Z178" s="32"/>
    </row>
    <row r="179">
      <c r="A179" s="20" t="s">
        <v>685</v>
      </c>
      <c r="B179" s="51"/>
      <c r="C179" s="22">
        <v>6500000.0</v>
      </c>
      <c r="D179" s="23">
        <v>2020.0</v>
      </c>
      <c r="E179" s="101">
        <v>43862.0</v>
      </c>
      <c r="F179" s="26" t="s">
        <v>686</v>
      </c>
      <c r="G179" s="26" t="s">
        <v>64</v>
      </c>
      <c r="H179" s="26" t="s">
        <v>51</v>
      </c>
      <c r="I179" s="28"/>
      <c r="J179" s="23">
        <v>2.0</v>
      </c>
      <c r="K179" s="27" t="s">
        <v>687</v>
      </c>
      <c r="L179" s="28"/>
      <c r="M179" s="34" t="s">
        <v>688</v>
      </c>
      <c r="N179" s="102" t="s">
        <v>689</v>
      </c>
      <c r="O179" s="31"/>
      <c r="P179" s="32">
        <v>347.0</v>
      </c>
      <c r="Q179" s="32"/>
      <c r="R179" s="32"/>
      <c r="S179" s="32"/>
      <c r="T179" s="32"/>
      <c r="U179" s="32"/>
      <c r="V179" s="32"/>
      <c r="W179" s="32"/>
      <c r="X179" s="32"/>
      <c r="Y179" s="32"/>
      <c r="Z179" s="32"/>
    </row>
    <row r="180">
      <c r="A180" s="20" t="s">
        <v>690</v>
      </c>
      <c r="B180" s="51"/>
      <c r="C180" s="22">
        <v>1.06E7</v>
      </c>
      <c r="D180" s="23">
        <v>2020.0</v>
      </c>
      <c r="E180" s="101">
        <v>43862.0</v>
      </c>
      <c r="F180" s="26" t="s">
        <v>691</v>
      </c>
      <c r="G180" s="26" t="s">
        <v>43</v>
      </c>
      <c r="H180" s="26" t="s">
        <v>23</v>
      </c>
      <c r="I180" s="28"/>
      <c r="J180" s="23">
        <v>2.0</v>
      </c>
      <c r="K180" s="27" t="s">
        <v>692</v>
      </c>
      <c r="L180" s="28"/>
      <c r="M180" s="34" t="s">
        <v>571</v>
      </c>
      <c r="N180" s="102" t="s">
        <v>693</v>
      </c>
      <c r="O180" s="31"/>
      <c r="P180" s="32">
        <v>346.0</v>
      </c>
      <c r="Q180" s="32"/>
      <c r="R180" s="32"/>
      <c r="S180" s="32"/>
      <c r="T180" s="32"/>
      <c r="U180" s="32"/>
      <c r="V180" s="32"/>
      <c r="W180" s="32"/>
      <c r="X180" s="32"/>
      <c r="Y180" s="32"/>
      <c r="Z180" s="32"/>
    </row>
    <row r="181">
      <c r="A181" s="20" t="s">
        <v>694</v>
      </c>
      <c r="B181" s="51"/>
      <c r="C181" s="22">
        <v>5000000.0</v>
      </c>
      <c r="D181" s="23">
        <v>2020.0</v>
      </c>
      <c r="E181" s="101">
        <v>43831.0</v>
      </c>
      <c r="F181" s="26" t="s">
        <v>695</v>
      </c>
      <c r="G181" s="26" t="s">
        <v>22</v>
      </c>
      <c r="H181" s="26" t="s">
        <v>51</v>
      </c>
      <c r="I181" s="28"/>
      <c r="J181" s="23">
        <v>2.0</v>
      </c>
      <c r="K181" s="27" t="s">
        <v>461</v>
      </c>
      <c r="L181" s="28"/>
      <c r="M181" s="34" t="s">
        <v>696</v>
      </c>
      <c r="N181" s="102" t="s">
        <v>697</v>
      </c>
      <c r="O181" s="31"/>
      <c r="P181" s="32">
        <v>345.0</v>
      </c>
      <c r="Q181" s="32"/>
      <c r="R181" s="32"/>
      <c r="S181" s="32"/>
      <c r="T181" s="32"/>
      <c r="U181" s="32"/>
      <c r="V181" s="32"/>
      <c r="W181" s="32"/>
      <c r="X181" s="32"/>
      <c r="Y181" s="32"/>
      <c r="Z181" s="32"/>
    </row>
    <row r="182">
      <c r="A182" s="20" t="s">
        <v>698</v>
      </c>
      <c r="B182" s="98" t="s">
        <v>699</v>
      </c>
      <c r="C182" s="22">
        <v>3.0E7</v>
      </c>
      <c r="D182" s="23">
        <v>2019.0</v>
      </c>
      <c r="E182" s="101">
        <v>43800.0</v>
      </c>
      <c r="F182" s="26" t="s">
        <v>700</v>
      </c>
      <c r="G182" s="26" t="s">
        <v>43</v>
      </c>
      <c r="H182" s="26" t="s">
        <v>23</v>
      </c>
      <c r="I182" s="28"/>
      <c r="J182" s="23">
        <v>3.0</v>
      </c>
      <c r="K182" s="27" t="s">
        <v>701</v>
      </c>
      <c r="L182" s="28"/>
      <c r="M182" s="34" t="s">
        <v>702</v>
      </c>
      <c r="N182" s="100" t="s">
        <v>703</v>
      </c>
      <c r="O182" s="31"/>
      <c r="P182" s="32">
        <v>344.0</v>
      </c>
      <c r="Q182" s="32"/>
      <c r="R182" s="32"/>
      <c r="S182" s="32"/>
      <c r="T182" s="32"/>
      <c r="U182" s="32"/>
      <c r="V182" s="32"/>
      <c r="W182" s="32"/>
      <c r="X182" s="32"/>
      <c r="Y182" s="32"/>
      <c r="Z182" s="32"/>
    </row>
    <row r="183">
      <c r="A183" s="103" t="s">
        <v>704</v>
      </c>
      <c r="B183" s="104"/>
      <c r="C183" s="22">
        <v>4200000.0</v>
      </c>
      <c r="D183" s="23">
        <v>2019.0</v>
      </c>
      <c r="E183" s="101">
        <v>43617.0</v>
      </c>
      <c r="F183" s="26" t="s">
        <v>705</v>
      </c>
      <c r="G183" s="26" t="s">
        <v>58</v>
      </c>
      <c r="H183" s="26" t="s">
        <v>59</v>
      </c>
      <c r="I183" s="26"/>
      <c r="J183" s="23">
        <v>2.0</v>
      </c>
      <c r="K183" s="27"/>
      <c r="L183" s="28"/>
      <c r="M183" s="105" t="s">
        <v>706</v>
      </c>
      <c r="N183" s="106" t="s">
        <v>707</v>
      </c>
      <c r="O183" s="107"/>
      <c r="P183" s="32">
        <v>343.0</v>
      </c>
      <c r="Q183" s="32"/>
      <c r="R183" s="32"/>
      <c r="S183" s="32"/>
      <c r="T183" s="32"/>
      <c r="U183" s="32"/>
      <c r="V183" s="32"/>
      <c r="W183" s="32"/>
      <c r="X183" s="32"/>
      <c r="Y183" s="32"/>
      <c r="Z183" s="32"/>
    </row>
    <row r="184">
      <c r="A184" s="103" t="s">
        <v>708</v>
      </c>
      <c r="B184" s="104"/>
      <c r="C184" s="22">
        <v>100000.0</v>
      </c>
      <c r="D184" s="23">
        <v>2019.0</v>
      </c>
      <c r="E184" s="101">
        <v>43617.0</v>
      </c>
      <c r="F184" s="26" t="s">
        <v>709</v>
      </c>
      <c r="G184" s="26" t="s">
        <v>64</v>
      </c>
      <c r="H184" s="26" t="s">
        <v>23</v>
      </c>
      <c r="I184" s="26" t="s">
        <v>29</v>
      </c>
      <c r="J184" s="23">
        <v>2.0</v>
      </c>
      <c r="K184" s="27"/>
      <c r="L184" s="28"/>
      <c r="M184" s="105" t="s">
        <v>710</v>
      </c>
      <c r="N184" s="106" t="s">
        <v>711</v>
      </c>
      <c r="O184" s="107"/>
      <c r="P184" s="32">
        <v>342.0</v>
      </c>
      <c r="Q184" s="32"/>
      <c r="R184" s="32"/>
      <c r="S184" s="32"/>
      <c r="T184" s="32"/>
      <c r="U184" s="32"/>
      <c r="V184" s="32"/>
      <c r="W184" s="32"/>
      <c r="X184" s="32"/>
      <c r="Y184" s="32"/>
      <c r="Z184" s="32"/>
    </row>
    <row r="185">
      <c r="A185" s="103" t="s">
        <v>712</v>
      </c>
      <c r="B185" s="104"/>
      <c r="C185" s="22">
        <v>2.0E7</v>
      </c>
      <c r="D185" s="23">
        <v>2019.0</v>
      </c>
      <c r="E185" s="101">
        <v>43617.0</v>
      </c>
      <c r="F185" s="26" t="s">
        <v>713</v>
      </c>
      <c r="G185" s="26" t="s">
        <v>258</v>
      </c>
      <c r="H185" s="26" t="s">
        <v>51</v>
      </c>
      <c r="I185" s="26"/>
      <c r="J185" s="23">
        <v>4.0</v>
      </c>
      <c r="K185" s="27"/>
      <c r="L185" s="28"/>
      <c r="M185" s="105" t="s">
        <v>571</v>
      </c>
      <c r="N185" s="106" t="s">
        <v>714</v>
      </c>
      <c r="O185" s="107"/>
      <c r="P185" s="32">
        <v>341.0</v>
      </c>
      <c r="Q185" s="32"/>
      <c r="R185" s="32"/>
      <c r="S185" s="32"/>
      <c r="T185" s="32"/>
      <c r="U185" s="32"/>
      <c r="V185" s="32"/>
      <c r="W185" s="32"/>
      <c r="X185" s="32"/>
      <c r="Y185" s="32"/>
      <c r="Z185" s="32"/>
    </row>
    <row r="186">
      <c r="A186" s="103" t="s">
        <v>715</v>
      </c>
      <c r="B186" s="104"/>
      <c r="C186" s="22">
        <v>200000.0</v>
      </c>
      <c r="D186" s="23">
        <v>2019.0</v>
      </c>
      <c r="E186" s="108">
        <v>43617.0</v>
      </c>
      <c r="F186" s="26" t="s">
        <v>716</v>
      </c>
      <c r="G186" s="26" t="s">
        <v>110</v>
      </c>
      <c r="H186" s="26" t="s">
        <v>23</v>
      </c>
      <c r="I186" s="26"/>
      <c r="J186" s="23">
        <v>4.0</v>
      </c>
      <c r="K186" s="27"/>
      <c r="L186" s="28"/>
      <c r="M186" s="105" t="s">
        <v>507</v>
      </c>
      <c r="N186" s="106" t="s">
        <v>717</v>
      </c>
      <c r="O186" s="107"/>
      <c r="P186" s="32">
        <v>340.0</v>
      </c>
      <c r="Q186" s="32"/>
      <c r="R186" s="32"/>
      <c r="S186" s="32"/>
      <c r="T186" s="32"/>
      <c r="U186" s="32"/>
      <c r="V186" s="32"/>
      <c r="W186" s="32"/>
      <c r="X186" s="32"/>
      <c r="Y186" s="32"/>
      <c r="Z186" s="32"/>
    </row>
    <row r="187">
      <c r="A187" s="103" t="s">
        <v>718</v>
      </c>
      <c r="B187" s="104"/>
      <c r="C187" s="22">
        <v>1.39E8</v>
      </c>
      <c r="D187" s="23">
        <v>2019.0</v>
      </c>
      <c r="E187" s="101">
        <v>43586.0</v>
      </c>
      <c r="F187" s="26" t="s">
        <v>719</v>
      </c>
      <c r="G187" s="26" t="s">
        <v>28</v>
      </c>
      <c r="H187" s="26" t="s">
        <v>23</v>
      </c>
      <c r="I187" s="26"/>
      <c r="J187" s="23">
        <v>2.0</v>
      </c>
      <c r="K187" s="27" t="s">
        <v>720</v>
      </c>
      <c r="L187" s="28"/>
      <c r="M187" s="105" t="s">
        <v>571</v>
      </c>
      <c r="N187" s="106" t="s">
        <v>721</v>
      </c>
      <c r="O187" s="107"/>
      <c r="P187" s="32">
        <v>339.0</v>
      </c>
      <c r="Q187" s="32"/>
      <c r="R187" s="32"/>
      <c r="S187" s="32"/>
      <c r="T187" s="32"/>
      <c r="U187" s="32"/>
      <c r="V187" s="32"/>
      <c r="W187" s="32"/>
      <c r="X187" s="32"/>
      <c r="Y187" s="32"/>
      <c r="Z187" s="32"/>
    </row>
    <row r="188">
      <c r="A188" s="103" t="s">
        <v>722</v>
      </c>
      <c r="B188" s="104" t="s">
        <v>723</v>
      </c>
      <c r="C188" s="22">
        <v>4.9E7</v>
      </c>
      <c r="D188" s="23">
        <v>2019.0</v>
      </c>
      <c r="E188" s="101">
        <v>43586.0</v>
      </c>
      <c r="F188" s="26" t="s">
        <v>724</v>
      </c>
      <c r="G188" s="26" t="s">
        <v>38</v>
      </c>
      <c r="H188" s="26" t="s">
        <v>51</v>
      </c>
      <c r="I188" s="26" t="s">
        <v>29</v>
      </c>
      <c r="J188" s="23">
        <v>1.0</v>
      </c>
      <c r="K188" s="27"/>
      <c r="L188" s="28"/>
      <c r="M188" s="105" t="s">
        <v>725</v>
      </c>
      <c r="N188" s="106" t="s">
        <v>726</v>
      </c>
      <c r="O188" s="107"/>
      <c r="P188" s="32">
        <v>337.0</v>
      </c>
      <c r="Q188" s="32"/>
      <c r="R188" s="32"/>
      <c r="S188" s="32"/>
      <c r="T188" s="32"/>
      <c r="U188" s="32"/>
      <c r="V188" s="32"/>
      <c r="W188" s="32"/>
      <c r="X188" s="32"/>
      <c r="Y188" s="32"/>
      <c r="Z188" s="32"/>
    </row>
    <row r="189">
      <c r="A189" s="103" t="s">
        <v>727</v>
      </c>
      <c r="B189" s="104" t="s">
        <v>728</v>
      </c>
      <c r="C189" s="22">
        <v>2000000.0</v>
      </c>
      <c r="D189" s="23">
        <v>2019.0</v>
      </c>
      <c r="E189" s="101">
        <v>43556.0</v>
      </c>
      <c r="F189" s="26" t="s">
        <v>729</v>
      </c>
      <c r="G189" s="26" t="s">
        <v>28</v>
      </c>
      <c r="H189" s="26" t="s">
        <v>51</v>
      </c>
      <c r="I189" s="26"/>
      <c r="J189" s="23">
        <v>1.0</v>
      </c>
      <c r="K189" s="27" t="str">
        <f t="shared" ref="K189:K192" si="1">IF(C189&gt;100000000,C189,"")</f>
        <v/>
      </c>
      <c r="L189" s="28"/>
      <c r="M189" s="105" t="s">
        <v>725</v>
      </c>
      <c r="N189" s="106" t="s">
        <v>730</v>
      </c>
      <c r="O189" s="107"/>
      <c r="P189" s="32">
        <v>336.0</v>
      </c>
      <c r="Q189" s="32"/>
      <c r="R189" s="32"/>
      <c r="S189" s="32"/>
      <c r="T189" s="32"/>
      <c r="U189" s="32"/>
      <c r="V189" s="32"/>
      <c r="W189" s="32"/>
      <c r="X189" s="32"/>
      <c r="Y189" s="32"/>
      <c r="Z189" s="32"/>
    </row>
    <row r="190">
      <c r="A190" s="103" t="s">
        <v>378</v>
      </c>
      <c r="B190" s="104"/>
      <c r="C190" s="22">
        <v>3100000.0</v>
      </c>
      <c r="D190" s="23">
        <v>2019.0</v>
      </c>
      <c r="E190" s="101">
        <v>43556.0</v>
      </c>
      <c r="F190" s="26" t="s">
        <v>731</v>
      </c>
      <c r="G190" s="26" t="s">
        <v>22</v>
      </c>
      <c r="H190" s="26" t="s">
        <v>23</v>
      </c>
      <c r="I190" s="26"/>
      <c r="J190" s="23">
        <v>2.0</v>
      </c>
      <c r="K190" s="27" t="str">
        <f t="shared" si="1"/>
        <v/>
      </c>
      <c r="L190" s="28"/>
      <c r="M190" s="105" t="s">
        <v>85</v>
      </c>
      <c r="N190" s="106" t="s">
        <v>732</v>
      </c>
      <c r="O190" s="106" t="s">
        <v>733</v>
      </c>
      <c r="P190" s="32">
        <v>335.0</v>
      </c>
      <c r="Q190" s="32"/>
      <c r="R190" s="32"/>
      <c r="S190" s="32"/>
      <c r="T190" s="32"/>
      <c r="U190" s="32"/>
      <c r="V190" s="32"/>
      <c r="W190" s="32"/>
      <c r="X190" s="32"/>
      <c r="Y190" s="32"/>
      <c r="Z190" s="32"/>
    </row>
    <row r="191">
      <c r="A191" s="103" t="s">
        <v>734</v>
      </c>
      <c r="B191" s="104" t="s">
        <v>735</v>
      </c>
      <c r="C191" s="22">
        <v>1800000.0</v>
      </c>
      <c r="D191" s="23">
        <v>2019.0</v>
      </c>
      <c r="E191" s="101">
        <v>43525.0</v>
      </c>
      <c r="F191" s="26" t="s">
        <v>736</v>
      </c>
      <c r="G191" s="26" t="s">
        <v>28</v>
      </c>
      <c r="H191" s="26" t="s">
        <v>51</v>
      </c>
      <c r="I191" s="26" t="s">
        <v>29</v>
      </c>
      <c r="J191" s="23">
        <v>4.0</v>
      </c>
      <c r="K191" s="27" t="str">
        <f t="shared" si="1"/>
        <v/>
      </c>
      <c r="L191" s="28"/>
      <c r="M191" s="105" t="s">
        <v>325</v>
      </c>
      <c r="N191" s="106" t="s">
        <v>737</v>
      </c>
      <c r="O191" s="107"/>
      <c r="P191" s="32">
        <v>334.0</v>
      </c>
      <c r="Q191" s="32"/>
      <c r="R191" s="32"/>
      <c r="S191" s="32"/>
      <c r="T191" s="32"/>
      <c r="U191" s="32"/>
      <c r="V191" s="32"/>
      <c r="W191" s="32"/>
      <c r="X191" s="32"/>
      <c r="Y191" s="32"/>
      <c r="Z191" s="32"/>
    </row>
    <row r="192">
      <c r="A192" s="103" t="s">
        <v>738</v>
      </c>
      <c r="B192" s="104" t="s">
        <v>739</v>
      </c>
      <c r="C192" s="22">
        <v>2700000.0</v>
      </c>
      <c r="D192" s="23">
        <v>2019.0</v>
      </c>
      <c r="E192" s="101">
        <v>43497.0</v>
      </c>
      <c r="F192" s="26" t="s">
        <v>740</v>
      </c>
      <c r="G192" s="26" t="s">
        <v>258</v>
      </c>
      <c r="H192" s="26" t="s">
        <v>51</v>
      </c>
      <c r="I192" s="26" t="s">
        <v>29</v>
      </c>
      <c r="J192" s="23">
        <v>5.0</v>
      </c>
      <c r="K192" s="27" t="str">
        <f t="shared" si="1"/>
        <v/>
      </c>
      <c r="L192" s="28"/>
      <c r="M192" s="105" t="s">
        <v>741</v>
      </c>
      <c r="N192" s="106" t="s">
        <v>742</v>
      </c>
      <c r="O192" s="106" t="s">
        <v>743</v>
      </c>
      <c r="P192" s="32">
        <v>333.0</v>
      </c>
      <c r="Q192" s="32"/>
      <c r="R192" s="32"/>
      <c r="S192" s="32"/>
      <c r="T192" s="32"/>
      <c r="U192" s="32"/>
      <c r="V192" s="32"/>
      <c r="W192" s="32"/>
      <c r="X192" s="32"/>
      <c r="Y192" s="32"/>
      <c r="Z192" s="32"/>
    </row>
    <row r="193">
      <c r="A193" s="103" t="s">
        <v>744</v>
      </c>
      <c r="B193" s="104"/>
      <c r="C193" s="22">
        <v>1.62E8</v>
      </c>
      <c r="D193" s="23">
        <v>2019.0</v>
      </c>
      <c r="E193" s="101">
        <v>43497.0</v>
      </c>
      <c r="F193" s="26" t="s">
        <v>745</v>
      </c>
      <c r="G193" s="26" t="s">
        <v>409</v>
      </c>
      <c r="H193" s="26" t="s">
        <v>23</v>
      </c>
      <c r="I193" s="28"/>
      <c r="J193" s="23">
        <v>1.0</v>
      </c>
      <c r="K193" s="27" t="s">
        <v>746</v>
      </c>
      <c r="L193" s="28"/>
      <c r="M193" s="105" t="s">
        <v>227</v>
      </c>
      <c r="N193" s="106" t="s">
        <v>747</v>
      </c>
      <c r="O193" s="109"/>
      <c r="P193" s="32">
        <v>332.0</v>
      </c>
      <c r="Q193" s="32"/>
      <c r="R193" s="32"/>
      <c r="S193" s="32"/>
      <c r="T193" s="32"/>
      <c r="U193" s="32"/>
      <c r="V193" s="32"/>
      <c r="W193" s="32"/>
      <c r="X193" s="32"/>
      <c r="Y193" s="32"/>
      <c r="Z193" s="32"/>
    </row>
    <row r="194">
      <c r="A194" s="103" t="s">
        <v>748</v>
      </c>
      <c r="B194" s="104"/>
      <c r="C194" s="22">
        <v>4.1E7</v>
      </c>
      <c r="D194" s="23">
        <v>2019.0</v>
      </c>
      <c r="E194" s="101">
        <v>43497.0</v>
      </c>
      <c r="F194" s="26" t="s">
        <v>745</v>
      </c>
      <c r="G194" s="26" t="s">
        <v>28</v>
      </c>
      <c r="H194" s="26" t="s">
        <v>23</v>
      </c>
      <c r="I194" s="28"/>
      <c r="J194" s="23">
        <v>1.0</v>
      </c>
      <c r="K194" s="27" t="str">
        <f t="shared" ref="K194:K216" si="2">IF(C194&gt;100000000,C194,"")</f>
        <v/>
      </c>
      <c r="L194" s="28"/>
      <c r="M194" s="105" t="s">
        <v>227</v>
      </c>
      <c r="N194" s="106" t="s">
        <v>747</v>
      </c>
      <c r="O194" s="109"/>
      <c r="P194" s="32">
        <v>331.0</v>
      </c>
      <c r="Q194" s="32"/>
      <c r="R194" s="32"/>
      <c r="S194" s="32"/>
      <c r="T194" s="32"/>
      <c r="U194" s="32"/>
      <c r="V194" s="32"/>
      <c r="W194" s="32"/>
      <c r="X194" s="32"/>
      <c r="Y194" s="32"/>
      <c r="Z194" s="32"/>
    </row>
    <row r="195">
      <c r="A195" s="103" t="s">
        <v>749</v>
      </c>
      <c r="B195" s="104"/>
      <c r="C195" s="22">
        <v>2.8E7</v>
      </c>
      <c r="D195" s="23">
        <v>2019.0</v>
      </c>
      <c r="E195" s="101">
        <v>43497.0</v>
      </c>
      <c r="F195" s="26" t="s">
        <v>745</v>
      </c>
      <c r="G195" s="26" t="s">
        <v>43</v>
      </c>
      <c r="H195" s="26" t="s">
        <v>23</v>
      </c>
      <c r="I195" s="28"/>
      <c r="J195" s="23">
        <v>1.0</v>
      </c>
      <c r="K195" s="27" t="str">
        <f t="shared" si="2"/>
        <v/>
      </c>
      <c r="L195" s="28"/>
      <c r="M195" s="105" t="s">
        <v>227</v>
      </c>
      <c r="N195" s="106" t="s">
        <v>747</v>
      </c>
      <c r="O195" s="109"/>
      <c r="P195" s="32">
        <v>330.0</v>
      </c>
      <c r="Q195" s="32"/>
      <c r="R195" s="32"/>
      <c r="S195" s="32"/>
      <c r="T195" s="32"/>
      <c r="U195" s="32"/>
      <c r="V195" s="32"/>
      <c r="W195" s="32"/>
      <c r="X195" s="32"/>
      <c r="Y195" s="32"/>
      <c r="Z195" s="32"/>
    </row>
    <row r="196">
      <c r="A196" s="103" t="s">
        <v>750</v>
      </c>
      <c r="B196" s="104"/>
      <c r="C196" s="22">
        <v>2.5E7</v>
      </c>
      <c r="D196" s="23">
        <v>2019.0</v>
      </c>
      <c r="E196" s="101">
        <v>43497.0</v>
      </c>
      <c r="F196" s="26" t="s">
        <v>745</v>
      </c>
      <c r="G196" s="26" t="s">
        <v>28</v>
      </c>
      <c r="H196" s="26" t="s">
        <v>23</v>
      </c>
      <c r="I196" s="28"/>
      <c r="J196" s="23">
        <v>1.0</v>
      </c>
      <c r="K196" s="27" t="str">
        <f t="shared" si="2"/>
        <v/>
      </c>
      <c r="L196" s="28"/>
      <c r="M196" s="105" t="s">
        <v>227</v>
      </c>
      <c r="N196" s="106" t="s">
        <v>747</v>
      </c>
      <c r="O196" s="109"/>
      <c r="P196" s="32">
        <v>329.0</v>
      </c>
      <c r="Q196" s="32"/>
      <c r="R196" s="32"/>
      <c r="S196" s="32"/>
      <c r="T196" s="32"/>
      <c r="U196" s="32"/>
      <c r="V196" s="32"/>
      <c r="W196" s="32"/>
      <c r="X196" s="32"/>
      <c r="Y196" s="32"/>
      <c r="Z196" s="32"/>
    </row>
    <row r="197">
      <c r="A197" s="103" t="s">
        <v>751</v>
      </c>
      <c r="B197" s="104"/>
      <c r="C197" s="22">
        <v>2.2E7</v>
      </c>
      <c r="D197" s="23">
        <v>2019.0</v>
      </c>
      <c r="E197" s="101">
        <v>43497.0</v>
      </c>
      <c r="F197" s="26" t="s">
        <v>745</v>
      </c>
      <c r="G197" s="26" t="s">
        <v>28</v>
      </c>
      <c r="H197" s="26" t="s">
        <v>23</v>
      </c>
      <c r="I197" s="28"/>
      <c r="J197" s="23">
        <v>1.0</v>
      </c>
      <c r="K197" s="27" t="str">
        <f t="shared" si="2"/>
        <v/>
      </c>
      <c r="L197" s="28"/>
      <c r="M197" s="105" t="s">
        <v>227</v>
      </c>
      <c r="N197" s="106" t="s">
        <v>747</v>
      </c>
      <c r="O197" s="109"/>
      <c r="P197" s="32">
        <v>328.0</v>
      </c>
      <c r="Q197" s="32"/>
      <c r="R197" s="32"/>
      <c r="S197" s="32"/>
      <c r="T197" s="32"/>
      <c r="U197" s="32"/>
      <c r="V197" s="32"/>
      <c r="W197" s="32"/>
      <c r="X197" s="32"/>
      <c r="Y197" s="32"/>
      <c r="Z197" s="32"/>
    </row>
    <row r="198">
      <c r="A198" s="103" t="s">
        <v>752</v>
      </c>
      <c r="B198" s="104"/>
      <c r="C198" s="22">
        <v>2.0E7</v>
      </c>
      <c r="D198" s="23">
        <v>2019.0</v>
      </c>
      <c r="E198" s="101">
        <v>43497.0</v>
      </c>
      <c r="F198" s="26" t="s">
        <v>745</v>
      </c>
      <c r="G198" s="26" t="s">
        <v>28</v>
      </c>
      <c r="H198" s="26" t="s">
        <v>23</v>
      </c>
      <c r="I198" s="28"/>
      <c r="J198" s="23">
        <v>1.0</v>
      </c>
      <c r="K198" s="27" t="str">
        <f t="shared" si="2"/>
        <v/>
      </c>
      <c r="L198" s="28"/>
      <c r="M198" s="105" t="s">
        <v>227</v>
      </c>
      <c r="N198" s="106" t="s">
        <v>747</v>
      </c>
      <c r="O198" s="109"/>
      <c r="P198" s="32">
        <v>327.0</v>
      </c>
      <c r="Q198" s="32"/>
      <c r="R198" s="32"/>
      <c r="S198" s="32"/>
      <c r="T198" s="32"/>
      <c r="U198" s="32"/>
      <c r="V198" s="32"/>
      <c r="W198" s="32"/>
      <c r="X198" s="32"/>
      <c r="Y198" s="32"/>
      <c r="Z198" s="32"/>
    </row>
    <row r="199">
      <c r="A199" s="103" t="s">
        <v>753</v>
      </c>
      <c r="B199" s="104"/>
      <c r="C199" s="22">
        <v>1.8E7</v>
      </c>
      <c r="D199" s="23">
        <v>2019.0</v>
      </c>
      <c r="E199" s="101">
        <v>43497.0</v>
      </c>
      <c r="F199" s="26" t="s">
        <v>745</v>
      </c>
      <c r="G199" s="26" t="s">
        <v>28</v>
      </c>
      <c r="H199" s="26" t="s">
        <v>23</v>
      </c>
      <c r="I199" s="28"/>
      <c r="J199" s="23">
        <v>1.0</v>
      </c>
      <c r="K199" s="27" t="str">
        <f t="shared" si="2"/>
        <v/>
      </c>
      <c r="L199" s="28"/>
      <c r="M199" s="105" t="s">
        <v>227</v>
      </c>
      <c r="N199" s="106" t="s">
        <v>747</v>
      </c>
      <c r="O199" s="109"/>
      <c r="P199" s="32">
        <v>326.0</v>
      </c>
      <c r="Q199" s="32"/>
      <c r="R199" s="32"/>
      <c r="S199" s="32"/>
      <c r="T199" s="32"/>
      <c r="U199" s="32"/>
      <c r="V199" s="32"/>
      <c r="W199" s="32"/>
      <c r="X199" s="32"/>
      <c r="Y199" s="32"/>
      <c r="Z199" s="32"/>
    </row>
    <row r="200">
      <c r="A200" s="103" t="s">
        <v>754</v>
      </c>
      <c r="B200" s="104"/>
      <c r="C200" s="22">
        <v>1.6E7</v>
      </c>
      <c r="D200" s="23">
        <v>2019.0</v>
      </c>
      <c r="E200" s="101">
        <v>43497.0</v>
      </c>
      <c r="F200" s="26" t="s">
        <v>745</v>
      </c>
      <c r="G200" s="26" t="s">
        <v>28</v>
      </c>
      <c r="H200" s="26" t="s">
        <v>23</v>
      </c>
      <c r="I200" s="28"/>
      <c r="J200" s="23">
        <v>1.0</v>
      </c>
      <c r="K200" s="27" t="str">
        <f t="shared" si="2"/>
        <v/>
      </c>
      <c r="L200" s="28"/>
      <c r="M200" s="105" t="s">
        <v>227</v>
      </c>
      <c r="N200" s="106" t="s">
        <v>747</v>
      </c>
      <c r="O200" s="109"/>
      <c r="P200" s="32">
        <v>325.0</v>
      </c>
      <c r="Q200" s="32"/>
      <c r="R200" s="32"/>
      <c r="S200" s="32"/>
      <c r="T200" s="32"/>
      <c r="U200" s="32"/>
      <c r="V200" s="32"/>
      <c r="W200" s="32"/>
      <c r="X200" s="32"/>
      <c r="Y200" s="32"/>
      <c r="Z200" s="32"/>
    </row>
    <row r="201">
      <c r="A201" s="103" t="s">
        <v>755</v>
      </c>
      <c r="B201" s="104"/>
      <c r="C201" s="22">
        <v>1.1E7</v>
      </c>
      <c r="D201" s="23">
        <v>2019.0</v>
      </c>
      <c r="E201" s="101">
        <v>43497.0</v>
      </c>
      <c r="F201" s="26" t="s">
        <v>745</v>
      </c>
      <c r="G201" s="26" t="s">
        <v>236</v>
      </c>
      <c r="H201" s="26" t="s">
        <v>23</v>
      </c>
      <c r="I201" s="28"/>
      <c r="J201" s="23">
        <v>1.0</v>
      </c>
      <c r="K201" s="27" t="str">
        <f t="shared" si="2"/>
        <v/>
      </c>
      <c r="L201" s="28"/>
      <c r="M201" s="105" t="s">
        <v>227</v>
      </c>
      <c r="N201" s="106" t="s">
        <v>747</v>
      </c>
      <c r="O201" s="109"/>
      <c r="P201" s="32">
        <v>324.0</v>
      </c>
      <c r="Q201" s="32"/>
      <c r="R201" s="32"/>
      <c r="S201" s="32"/>
      <c r="T201" s="32"/>
      <c r="U201" s="32"/>
      <c r="V201" s="32"/>
      <c r="W201" s="32"/>
      <c r="X201" s="32"/>
      <c r="Y201" s="32"/>
      <c r="Z201" s="32"/>
    </row>
    <row r="202">
      <c r="A202" s="103" t="s">
        <v>756</v>
      </c>
      <c r="B202" s="104"/>
      <c r="C202" s="22">
        <v>8000000.0</v>
      </c>
      <c r="D202" s="23">
        <v>2019.0</v>
      </c>
      <c r="E202" s="101">
        <v>43497.0</v>
      </c>
      <c r="F202" s="26" t="s">
        <v>745</v>
      </c>
      <c r="G202" s="26" t="s">
        <v>28</v>
      </c>
      <c r="H202" s="26" t="s">
        <v>23</v>
      </c>
      <c r="I202" s="28"/>
      <c r="J202" s="23">
        <v>1.0</v>
      </c>
      <c r="K202" s="27" t="str">
        <f t="shared" si="2"/>
        <v/>
      </c>
      <c r="L202" s="28"/>
      <c r="M202" s="105" t="s">
        <v>227</v>
      </c>
      <c r="N202" s="106" t="s">
        <v>747</v>
      </c>
      <c r="O202" s="109"/>
      <c r="P202" s="32">
        <v>323.0</v>
      </c>
      <c r="Q202" s="32"/>
      <c r="R202" s="32"/>
      <c r="S202" s="32"/>
      <c r="T202" s="32"/>
      <c r="U202" s="32"/>
      <c r="V202" s="32"/>
      <c r="W202" s="32"/>
      <c r="X202" s="32"/>
      <c r="Y202" s="32"/>
      <c r="Z202" s="32"/>
    </row>
    <row r="203">
      <c r="A203" s="103" t="s">
        <v>757</v>
      </c>
      <c r="B203" s="104"/>
      <c r="C203" s="22">
        <v>6000000.0</v>
      </c>
      <c r="D203" s="23">
        <v>2019.0</v>
      </c>
      <c r="E203" s="101">
        <v>43497.0</v>
      </c>
      <c r="F203" s="26" t="s">
        <v>745</v>
      </c>
      <c r="G203" s="26" t="s">
        <v>28</v>
      </c>
      <c r="H203" s="26" t="s">
        <v>23</v>
      </c>
      <c r="I203" s="28"/>
      <c r="J203" s="23">
        <v>1.0</v>
      </c>
      <c r="K203" s="27" t="str">
        <f t="shared" si="2"/>
        <v/>
      </c>
      <c r="L203" s="28"/>
      <c r="M203" s="105" t="s">
        <v>227</v>
      </c>
      <c r="N203" s="106" t="s">
        <v>747</v>
      </c>
      <c r="O203" s="109"/>
      <c r="P203" s="32">
        <v>322.0</v>
      </c>
      <c r="Q203" s="32"/>
      <c r="R203" s="32"/>
      <c r="S203" s="32"/>
      <c r="T203" s="32"/>
      <c r="U203" s="32"/>
      <c r="V203" s="32"/>
      <c r="W203" s="32"/>
      <c r="X203" s="32"/>
      <c r="Y203" s="32"/>
      <c r="Z203" s="32"/>
    </row>
    <row r="204">
      <c r="A204" s="103" t="s">
        <v>758</v>
      </c>
      <c r="B204" s="104"/>
      <c r="C204" s="22">
        <v>1000000.0</v>
      </c>
      <c r="D204" s="23">
        <v>2019.0</v>
      </c>
      <c r="E204" s="101">
        <v>43497.0</v>
      </c>
      <c r="F204" s="26" t="s">
        <v>745</v>
      </c>
      <c r="G204" s="26" t="s">
        <v>28</v>
      </c>
      <c r="H204" s="26" t="s">
        <v>23</v>
      </c>
      <c r="I204" s="28"/>
      <c r="J204" s="23">
        <v>1.0</v>
      </c>
      <c r="K204" s="27" t="str">
        <f t="shared" si="2"/>
        <v/>
      </c>
      <c r="L204" s="28"/>
      <c r="M204" s="105" t="s">
        <v>227</v>
      </c>
      <c r="N204" s="106" t="s">
        <v>747</v>
      </c>
      <c r="O204" s="109"/>
      <c r="P204" s="32">
        <v>321.0</v>
      </c>
      <c r="Q204" s="32"/>
      <c r="R204" s="32"/>
      <c r="S204" s="32"/>
      <c r="T204" s="32"/>
      <c r="U204" s="32"/>
      <c r="V204" s="32"/>
      <c r="W204" s="32"/>
      <c r="X204" s="32"/>
      <c r="Y204" s="32"/>
      <c r="Z204" s="32"/>
    </row>
    <row r="205">
      <c r="A205" s="103" t="s">
        <v>759</v>
      </c>
      <c r="B205" s="104"/>
      <c r="C205" s="22">
        <v>700000.0</v>
      </c>
      <c r="D205" s="23">
        <v>2019.0</v>
      </c>
      <c r="E205" s="101">
        <v>43497.0</v>
      </c>
      <c r="F205" s="26" t="s">
        <v>745</v>
      </c>
      <c r="G205" s="26" t="s">
        <v>28</v>
      </c>
      <c r="H205" s="26" t="s">
        <v>23</v>
      </c>
      <c r="I205" s="28"/>
      <c r="J205" s="23">
        <v>1.0</v>
      </c>
      <c r="K205" s="27" t="str">
        <f t="shared" si="2"/>
        <v/>
      </c>
      <c r="L205" s="28"/>
      <c r="M205" s="105" t="s">
        <v>227</v>
      </c>
      <c r="N205" s="106" t="s">
        <v>747</v>
      </c>
      <c r="O205" s="109"/>
      <c r="P205" s="32">
        <v>320.0</v>
      </c>
      <c r="Q205" s="32"/>
      <c r="R205" s="32"/>
      <c r="S205" s="32"/>
      <c r="T205" s="32"/>
      <c r="U205" s="32"/>
      <c r="V205" s="32"/>
      <c r="W205" s="32"/>
      <c r="X205" s="32"/>
      <c r="Y205" s="32"/>
      <c r="Z205" s="32"/>
    </row>
    <row r="206">
      <c r="A206" s="103" t="s">
        <v>760</v>
      </c>
      <c r="B206" s="104"/>
      <c r="C206" s="22">
        <v>1.8E7</v>
      </c>
      <c r="D206" s="23">
        <v>2019.0</v>
      </c>
      <c r="E206" s="101">
        <v>43497.0</v>
      </c>
      <c r="F206" s="26" t="s">
        <v>761</v>
      </c>
      <c r="G206" s="26" t="s">
        <v>22</v>
      </c>
      <c r="H206" s="26" t="s">
        <v>51</v>
      </c>
      <c r="I206" s="28"/>
      <c r="J206" s="23">
        <v>1.0</v>
      </c>
      <c r="K206" s="27" t="str">
        <f t="shared" si="2"/>
        <v/>
      </c>
      <c r="L206" s="28"/>
      <c r="M206" s="105" t="s">
        <v>725</v>
      </c>
      <c r="N206" s="106" t="s">
        <v>762</v>
      </c>
      <c r="O206" s="109"/>
      <c r="P206" s="32">
        <v>319.0</v>
      </c>
      <c r="Q206" s="32"/>
      <c r="R206" s="32"/>
      <c r="S206" s="32"/>
      <c r="T206" s="32"/>
      <c r="U206" s="32"/>
      <c r="V206" s="32"/>
      <c r="W206" s="32"/>
      <c r="X206" s="32"/>
      <c r="Y206" s="32"/>
      <c r="Z206" s="32"/>
    </row>
    <row r="207">
      <c r="A207" s="103" t="s">
        <v>763</v>
      </c>
      <c r="B207" s="104"/>
      <c r="C207" s="22">
        <v>4.0E7</v>
      </c>
      <c r="D207" s="23">
        <v>2019.0</v>
      </c>
      <c r="E207" s="101">
        <v>43497.0</v>
      </c>
      <c r="F207" s="26" t="s">
        <v>761</v>
      </c>
      <c r="G207" s="26" t="s">
        <v>28</v>
      </c>
      <c r="H207" s="26" t="s">
        <v>23</v>
      </c>
      <c r="I207" s="28"/>
      <c r="J207" s="23">
        <v>1.0</v>
      </c>
      <c r="K207" s="27" t="str">
        <f t="shared" si="2"/>
        <v/>
      </c>
      <c r="L207" s="28"/>
      <c r="M207" s="105" t="s">
        <v>725</v>
      </c>
      <c r="N207" s="106" t="s">
        <v>762</v>
      </c>
      <c r="O207" s="109"/>
      <c r="P207" s="32">
        <v>318.0</v>
      </c>
      <c r="Q207" s="32"/>
      <c r="R207" s="32"/>
      <c r="S207" s="32"/>
      <c r="T207" s="32"/>
      <c r="U207" s="32"/>
      <c r="V207" s="32"/>
      <c r="W207" s="32"/>
      <c r="X207" s="32"/>
      <c r="Y207" s="32"/>
      <c r="Z207" s="32"/>
    </row>
    <row r="208">
      <c r="A208" s="103" t="s">
        <v>764</v>
      </c>
      <c r="B208" s="104"/>
      <c r="C208" s="22">
        <v>5.7E7</v>
      </c>
      <c r="D208" s="23">
        <v>2019.0</v>
      </c>
      <c r="E208" s="101">
        <v>43497.0</v>
      </c>
      <c r="F208" s="26" t="s">
        <v>761</v>
      </c>
      <c r="G208" s="26" t="s">
        <v>43</v>
      </c>
      <c r="H208" s="26" t="s">
        <v>23</v>
      </c>
      <c r="I208" s="28"/>
      <c r="J208" s="23">
        <v>2.0</v>
      </c>
      <c r="K208" s="27" t="str">
        <f t="shared" si="2"/>
        <v/>
      </c>
      <c r="L208" s="28"/>
      <c r="M208" s="105" t="s">
        <v>725</v>
      </c>
      <c r="N208" s="106" t="s">
        <v>765</v>
      </c>
      <c r="O208" s="109"/>
      <c r="P208" s="32">
        <v>317.0</v>
      </c>
      <c r="Q208" s="32"/>
      <c r="R208" s="32"/>
      <c r="S208" s="32"/>
      <c r="T208" s="32"/>
      <c r="U208" s="32"/>
      <c r="V208" s="32"/>
      <c r="W208" s="32"/>
      <c r="X208" s="32"/>
      <c r="Y208" s="32"/>
      <c r="Z208" s="32"/>
    </row>
    <row r="209">
      <c r="A209" s="103" t="s">
        <v>766</v>
      </c>
      <c r="B209" s="104"/>
      <c r="C209" s="22">
        <v>1800000.0</v>
      </c>
      <c r="D209" s="23">
        <v>2019.0</v>
      </c>
      <c r="E209" s="101">
        <v>43497.0</v>
      </c>
      <c r="F209" s="26" t="s">
        <v>761</v>
      </c>
      <c r="G209" s="26" t="s">
        <v>28</v>
      </c>
      <c r="H209" s="26" t="s">
        <v>23</v>
      </c>
      <c r="I209" s="28"/>
      <c r="J209" s="23">
        <v>1.0</v>
      </c>
      <c r="K209" s="27" t="str">
        <f t="shared" si="2"/>
        <v/>
      </c>
      <c r="L209" s="28"/>
      <c r="M209" s="105" t="s">
        <v>725</v>
      </c>
      <c r="N209" s="106" t="s">
        <v>762</v>
      </c>
      <c r="O209" s="109"/>
      <c r="P209" s="32">
        <v>316.0</v>
      </c>
      <c r="Q209" s="32"/>
      <c r="R209" s="32"/>
      <c r="S209" s="32"/>
      <c r="T209" s="32"/>
      <c r="U209" s="32"/>
      <c r="V209" s="32"/>
      <c r="W209" s="32"/>
      <c r="X209" s="32"/>
      <c r="Y209" s="32"/>
      <c r="Z209" s="32"/>
    </row>
    <row r="210">
      <c r="A210" s="103" t="s">
        <v>767</v>
      </c>
      <c r="B210" s="104"/>
      <c r="C210" s="22">
        <v>450000.0</v>
      </c>
      <c r="D210" s="23">
        <v>2019.0</v>
      </c>
      <c r="E210" s="101">
        <v>43497.0</v>
      </c>
      <c r="F210" s="26" t="s">
        <v>761</v>
      </c>
      <c r="G210" s="26" t="s">
        <v>58</v>
      </c>
      <c r="H210" s="26" t="s">
        <v>23</v>
      </c>
      <c r="I210" s="28"/>
      <c r="J210" s="23">
        <v>1.0</v>
      </c>
      <c r="K210" s="27" t="str">
        <f t="shared" si="2"/>
        <v/>
      </c>
      <c r="L210" s="28"/>
      <c r="M210" s="105" t="s">
        <v>725</v>
      </c>
      <c r="N210" s="106" t="s">
        <v>762</v>
      </c>
      <c r="O210" s="109"/>
      <c r="P210" s="32">
        <v>315.0</v>
      </c>
      <c r="Q210" s="32"/>
      <c r="R210" s="32"/>
      <c r="S210" s="32"/>
      <c r="T210" s="32"/>
      <c r="U210" s="32"/>
      <c r="V210" s="32"/>
      <c r="W210" s="32"/>
      <c r="X210" s="32"/>
      <c r="Y210" s="32"/>
      <c r="Z210" s="32"/>
    </row>
    <row r="211">
      <c r="A211" s="103" t="s">
        <v>768</v>
      </c>
      <c r="B211" s="104"/>
      <c r="C211" s="22">
        <v>4000000.0</v>
      </c>
      <c r="D211" s="23">
        <v>2019.0</v>
      </c>
      <c r="E211" s="101">
        <v>43497.0</v>
      </c>
      <c r="F211" s="26" t="s">
        <v>761</v>
      </c>
      <c r="G211" s="26" t="s">
        <v>236</v>
      </c>
      <c r="H211" s="26" t="s">
        <v>23</v>
      </c>
      <c r="I211" s="28"/>
      <c r="J211" s="23">
        <v>1.0</v>
      </c>
      <c r="K211" s="27" t="str">
        <f t="shared" si="2"/>
        <v/>
      </c>
      <c r="L211" s="28"/>
      <c r="M211" s="105" t="s">
        <v>725</v>
      </c>
      <c r="N211" s="106" t="s">
        <v>762</v>
      </c>
      <c r="O211" s="109"/>
      <c r="P211" s="32">
        <v>314.0</v>
      </c>
      <c r="Q211" s="32"/>
      <c r="R211" s="32"/>
      <c r="S211" s="32"/>
      <c r="T211" s="32"/>
      <c r="U211" s="32"/>
      <c r="V211" s="32"/>
      <c r="W211" s="32"/>
      <c r="X211" s="32"/>
      <c r="Y211" s="32"/>
      <c r="Z211" s="32"/>
    </row>
    <row r="212">
      <c r="A212" s="103" t="s">
        <v>769</v>
      </c>
      <c r="B212" s="104"/>
      <c r="C212" s="22">
        <v>5000000.0</v>
      </c>
      <c r="D212" s="23">
        <v>2019.0</v>
      </c>
      <c r="E212" s="101">
        <v>43497.0</v>
      </c>
      <c r="F212" s="26" t="s">
        <v>761</v>
      </c>
      <c r="G212" s="26" t="s">
        <v>236</v>
      </c>
      <c r="H212" s="26" t="s">
        <v>23</v>
      </c>
      <c r="I212" s="28"/>
      <c r="J212" s="23">
        <v>1.0</v>
      </c>
      <c r="K212" s="27" t="str">
        <f t="shared" si="2"/>
        <v/>
      </c>
      <c r="L212" s="28"/>
      <c r="M212" s="105" t="s">
        <v>725</v>
      </c>
      <c r="N212" s="106" t="s">
        <v>762</v>
      </c>
      <c r="O212" s="109"/>
      <c r="P212" s="32">
        <v>313.0</v>
      </c>
      <c r="Q212" s="32"/>
      <c r="R212" s="32"/>
      <c r="S212" s="32"/>
      <c r="T212" s="32"/>
      <c r="U212" s="32"/>
      <c r="V212" s="32"/>
      <c r="W212" s="32"/>
      <c r="X212" s="32"/>
      <c r="Y212" s="32"/>
      <c r="Z212" s="32"/>
    </row>
    <row r="213">
      <c r="A213" s="103" t="s">
        <v>770</v>
      </c>
      <c r="B213" s="104"/>
      <c r="C213" s="22">
        <v>1000000.0</v>
      </c>
      <c r="D213" s="23">
        <v>2019.0</v>
      </c>
      <c r="E213" s="101">
        <v>43497.0</v>
      </c>
      <c r="F213" s="26" t="s">
        <v>761</v>
      </c>
      <c r="G213" s="26" t="s">
        <v>43</v>
      </c>
      <c r="H213" s="26" t="s">
        <v>51</v>
      </c>
      <c r="I213" s="28"/>
      <c r="J213" s="23">
        <v>1.0</v>
      </c>
      <c r="K213" s="27" t="str">
        <f t="shared" si="2"/>
        <v/>
      </c>
      <c r="L213" s="28"/>
      <c r="M213" s="105" t="s">
        <v>725</v>
      </c>
      <c r="N213" s="106" t="s">
        <v>762</v>
      </c>
      <c r="O213" s="109"/>
      <c r="P213" s="32">
        <v>312.0</v>
      </c>
      <c r="Q213" s="32"/>
      <c r="R213" s="32"/>
      <c r="S213" s="32"/>
      <c r="T213" s="32"/>
      <c r="U213" s="32"/>
      <c r="V213" s="32"/>
      <c r="W213" s="32"/>
      <c r="X213" s="32"/>
      <c r="Y213" s="32"/>
      <c r="Z213" s="32"/>
    </row>
    <row r="214">
      <c r="A214" s="103" t="s">
        <v>771</v>
      </c>
      <c r="B214" s="104"/>
      <c r="C214" s="22">
        <v>1.48E7</v>
      </c>
      <c r="D214" s="23">
        <v>2019.0</v>
      </c>
      <c r="E214" s="101">
        <v>43497.0</v>
      </c>
      <c r="F214" s="26" t="s">
        <v>772</v>
      </c>
      <c r="G214" s="26" t="s">
        <v>28</v>
      </c>
      <c r="H214" s="26" t="s">
        <v>23</v>
      </c>
      <c r="I214" s="28"/>
      <c r="J214" s="23">
        <v>2.0</v>
      </c>
      <c r="K214" s="27" t="str">
        <f t="shared" si="2"/>
        <v/>
      </c>
      <c r="L214" s="28"/>
      <c r="M214" s="105" t="s">
        <v>773</v>
      </c>
      <c r="N214" s="106" t="s">
        <v>774</v>
      </c>
      <c r="O214" s="109"/>
      <c r="P214" s="32">
        <v>311.0</v>
      </c>
      <c r="Q214" s="32"/>
      <c r="R214" s="32"/>
      <c r="S214" s="32"/>
      <c r="T214" s="32"/>
      <c r="U214" s="32"/>
      <c r="V214" s="32"/>
      <c r="W214" s="32"/>
      <c r="X214" s="32"/>
      <c r="Y214" s="32"/>
      <c r="Z214" s="32"/>
    </row>
    <row r="215">
      <c r="A215" s="20" t="s">
        <v>775</v>
      </c>
      <c r="B215" s="26" t="s">
        <v>776</v>
      </c>
      <c r="C215" s="22">
        <v>2400000.0</v>
      </c>
      <c r="D215" s="23">
        <v>2019.0</v>
      </c>
      <c r="E215" s="101">
        <v>43466.0</v>
      </c>
      <c r="F215" s="26" t="s">
        <v>777</v>
      </c>
      <c r="G215" s="26" t="s">
        <v>50</v>
      </c>
      <c r="H215" s="34" t="s">
        <v>142</v>
      </c>
      <c r="I215" s="28"/>
      <c r="J215" s="23">
        <v>1.0</v>
      </c>
      <c r="K215" s="27" t="str">
        <f t="shared" si="2"/>
        <v/>
      </c>
      <c r="L215" s="110"/>
      <c r="M215" s="26" t="s">
        <v>571</v>
      </c>
      <c r="N215" s="106" t="s">
        <v>778</v>
      </c>
      <c r="O215" s="107"/>
      <c r="P215" s="32">
        <v>310.0</v>
      </c>
      <c r="Q215" s="32"/>
      <c r="R215" s="32"/>
      <c r="S215" s="32"/>
      <c r="T215" s="32"/>
      <c r="U215" s="32"/>
      <c r="V215" s="32"/>
      <c r="W215" s="32"/>
      <c r="X215" s="32"/>
      <c r="Y215" s="32"/>
      <c r="Z215" s="32"/>
    </row>
    <row r="216">
      <c r="A216" s="20" t="s">
        <v>779</v>
      </c>
      <c r="B216" s="26"/>
      <c r="C216" s="22">
        <v>7600000.0</v>
      </c>
      <c r="D216" s="23">
        <v>2019.0</v>
      </c>
      <c r="E216" s="101">
        <v>43466.0</v>
      </c>
      <c r="F216" s="26" t="s">
        <v>780</v>
      </c>
      <c r="G216" s="26" t="s">
        <v>236</v>
      </c>
      <c r="H216" s="34" t="s">
        <v>23</v>
      </c>
      <c r="I216" s="28"/>
      <c r="J216" s="23">
        <v>1.0</v>
      </c>
      <c r="K216" s="27" t="str">
        <f t="shared" si="2"/>
        <v/>
      </c>
      <c r="L216" s="110"/>
      <c r="M216" s="26" t="s">
        <v>571</v>
      </c>
      <c r="N216" s="106" t="s">
        <v>781</v>
      </c>
      <c r="O216" s="107"/>
      <c r="P216" s="32">
        <v>309.0</v>
      </c>
      <c r="Q216" s="32"/>
      <c r="R216" s="32"/>
      <c r="S216" s="32"/>
      <c r="T216" s="32"/>
      <c r="U216" s="32"/>
      <c r="V216" s="32"/>
      <c r="W216" s="32"/>
      <c r="X216" s="32"/>
      <c r="Y216" s="32"/>
      <c r="Z216" s="32"/>
    </row>
    <row r="217">
      <c r="A217" s="52" t="s">
        <v>782</v>
      </c>
      <c r="B217" s="53"/>
      <c r="C217" s="22">
        <v>2.75265298E8</v>
      </c>
      <c r="D217" s="23">
        <v>2019.0</v>
      </c>
      <c r="E217" s="101">
        <v>43586.0</v>
      </c>
      <c r="F217" s="34" t="s">
        <v>783</v>
      </c>
      <c r="G217" s="34" t="s">
        <v>28</v>
      </c>
      <c r="H217" s="34" t="s">
        <v>51</v>
      </c>
      <c r="I217" s="53"/>
      <c r="J217" s="23">
        <v>2.0</v>
      </c>
      <c r="K217" s="27" t="s">
        <v>784</v>
      </c>
      <c r="L217" s="53"/>
      <c r="M217" s="34" t="s">
        <v>85</v>
      </c>
      <c r="N217" s="102" t="s">
        <v>785</v>
      </c>
      <c r="O217" s="53"/>
      <c r="P217" s="32">
        <v>308.0</v>
      </c>
      <c r="Q217" s="32"/>
      <c r="R217" s="32"/>
      <c r="S217" s="32"/>
      <c r="T217" s="32"/>
      <c r="U217" s="32"/>
      <c r="V217" s="32"/>
      <c r="W217" s="32"/>
      <c r="X217" s="32"/>
      <c r="Y217" s="32"/>
      <c r="Z217" s="32"/>
    </row>
    <row r="218">
      <c r="A218" s="20" t="s">
        <v>786</v>
      </c>
      <c r="B218" s="111"/>
      <c r="C218" s="22">
        <v>5000000.0</v>
      </c>
      <c r="D218" s="23">
        <v>2019.0</v>
      </c>
      <c r="E218" s="101">
        <v>43647.0</v>
      </c>
      <c r="F218" s="26" t="s">
        <v>787</v>
      </c>
      <c r="G218" s="26" t="s">
        <v>64</v>
      </c>
      <c r="H218" s="26" t="s">
        <v>23</v>
      </c>
      <c r="I218" s="28"/>
      <c r="J218" s="23">
        <v>2.0</v>
      </c>
      <c r="K218" s="27"/>
      <c r="L218" s="28"/>
      <c r="M218" s="34" t="s">
        <v>571</v>
      </c>
      <c r="N218" s="102" t="s">
        <v>788</v>
      </c>
      <c r="O218" s="31"/>
      <c r="P218" s="32">
        <v>307.0</v>
      </c>
      <c r="Q218" s="32"/>
      <c r="R218" s="32"/>
      <c r="S218" s="32"/>
      <c r="T218" s="32"/>
      <c r="U218" s="32"/>
      <c r="V218" s="32"/>
      <c r="W218" s="32"/>
      <c r="X218" s="32"/>
      <c r="Y218" s="32"/>
      <c r="Z218" s="32"/>
    </row>
    <row r="219">
      <c r="A219" s="20" t="s">
        <v>789</v>
      </c>
      <c r="B219" s="111"/>
      <c r="C219" s="22">
        <v>1.0E8</v>
      </c>
      <c r="D219" s="23">
        <v>2019.0</v>
      </c>
      <c r="E219" s="101">
        <v>43647.0</v>
      </c>
      <c r="F219" s="26" t="s">
        <v>790</v>
      </c>
      <c r="G219" s="26" t="s">
        <v>58</v>
      </c>
      <c r="H219" s="26" t="s">
        <v>23</v>
      </c>
      <c r="I219" s="28"/>
      <c r="J219" s="23">
        <v>3.0</v>
      </c>
      <c r="K219" s="27" t="s">
        <v>517</v>
      </c>
      <c r="L219" s="28"/>
      <c r="M219" s="34" t="s">
        <v>278</v>
      </c>
      <c r="N219" s="102" t="s">
        <v>791</v>
      </c>
      <c r="O219" s="31"/>
      <c r="P219" s="32">
        <v>306.0</v>
      </c>
      <c r="Q219" s="32"/>
      <c r="R219" s="32"/>
      <c r="S219" s="32"/>
      <c r="T219" s="32"/>
      <c r="U219" s="32"/>
      <c r="V219" s="32"/>
      <c r="W219" s="32"/>
      <c r="X219" s="32"/>
      <c r="Y219" s="32"/>
      <c r="Z219" s="32"/>
    </row>
    <row r="220">
      <c r="A220" s="20" t="s">
        <v>792</v>
      </c>
      <c r="B220" s="111" t="s">
        <v>793</v>
      </c>
      <c r="C220" s="22">
        <v>2.78E7</v>
      </c>
      <c r="D220" s="23">
        <v>2019.0</v>
      </c>
      <c r="E220" s="101">
        <v>43678.0</v>
      </c>
      <c r="F220" s="26" t="s">
        <v>794</v>
      </c>
      <c r="G220" s="26" t="s">
        <v>50</v>
      </c>
      <c r="H220" s="26" t="s">
        <v>51</v>
      </c>
      <c r="I220" s="28"/>
      <c r="J220" s="23">
        <v>5.0</v>
      </c>
      <c r="K220" s="27"/>
      <c r="L220" s="28"/>
      <c r="M220" s="34" t="s">
        <v>507</v>
      </c>
      <c r="N220" s="102" t="s">
        <v>795</v>
      </c>
      <c r="O220" s="31"/>
      <c r="P220" s="32">
        <v>305.0</v>
      </c>
      <c r="Q220" s="32"/>
      <c r="R220" s="32"/>
      <c r="S220" s="32"/>
      <c r="T220" s="32"/>
      <c r="U220" s="32"/>
      <c r="V220" s="32"/>
      <c r="W220" s="32"/>
      <c r="X220" s="32"/>
      <c r="Y220" s="32"/>
      <c r="Z220" s="32"/>
    </row>
    <row r="221">
      <c r="A221" s="20" t="s">
        <v>588</v>
      </c>
      <c r="B221" s="111"/>
      <c r="C221" s="22">
        <v>4.19E8</v>
      </c>
      <c r="D221" s="23">
        <v>2019.0</v>
      </c>
      <c r="E221" s="101">
        <v>43709.0</v>
      </c>
      <c r="F221" s="26" t="s">
        <v>796</v>
      </c>
      <c r="G221" s="26" t="s">
        <v>28</v>
      </c>
      <c r="H221" s="26" t="s">
        <v>51</v>
      </c>
      <c r="I221" s="28"/>
      <c r="J221" s="23">
        <v>2.0</v>
      </c>
      <c r="K221" s="27" t="s">
        <v>797</v>
      </c>
      <c r="L221" s="28"/>
      <c r="M221" s="34" t="s">
        <v>798</v>
      </c>
      <c r="N221" s="35" t="s">
        <v>799</v>
      </c>
      <c r="O221" s="31"/>
      <c r="P221" s="32">
        <v>304.0</v>
      </c>
      <c r="Q221" s="32"/>
      <c r="R221" s="32"/>
      <c r="S221" s="32"/>
      <c r="T221" s="32"/>
      <c r="U221" s="32"/>
      <c r="V221" s="32"/>
      <c r="W221" s="32"/>
      <c r="X221" s="32"/>
      <c r="Y221" s="32"/>
      <c r="Z221" s="32"/>
    </row>
    <row r="222">
      <c r="A222" s="20" t="s">
        <v>800</v>
      </c>
      <c r="B222" s="98" t="s">
        <v>801</v>
      </c>
      <c r="C222" s="22">
        <v>4900000.0</v>
      </c>
      <c r="D222" s="23">
        <v>2019.0</v>
      </c>
      <c r="E222" s="101">
        <v>43709.0</v>
      </c>
      <c r="F222" s="26" t="s">
        <v>802</v>
      </c>
      <c r="G222" s="26" t="s">
        <v>22</v>
      </c>
      <c r="H222" s="26" t="s">
        <v>23</v>
      </c>
      <c r="I222" s="28"/>
      <c r="J222" s="23">
        <v>2.0</v>
      </c>
      <c r="K222" s="27" t="s">
        <v>803</v>
      </c>
      <c r="L222" s="28"/>
      <c r="M222" s="34" t="s">
        <v>725</v>
      </c>
      <c r="N222" s="102" t="s">
        <v>804</v>
      </c>
      <c r="O222" s="31"/>
      <c r="P222" s="32">
        <v>303.0</v>
      </c>
      <c r="Q222" s="32"/>
      <c r="R222" s="32"/>
      <c r="S222" s="32"/>
      <c r="T222" s="32"/>
      <c r="U222" s="32"/>
      <c r="V222" s="32"/>
      <c r="W222" s="32"/>
      <c r="X222" s="32"/>
      <c r="Y222" s="32"/>
      <c r="Z222" s="32"/>
    </row>
    <row r="223">
      <c r="A223" s="20" t="s">
        <v>805</v>
      </c>
      <c r="B223" s="98" t="s">
        <v>806</v>
      </c>
      <c r="C223" s="22">
        <v>2.6E7</v>
      </c>
      <c r="D223" s="23">
        <v>2019.0</v>
      </c>
      <c r="E223" s="101">
        <v>43739.0</v>
      </c>
      <c r="F223" s="26" t="s">
        <v>807</v>
      </c>
      <c r="G223" s="26" t="s">
        <v>28</v>
      </c>
      <c r="H223" s="26" t="s">
        <v>23</v>
      </c>
      <c r="I223" s="28"/>
      <c r="J223" s="23">
        <v>3.0</v>
      </c>
      <c r="K223" s="27" t="s">
        <v>808</v>
      </c>
      <c r="L223" s="28"/>
      <c r="M223" s="34" t="s">
        <v>247</v>
      </c>
      <c r="N223" s="102" t="s">
        <v>809</v>
      </c>
      <c r="O223" s="31"/>
      <c r="P223" s="32">
        <v>302.0</v>
      </c>
      <c r="Q223" s="32"/>
      <c r="R223" s="32"/>
      <c r="S223" s="32"/>
      <c r="T223" s="32"/>
      <c r="U223" s="32"/>
      <c r="V223" s="32"/>
      <c r="W223" s="32"/>
      <c r="X223" s="32"/>
      <c r="Y223" s="32"/>
      <c r="Z223" s="32"/>
    </row>
    <row r="224">
      <c r="A224" s="20" t="s">
        <v>810</v>
      </c>
      <c r="B224" s="51"/>
      <c r="C224" s="22">
        <v>3.8E8</v>
      </c>
      <c r="D224" s="23">
        <v>2019.0</v>
      </c>
      <c r="E224" s="101">
        <v>43770.0</v>
      </c>
      <c r="F224" s="26" t="s">
        <v>811</v>
      </c>
      <c r="G224" s="26" t="s">
        <v>50</v>
      </c>
      <c r="H224" s="26" t="s">
        <v>51</v>
      </c>
      <c r="I224" s="28"/>
      <c r="J224" s="23">
        <v>2.0</v>
      </c>
      <c r="K224" s="27" t="s">
        <v>812</v>
      </c>
      <c r="L224" s="28"/>
      <c r="M224" s="34" t="s">
        <v>813</v>
      </c>
      <c r="N224" s="102" t="s">
        <v>814</v>
      </c>
      <c r="O224" s="31"/>
      <c r="P224" s="32">
        <v>300.0</v>
      </c>
      <c r="Q224" s="32"/>
      <c r="R224" s="32"/>
      <c r="S224" s="32"/>
      <c r="T224" s="32"/>
      <c r="U224" s="32"/>
      <c r="V224" s="32"/>
      <c r="W224" s="32"/>
      <c r="X224" s="32"/>
      <c r="Y224" s="32"/>
      <c r="Z224" s="32"/>
    </row>
    <row r="225">
      <c r="A225" s="103" t="s">
        <v>815</v>
      </c>
      <c r="B225" s="104"/>
      <c r="C225" s="22">
        <v>300000.0</v>
      </c>
      <c r="D225" s="23">
        <v>2018.0</v>
      </c>
      <c r="E225" s="101">
        <v>43435.0</v>
      </c>
      <c r="F225" s="26" t="s">
        <v>816</v>
      </c>
      <c r="G225" s="26" t="s">
        <v>58</v>
      </c>
      <c r="H225" s="26" t="s">
        <v>23</v>
      </c>
      <c r="I225" s="26"/>
      <c r="J225" s="23">
        <v>3.0</v>
      </c>
      <c r="K225" s="27"/>
      <c r="L225" s="28"/>
      <c r="M225" s="105" t="s">
        <v>817</v>
      </c>
      <c r="N225" s="106" t="s">
        <v>818</v>
      </c>
      <c r="O225" s="107"/>
      <c r="P225" s="32">
        <v>299.0</v>
      </c>
      <c r="Q225" s="32"/>
      <c r="R225" s="32"/>
      <c r="S225" s="32"/>
      <c r="T225" s="32"/>
      <c r="U225" s="32"/>
      <c r="V225" s="32"/>
      <c r="W225" s="32"/>
      <c r="X225" s="32"/>
      <c r="Y225" s="32"/>
      <c r="Z225" s="32"/>
    </row>
    <row r="226">
      <c r="A226" s="103" t="s">
        <v>819</v>
      </c>
      <c r="B226" s="104"/>
      <c r="C226" s="22">
        <v>1500000.0</v>
      </c>
      <c r="D226" s="23">
        <v>2018.0</v>
      </c>
      <c r="E226" s="101">
        <v>43282.0</v>
      </c>
      <c r="F226" s="26" t="s">
        <v>820</v>
      </c>
      <c r="G226" s="26" t="s">
        <v>258</v>
      </c>
      <c r="H226" s="26" t="s">
        <v>23</v>
      </c>
      <c r="I226" s="26"/>
      <c r="J226" s="23">
        <v>4.0</v>
      </c>
      <c r="K226" s="27"/>
      <c r="L226" s="28"/>
      <c r="M226" s="105" t="s">
        <v>821</v>
      </c>
      <c r="N226" s="106" t="s">
        <v>822</v>
      </c>
      <c r="O226" s="107"/>
      <c r="P226" s="32">
        <v>298.0</v>
      </c>
      <c r="Q226" s="32"/>
      <c r="R226" s="32"/>
      <c r="S226" s="32"/>
      <c r="T226" s="32"/>
      <c r="U226" s="32"/>
      <c r="V226" s="32"/>
      <c r="W226" s="32"/>
      <c r="X226" s="32"/>
      <c r="Y226" s="32"/>
      <c r="Z226" s="32"/>
    </row>
    <row r="227">
      <c r="A227" s="103" t="s">
        <v>823</v>
      </c>
      <c r="B227" s="104" t="s">
        <v>824</v>
      </c>
      <c r="C227" s="22">
        <v>1.4E7</v>
      </c>
      <c r="D227" s="23">
        <v>2018.0</v>
      </c>
      <c r="E227" s="101">
        <v>43344.0</v>
      </c>
      <c r="F227" s="26" t="s">
        <v>825</v>
      </c>
      <c r="G227" s="26" t="s">
        <v>58</v>
      </c>
      <c r="H227" s="26" t="s">
        <v>51</v>
      </c>
      <c r="I227" s="28"/>
      <c r="J227" s="23">
        <v>2.0</v>
      </c>
      <c r="K227" s="27" t="str">
        <f t="shared" ref="K227:K228" si="3">IF(C227&gt;100000000,C227,"")</f>
        <v/>
      </c>
      <c r="L227" s="28"/>
      <c r="M227" s="105" t="s">
        <v>702</v>
      </c>
      <c r="N227" s="106" t="s">
        <v>826</v>
      </c>
      <c r="O227" s="109"/>
      <c r="P227" s="32">
        <v>297.0</v>
      </c>
      <c r="Q227" s="32"/>
      <c r="R227" s="32"/>
      <c r="S227" s="32"/>
      <c r="T227" s="32"/>
      <c r="U227" s="32"/>
      <c r="V227" s="32"/>
      <c r="W227" s="32"/>
      <c r="X227" s="32"/>
      <c r="Y227" s="32"/>
      <c r="Z227" s="32"/>
    </row>
    <row r="228">
      <c r="A228" s="20" t="s">
        <v>827</v>
      </c>
      <c r="B228" s="26"/>
      <c r="C228" s="22">
        <v>9.4E7</v>
      </c>
      <c r="D228" s="23">
        <v>2018.0</v>
      </c>
      <c r="E228" s="101">
        <v>43374.0</v>
      </c>
      <c r="F228" s="26" t="s">
        <v>828</v>
      </c>
      <c r="G228" s="26" t="s">
        <v>22</v>
      </c>
      <c r="H228" s="34" t="s">
        <v>23</v>
      </c>
      <c r="I228" s="28"/>
      <c r="J228" s="23">
        <v>3.0</v>
      </c>
      <c r="K228" s="27" t="str">
        <f t="shared" si="3"/>
        <v/>
      </c>
      <c r="L228" s="110"/>
      <c r="M228" s="26" t="s">
        <v>829</v>
      </c>
      <c r="N228" s="106" t="s">
        <v>830</v>
      </c>
      <c r="O228" s="107"/>
      <c r="P228" s="32">
        <v>296.0</v>
      </c>
      <c r="Q228" s="32"/>
      <c r="R228" s="32"/>
      <c r="S228" s="32"/>
      <c r="T228" s="32"/>
      <c r="U228" s="32"/>
      <c r="V228" s="32"/>
      <c r="W228" s="32"/>
      <c r="X228" s="32"/>
      <c r="Y228" s="32"/>
      <c r="Z228" s="32"/>
    </row>
    <row r="229">
      <c r="A229" s="20" t="s">
        <v>831</v>
      </c>
      <c r="B229" s="26"/>
      <c r="C229" s="22">
        <v>2.02E8</v>
      </c>
      <c r="D229" s="23">
        <v>2018.0</v>
      </c>
      <c r="E229" s="101">
        <v>43435.0</v>
      </c>
      <c r="F229" s="26" t="s">
        <v>832</v>
      </c>
      <c r="G229" s="26" t="s">
        <v>28</v>
      </c>
      <c r="H229" s="112" t="s">
        <v>51</v>
      </c>
      <c r="I229" s="28"/>
      <c r="J229" s="23">
        <v>2.0</v>
      </c>
      <c r="K229" s="27" t="s">
        <v>833</v>
      </c>
      <c r="L229" s="110"/>
      <c r="M229" s="26" t="s">
        <v>834</v>
      </c>
      <c r="N229" s="106" t="s">
        <v>835</v>
      </c>
      <c r="O229" s="107"/>
      <c r="P229" s="32">
        <v>295.0</v>
      </c>
      <c r="Q229" s="32"/>
      <c r="R229" s="32"/>
      <c r="S229" s="32"/>
      <c r="T229" s="32"/>
      <c r="U229" s="32"/>
      <c r="V229" s="32"/>
      <c r="W229" s="32"/>
      <c r="X229" s="32"/>
      <c r="Y229" s="32"/>
      <c r="Z229" s="32"/>
    </row>
    <row r="230">
      <c r="A230" s="20" t="s">
        <v>836</v>
      </c>
      <c r="B230" s="26"/>
      <c r="C230" s="22">
        <v>5.25E7</v>
      </c>
      <c r="D230" s="23">
        <v>2018.0</v>
      </c>
      <c r="E230" s="101">
        <v>43435.0</v>
      </c>
      <c r="F230" s="26" t="s">
        <v>837</v>
      </c>
      <c r="G230" s="26" t="s">
        <v>28</v>
      </c>
      <c r="H230" s="112" t="s">
        <v>51</v>
      </c>
      <c r="I230" s="28"/>
      <c r="J230" s="23">
        <v>2.0</v>
      </c>
      <c r="K230" s="27" t="str">
        <f>IF(C230&gt;100000000,C230,"")</f>
        <v/>
      </c>
      <c r="L230" s="110"/>
      <c r="M230" s="26" t="s">
        <v>314</v>
      </c>
      <c r="N230" s="106" t="s">
        <v>838</v>
      </c>
      <c r="O230" s="113"/>
      <c r="P230" s="32">
        <v>294.0</v>
      </c>
      <c r="Q230" s="32"/>
      <c r="R230" s="32"/>
      <c r="S230" s="32"/>
      <c r="T230" s="32"/>
      <c r="U230" s="32"/>
      <c r="V230" s="32"/>
      <c r="W230" s="32"/>
      <c r="X230" s="32"/>
      <c r="Y230" s="32"/>
      <c r="Z230" s="32"/>
    </row>
    <row r="231">
      <c r="A231" s="20" t="s">
        <v>839</v>
      </c>
      <c r="B231" s="26"/>
      <c r="C231" s="22">
        <v>1.0E8</v>
      </c>
      <c r="D231" s="23">
        <v>2018.0</v>
      </c>
      <c r="E231" s="101">
        <v>43435.0</v>
      </c>
      <c r="F231" s="26" t="s">
        <v>840</v>
      </c>
      <c r="G231" s="26" t="s">
        <v>28</v>
      </c>
      <c r="H231" s="105" t="s">
        <v>23</v>
      </c>
      <c r="I231" s="28"/>
      <c r="J231" s="23">
        <v>1.0</v>
      </c>
      <c r="K231" s="27" t="s">
        <v>517</v>
      </c>
      <c r="L231" s="110"/>
      <c r="M231" s="26" t="s">
        <v>841</v>
      </c>
      <c r="N231" s="106" t="s">
        <v>842</v>
      </c>
      <c r="O231" s="113"/>
      <c r="P231" s="32">
        <v>293.0</v>
      </c>
      <c r="Q231" s="32"/>
      <c r="R231" s="32"/>
      <c r="S231" s="32"/>
      <c r="T231" s="32"/>
      <c r="U231" s="32"/>
      <c r="V231" s="32"/>
      <c r="W231" s="32"/>
      <c r="X231" s="32"/>
      <c r="Y231" s="32"/>
      <c r="Z231" s="32"/>
    </row>
    <row r="232">
      <c r="A232" s="20" t="s">
        <v>843</v>
      </c>
      <c r="B232" s="26"/>
      <c r="C232" s="22">
        <v>3.83E8</v>
      </c>
      <c r="D232" s="23">
        <v>2018.0</v>
      </c>
      <c r="E232" s="101">
        <v>43405.0</v>
      </c>
      <c r="F232" s="26" t="s">
        <v>844</v>
      </c>
      <c r="G232" s="26" t="s">
        <v>43</v>
      </c>
      <c r="H232" s="105" t="s">
        <v>23</v>
      </c>
      <c r="I232" s="28"/>
      <c r="J232" s="23">
        <v>3.0</v>
      </c>
      <c r="K232" s="27" t="s">
        <v>845</v>
      </c>
      <c r="L232" s="110"/>
      <c r="M232" s="26" t="s">
        <v>846</v>
      </c>
      <c r="N232" s="106" t="s">
        <v>847</v>
      </c>
      <c r="O232" s="106" t="s">
        <v>848</v>
      </c>
      <c r="P232" s="32">
        <v>292.0</v>
      </c>
      <c r="Q232" s="32"/>
      <c r="R232" s="32"/>
      <c r="S232" s="32"/>
      <c r="T232" s="32"/>
      <c r="U232" s="32"/>
      <c r="V232" s="32"/>
      <c r="W232" s="32"/>
      <c r="X232" s="32"/>
      <c r="Y232" s="32"/>
      <c r="Z232" s="32"/>
    </row>
    <row r="233">
      <c r="A233" s="114" t="s">
        <v>849</v>
      </c>
      <c r="B233" s="115" t="s">
        <v>850</v>
      </c>
      <c r="C233" s="22">
        <v>700000.0</v>
      </c>
      <c r="D233" s="23">
        <v>2018.0</v>
      </c>
      <c r="E233" s="101">
        <v>43435.0</v>
      </c>
      <c r="F233" s="34" t="s">
        <v>851</v>
      </c>
      <c r="G233" s="115" t="s">
        <v>22</v>
      </c>
      <c r="H233" s="105" t="s">
        <v>142</v>
      </c>
      <c r="I233" s="34" t="s">
        <v>29</v>
      </c>
      <c r="J233" s="23">
        <v>2.0</v>
      </c>
      <c r="K233" s="57"/>
      <c r="L233" s="53"/>
      <c r="M233" s="105" t="s">
        <v>852</v>
      </c>
      <c r="N233" s="116" t="s">
        <v>853</v>
      </c>
      <c r="O233" s="117"/>
      <c r="P233" s="32">
        <v>291.0</v>
      </c>
      <c r="Q233" s="32"/>
      <c r="R233" s="32"/>
      <c r="S233" s="32"/>
      <c r="T233" s="32"/>
      <c r="U233" s="32"/>
      <c r="V233" s="32"/>
      <c r="W233" s="32"/>
      <c r="X233" s="32"/>
      <c r="Y233" s="32"/>
      <c r="Z233" s="32"/>
    </row>
    <row r="234">
      <c r="A234" s="20" t="s">
        <v>588</v>
      </c>
      <c r="B234" s="26"/>
      <c r="C234" s="22">
        <v>5.0E7</v>
      </c>
      <c r="D234" s="23">
        <v>2018.0</v>
      </c>
      <c r="E234" s="101">
        <v>43160.0</v>
      </c>
      <c r="F234" s="26" t="s">
        <v>854</v>
      </c>
      <c r="G234" s="26" t="s">
        <v>28</v>
      </c>
      <c r="H234" s="26" t="s">
        <v>23</v>
      </c>
      <c r="I234" s="26" t="s">
        <v>29</v>
      </c>
      <c r="J234" s="23">
        <v>1.0</v>
      </c>
      <c r="K234" s="27" t="s">
        <v>855</v>
      </c>
      <c r="L234" s="110"/>
      <c r="M234" s="26" t="s">
        <v>507</v>
      </c>
      <c r="N234" s="106" t="s">
        <v>856</v>
      </c>
      <c r="O234" s="113"/>
      <c r="P234" s="32">
        <v>290.0</v>
      </c>
      <c r="Q234" s="32"/>
      <c r="R234" s="32"/>
      <c r="S234" s="32"/>
      <c r="T234" s="32"/>
      <c r="U234" s="32"/>
      <c r="V234" s="32"/>
      <c r="W234" s="32"/>
      <c r="X234" s="32"/>
      <c r="Y234" s="32"/>
      <c r="Z234" s="32"/>
    </row>
    <row r="235">
      <c r="A235" s="118" t="s">
        <v>857</v>
      </c>
      <c r="B235" s="112"/>
      <c r="C235" s="119">
        <v>3.7E7</v>
      </c>
      <c r="D235" s="23">
        <v>2018.0</v>
      </c>
      <c r="E235" s="101">
        <v>43191.0</v>
      </c>
      <c r="F235" s="34" t="s">
        <v>858</v>
      </c>
      <c r="G235" s="112" t="s">
        <v>43</v>
      </c>
      <c r="H235" s="112" t="s">
        <v>51</v>
      </c>
      <c r="I235" s="120"/>
      <c r="J235" s="23">
        <v>2.0</v>
      </c>
      <c r="K235" s="57"/>
      <c r="L235" s="120"/>
      <c r="M235" s="112" t="s">
        <v>859</v>
      </c>
      <c r="N235" s="121" t="s">
        <v>860</v>
      </c>
      <c r="O235" s="122" t="s">
        <v>861</v>
      </c>
      <c r="P235" s="32">
        <v>289.0</v>
      </c>
      <c r="Q235" s="32"/>
      <c r="R235" s="32"/>
      <c r="S235" s="32"/>
      <c r="T235" s="32"/>
      <c r="U235" s="32"/>
      <c r="V235" s="32"/>
      <c r="W235" s="32"/>
      <c r="X235" s="32"/>
      <c r="Y235" s="32"/>
      <c r="Z235" s="32"/>
    </row>
    <row r="236">
      <c r="A236" s="20" t="s">
        <v>862</v>
      </c>
      <c r="B236" s="26"/>
      <c r="C236" s="22">
        <v>1.0E7</v>
      </c>
      <c r="D236" s="23">
        <v>2018.0</v>
      </c>
      <c r="E236" s="101">
        <v>43252.0</v>
      </c>
      <c r="F236" s="26" t="s">
        <v>863</v>
      </c>
      <c r="G236" s="26" t="s">
        <v>129</v>
      </c>
      <c r="H236" s="26" t="s">
        <v>23</v>
      </c>
      <c r="I236" s="28"/>
      <c r="J236" s="23">
        <v>1.0</v>
      </c>
      <c r="K236" s="57"/>
      <c r="L236" s="110"/>
      <c r="M236" s="26" t="s">
        <v>147</v>
      </c>
      <c r="N236" s="106" t="s">
        <v>864</v>
      </c>
      <c r="O236" s="113"/>
      <c r="P236" s="32">
        <v>288.0</v>
      </c>
      <c r="Q236" s="32"/>
      <c r="R236" s="32"/>
      <c r="S236" s="32"/>
      <c r="T236" s="32"/>
      <c r="U236" s="32"/>
      <c r="V236" s="32"/>
      <c r="W236" s="32"/>
      <c r="X236" s="32"/>
      <c r="Y236" s="32"/>
      <c r="Z236" s="32"/>
    </row>
    <row r="237">
      <c r="A237" s="20" t="s">
        <v>865</v>
      </c>
      <c r="B237" s="26"/>
      <c r="C237" s="22">
        <v>9.2283889E7</v>
      </c>
      <c r="D237" s="23">
        <v>2018.0</v>
      </c>
      <c r="E237" s="101">
        <v>43252.0</v>
      </c>
      <c r="F237" s="26" t="s">
        <v>866</v>
      </c>
      <c r="G237" s="26" t="s">
        <v>28</v>
      </c>
      <c r="H237" s="105" t="s">
        <v>23</v>
      </c>
      <c r="I237" s="28"/>
      <c r="J237" s="23">
        <v>1.0</v>
      </c>
      <c r="K237" s="57"/>
      <c r="L237" s="123"/>
      <c r="M237" s="26" t="s">
        <v>867</v>
      </c>
      <c r="N237" s="106" t="s">
        <v>868</v>
      </c>
      <c r="O237" s="113"/>
      <c r="P237" s="32">
        <v>287.0</v>
      </c>
      <c r="Q237" s="32"/>
      <c r="R237" s="32"/>
      <c r="S237" s="32"/>
      <c r="T237" s="32"/>
      <c r="U237" s="32"/>
      <c r="V237" s="32"/>
      <c r="W237" s="32"/>
      <c r="X237" s="32"/>
      <c r="Y237" s="32"/>
      <c r="Z237" s="32"/>
    </row>
    <row r="238">
      <c r="A238" s="118" t="s">
        <v>869</v>
      </c>
      <c r="B238" s="112" t="s">
        <v>870</v>
      </c>
      <c r="C238" s="119">
        <v>5000000.0</v>
      </c>
      <c r="D238" s="124">
        <v>2018.0</v>
      </c>
      <c r="E238" s="101">
        <v>43191.0</v>
      </c>
      <c r="F238" s="34" t="s">
        <v>871</v>
      </c>
      <c r="G238" s="112" t="s">
        <v>43</v>
      </c>
      <c r="H238" s="112" t="s">
        <v>23</v>
      </c>
      <c r="I238" s="105" t="s">
        <v>29</v>
      </c>
      <c r="J238" s="23">
        <v>3.0</v>
      </c>
      <c r="K238" s="57"/>
      <c r="L238" s="120"/>
      <c r="M238" s="112" t="s">
        <v>688</v>
      </c>
      <c r="N238" s="121" t="s">
        <v>872</v>
      </c>
      <c r="O238" s="117"/>
      <c r="P238" s="32">
        <v>286.0</v>
      </c>
      <c r="Q238" s="32"/>
      <c r="R238" s="32"/>
      <c r="S238" s="32"/>
      <c r="T238" s="32"/>
      <c r="U238" s="32"/>
      <c r="V238" s="32"/>
      <c r="W238" s="32"/>
      <c r="X238" s="32"/>
      <c r="Y238" s="32"/>
      <c r="Z238" s="32"/>
    </row>
    <row r="239">
      <c r="A239" s="20" t="s">
        <v>873</v>
      </c>
      <c r="B239" s="26" t="s">
        <v>874</v>
      </c>
      <c r="C239" s="22">
        <v>1.4E7</v>
      </c>
      <c r="D239" s="23">
        <v>2018.0</v>
      </c>
      <c r="E239" s="101">
        <v>43191.0</v>
      </c>
      <c r="F239" s="26" t="s">
        <v>875</v>
      </c>
      <c r="G239" s="26" t="s">
        <v>28</v>
      </c>
      <c r="H239" s="26" t="s">
        <v>23</v>
      </c>
      <c r="I239" s="28"/>
      <c r="J239" s="23">
        <v>2.0</v>
      </c>
      <c r="K239" s="57"/>
      <c r="L239" s="110"/>
      <c r="M239" s="26" t="s">
        <v>876</v>
      </c>
      <c r="N239" s="106" t="s">
        <v>877</v>
      </c>
      <c r="O239" s="113"/>
      <c r="P239" s="32">
        <v>285.0</v>
      </c>
      <c r="Q239" s="32"/>
      <c r="R239" s="32"/>
      <c r="S239" s="32"/>
      <c r="T239" s="32"/>
      <c r="U239" s="32"/>
      <c r="V239" s="32"/>
      <c r="W239" s="32"/>
      <c r="X239" s="32"/>
      <c r="Y239" s="32"/>
      <c r="Z239" s="32"/>
    </row>
    <row r="240">
      <c r="A240" s="20" t="s">
        <v>878</v>
      </c>
      <c r="B240" s="26"/>
      <c r="C240" s="22">
        <v>1.48E7</v>
      </c>
      <c r="D240" s="23">
        <v>2018.0</v>
      </c>
      <c r="E240" s="101">
        <v>43313.0</v>
      </c>
      <c r="F240" s="26" t="s">
        <v>879</v>
      </c>
      <c r="G240" s="26" t="s">
        <v>28</v>
      </c>
      <c r="H240" s="26" t="s">
        <v>51</v>
      </c>
      <c r="I240" s="28"/>
      <c r="J240" s="23">
        <v>2.0</v>
      </c>
      <c r="K240" s="57"/>
      <c r="L240" s="110"/>
      <c r="M240" s="26" t="s">
        <v>880</v>
      </c>
      <c r="N240" s="106" t="s">
        <v>881</v>
      </c>
      <c r="O240" s="113"/>
      <c r="P240" s="32">
        <v>284.0</v>
      </c>
      <c r="Q240" s="32"/>
      <c r="R240" s="32"/>
      <c r="S240" s="32"/>
      <c r="T240" s="32"/>
      <c r="U240" s="32"/>
      <c r="V240" s="32"/>
      <c r="W240" s="32"/>
      <c r="X240" s="32"/>
      <c r="Y240" s="32"/>
      <c r="Z240" s="32"/>
    </row>
    <row r="241">
      <c r="A241" s="20" t="s">
        <v>882</v>
      </c>
      <c r="B241" s="26"/>
      <c r="C241" s="22">
        <v>380000.0</v>
      </c>
      <c r="D241" s="23">
        <v>2018.0</v>
      </c>
      <c r="E241" s="101">
        <v>43344.0</v>
      </c>
      <c r="F241" s="26" t="s">
        <v>883</v>
      </c>
      <c r="G241" s="26" t="s">
        <v>22</v>
      </c>
      <c r="H241" s="26" t="s">
        <v>23</v>
      </c>
      <c r="I241" s="28"/>
      <c r="J241" s="23">
        <v>4.0</v>
      </c>
      <c r="K241" s="57"/>
      <c r="L241" s="110"/>
      <c r="M241" s="26" t="s">
        <v>507</v>
      </c>
      <c r="N241" s="106" t="s">
        <v>884</v>
      </c>
      <c r="O241" s="113"/>
      <c r="P241" s="32">
        <v>283.0</v>
      </c>
      <c r="Q241" s="32"/>
      <c r="R241" s="32"/>
      <c r="S241" s="32"/>
      <c r="T241" s="32"/>
      <c r="U241" s="32"/>
      <c r="V241" s="32"/>
      <c r="W241" s="32"/>
      <c r="X241" s="32"/>
      <c r="Y241" s="32"/>
      <c r="Z241" s="32"/>
    </row>
    <row r="242">
      <c r="A242" s="20" t="s">
        <v>341</v>
      </c>
      <c r="B242" s="26"/>
      <c r="C242" s="22">
        <v>2000000.0</v>
      </c>
      <c r="D242" s="23">
        <v>2018.0</v>
      </c>
      <c r="E242" s="101">
        <v>43313.0</v>
      </c>
      <c r="F242" s="26" t="s">
        <v>885</v>
      </c>
      <c r="G242" s="26" t="s">
        <v>129</v>
      </c>
      <c r="H242" s="26" t="s">
        <v>23</v>
      </c>
      <c r="I242" s="28"/>
      <c r="J242" s="23">
        <v>1.0</v>
      </c>
      <c r="K242" s="57"/>
      <c r="L242" s="110"/>
      <c r="M242" s="26" t="s">
        <v>886</v>
      </c>
      <c r="N242" s="106" t="s">
        <v>887</v>
      </c>
      <c r="O242" s="113"/>
      <c r="P242" s="32">
        <v>282.0</v>
      </c>
      <c r="Q242" s="32"/>
      <c r="R242" s="32"/>
      <c r="S242" s="32"/>
      <c r="T242" s="32"/>
      <c r="U242" s="32"/>
      <c r="V242" s="32"/>
      <c r="W242" s="32"/>
      <c r="X242" s="32"/>
      <c r="Y242" s="32"/>
      <c r="Z242" s="32"/>
    </row>
    <row r="243">
      <c r="A243" s="118" t="s">
        <v>888</v>
      </c>
      <c r="B243" s="112" t="s">
        <v>889</v>
      </c>
      <c r="C243" s="119">
        <v>1.5E8</v>
      </c>
      <c r="D243" s="124">
        <v>2018.0</v>
      </c>
      <c r="E243" s="101">
        <v>43160.0</v>
      </c>
      <c r="F243" s="34" t="s">
        <v>890</v>
      </c>
      <c r="G243" s="26" t="s">
        <v>28</v>
      </c>
      <c r="H243" s="112" t="s">
        <v>23</v>
      </c>
      <c r="I243" s="120"/>
      <c r="J243" s="124">
        <v>1.0</v>
      </c>
      <c r="K243" s="27" t="s">
        <v>891</v>
      </c>
      <c r="L243" s="120"/>
      <c r="M243" s="112" t="s">
        <v>507</v>
      </c>
      <c r="N243" s="121" t="s">
        <v>892</v>
      </c>
      <c r="O243" s="117"/>
      <c r="P243" s="32">
        <v>281.0</v>
      </c>
      <c r="Q243" s="32"/>
      <c r="R243" s="32"/>
      <c r="S243" s="32"/>
      <c r="T243" s="32"/>
      <c r="U243" s="32"/>
      <c r="V243" s="32"/>
      <c r="W243" s="32"/>
      <c r="X243" s="32"/>
      <c r="Y243" s="32"/>
      <c r="Z243" s="32"/>
    </row>
    <row r="244">
      <c r="A244" s="20" t="s">
        <v>893</v>
      </c>
      <c r="B244" s="26" t="s">
        <v>894</v>
      </c>
      <c r="C244" s="22">
        <v>3000000.0</v>
      </c>
      <c r="D244" s="23">
        <v>2018.0</v>
      </c>
      <c r="E244" s="101">
        <v>43132.0</v>
      </c>
      <c r="F244" s="26" t="s">
        <v>895</v>
      </c>
      <c r="G244" s="26" t="s">
        <v>258</v>
      </c>
      <c r="H244" s="26" t="s">
        <v>23</v>
      </c>
      <c r="I244" s="28"/>
      <c r="J244" s="23">
        <v>4.0</v>
      </c>
      <c r="K244" s="57"/>
      <c r="L244" s="110"/>
      <c r="M244" s="26" t="s">
        <v>896</v>
      </c>
      <c r="N244" s="106" t="s">
        <v>897</v>
      </c>
      <c r="O244" s="113"/>
      <c r="P244" s="32">
        <v>280.0</v>
      </c>
      <c r="Q244" s="32"/>
      <c r="R244" s="32"/>
      <c r="S244" s="32"/>
      <c r="T244" s="32"/>
      <c r="U244" s="32"/>
      <c r="V244" s="32"/>
      <c r="W244" s="32"/>
      <c r="X244" s="32"/>
      <c r="Y244" s="32"/>
      <c r="Z244" s="32"/>
    </row>
    <row r="245">
      <c r="A245" s="20" t="s">
        <v>898</v>
      </c>
      <c r="B245" s="26" t="s">
        <v>899</v>
      </c>
      <c r="C245" s="22">
        <v>1.2E8</v>
      </c>
      <c r="D245" s="23">
        <v>2018.0</v>
      </c>
      <c r="E245" s="101">
        <v>43252.0</v>
      </c>
      <c r="F245" s="26" t="s">
        <v>900</v>
      </c>
      <c r="G245" s="26" t="s">
        <v>28</v>
      </c>
      <c r="H245" s="26" t="s">
        <v>51</v>
      </c>
      <c r="I245" s="26" t="s">
        <v>29</v>
      </c>
      <c r="J245" s="23">
        <v>1.0</v>
      </c>
      <c r="K245" s="27" t="s">
        <v>901</v>
      </c>
      <c r="L245" s="110"/>
      <c r="M245" s="26" t="s">
        <v>902</v>
      </c>
      <c r="N245" s="106" t="s">
        <v>903</v>
      </c>
      <c r="O245" s="113"/>
      <c r="P245" s="32">
        <v>279.0</v>
      </c>
      <c r="Q245" s="32"/>
      <c r="R245" s="32"/>
      <c r="S245" s="32"/>
      <c r="T245" s="32"/>
      <c r="U245" s="32"/>
      <c r="V245" s="32"/>
      <c r="W245" s="32"/>
      <c r="X245" s="32"/>
      <c r="Y245" s="32"/>
      <c r="Z245" s="32"/>
    </row>
    <row r="246">
      <c r="A246" s="20" t="s">
        <v>144</v>
      </c>
      <c r="B246" s="26"/>
      <c r="C246" s="22">
        <v>40000.0</v>
      </c>
      <c r="D246" s="23">
        <v>2018.0</v>
      </c>
      <c r="E246" s="101">
        <v>43252.0</v>
      </c>
      <c r="F246" s="26" t="s">
        <v>904</v>
      </c>
      <c r="G246" s="26" t="s">
        <v>28</v>
      </c>
      <c r="H246" s="26" t="s">
        <v>23</v>
      </c>
      <c r="I246" s="28"/>
      <c r="J246" s="23">
        <v>3.0</v>
      </c>
      <c r="K246" s="57"/>
      <c r="L246" s="110"/>
      <c r="M246" s="53" t="s">
        <v>905</v>
      </c>
      <c r="N246" s="125" t="s">
        <v>906</v>
      </c>
      <c r="O246" s="117"/>
      <c r="P246" s="32">
        <v>278.0</v>
      </c>
      <c r="Q246" s="32"/>
      <c r="R246" s="32"/>
      <c r="S246" s="32"/>
      <c r="T246" s="32"/>
      <c r="U246" s="32"/>
      <c r="V246" s="32"/>
      <c r="W246" s="32"/>
      <c r="X246" s="32"/>
      <c r="Y246" s="32"/>
      <c r="Z246" s="32"/>
    </row>
    <row r="247">
      <c r="A247" s="20" t="s">
        <v>907</v>
      </c>
      <c r="B247" s="126" t="s">
        <v>908</v>
      </c>
      <c r="C247" s="22">
        <v>1.0E8</v>
      </c>
      <c r="D247" s="23">
        <v>2018.0</v>
      </c>
      <c r="E247" s="101">
        <v>43252.0</v>
      </c>
      <c r="F247" s="26" t="s">
        <v>909</v>
      </c>
      <c r="G247" s="26" t="s">
        <v>28</v>
      </c>
      <c r="H247" s="26" t="s">
        <v>51</v>
      </c>
      <c r="I247" s="28"/>
      <c r="J247" s="23">
        <v>5.0</v>
      </c>
      <c r="K247" s="27" t="s">
        <v>517</v>
      </c>
      <c r="L247" s="110"/>
      <c r="M247" s="26" t="s">
        <v>85</v>
      </c>
      <c r="N247" s="106" t="s">
        <v>910</v>
      </c>
      <c r="O247" s="113"/>
      <c r="P247" s="32">
        <v>277.0</v>
      </c>
      <c r="Q247" s="32"/>
      <c r="R247" s="32"/>
      <c r="S247" s="32"/>
      <c r="T247" s="32"/>
      <c r="U247" s="32"/>
      <c r="V247" s="32"/>
      <c r="W247" s="32"/>
      <c r="X247" s="32"/>
      <c r="Y247" s="32"/>
      <c r="Z247" s="32"/>
    </row>
    <row r="248">
      <c r="A248" s="20" t="s">
        <v>911</v>
      </c>
      <c r="B248" s="26" t="s">
        <v>912</v>
      </c>
      <c r="C248" s="22">
        <v>5.5E8</v>
      </c>
      <c r="D248" s="23">
        <v>2018.0</v>
      </c>
      <c r="E248" s="101">
        <v>43160.0</v>
      </c>
      <c r="F248" s="26" t="s">
        <v>913</v>
      </c>
      <c r="G248" s="26" t="s">
        <v>64</v>
      </c>
      <c r="H248" s="127" t="s">
        <v>51</v>
      </c>
      <c r="I248" s="28"/>
      <c r="J248" s="23">
        <v>4.0</v>
      </c>
      <c r="K248" s="27" t="s">
        <v>914</v>
      </c>
      <c r="L248" s="110"/>
      <c r="M248" s="26" t="s">
        <v>571</v>
      </c>
      <c r="N248" s="106" t="s">
        <v>915</v>
      </c>
      <c r="O248" s="113"/>
      <c r="P248" s="32">
        <v>276.0</v>
      </c>
      <c r="Q248" s="32"/>
      <c r="R248" s="32"/>
      <c r="S248" s="32"/>
      <c r="T248" s="32"/>
      <c r="U248" s="32"/>
      <c r="V248" s="32"/>
      <c r="W248" s="32"/>
      <c r="X248" s="32"/>
      <c r="Y248" s="32"/>
      <c r="Z248" s="32"/>
    </row>
    <row r="249">
      <c r="A249" s="20" t="s">
        <v>916</v>
      </c>
      <c r="B249" s="26"/>
      <c r="C249" s="22">
        <v>3000000.0</v>
      </c>
      <c r="D249" s="23">
        <v>2018.0</v>
      </c>
      <c r="E249" s="101">
        <v>43160.0</v>
      </c>
      <c r="F249" s="26" t="s">
        <v>917</v>
      </c>
      <c r="G249" s="26" t="s">
        <v>28</v>
      </c>
      <c r="H249" s="26" t="s">
        <v>51</v>
      </c>
      <c r="I249" s="28"/>
      <c r="J249" s="23">
        <v>3.0</v>
      </c>
      <c r="K249" s="57"/>
      <c r="L249" s="110"/>
      <c r="M249" s="26" t="s">
        <v>918</v>
      </c>
      <c r="N249" s="106" t="s">
        <v>919</v>
      </c>
      <c r="O249" s="113"/>
      <c r="P249" s="32">
        <v>275.0</v>
      </c>
      <c r="Q249" s="32"/>
      <c r="R249" s="32"/>
      <c r="S249" s="32"/>
      <c r="T249" s="32"/>
      <c r="U249" s="32"/>
      <c r="V249" s="32"/>
      <c r="W249" s="32"/>
      <c r="X249" s="32"/>
      <c r="Y249" s="32"/>
      <c r="Z249" s="32"/>
    </row>
    <row r="250">
      <c r="A250" s="20" t="s">
        <v>920</v>
      </c>
      <c r="B250" s="26"/>
      <c r="C250" s="22">
        <v>880000.0</v>
      </c>
      <c r="D250" s="23">
        <v>2018.0</v>
      </c>
      <c r="E250" s="101">
        <v>43160.0</v>
      </c>
      <c r="F250" s="26" t="s">
        <v>921</v>
      </c>
      <c r="G250" s="26" t="s">
        <v>28</v>
      </c>
      <c r="H250" s="26" t="s">
        <v>23</v>
      </c>
      <c r="I250" s="28"/>
      <c r="J250" s="23">
        <v>3.0</v>
      </c>
      <c r="K250" s="57"/>
      <c r="L250" s="110"/>
      <c r="M250" s="26" t="s">
        <v>922</v>
      </c>
      <c r="N250" s="106" t="s">
        <v>923</v>
      </c>
      <c r="O250" s="113"/>
      <c r="P250" s="32">
        <v>274.0</v>
      </c>
      <c r="Q250" s="32"/>
      <c r="R250" s="32"/>
      <c r="S250" s="32"/>
      <c r="T250" s="32"/>
      <c r="U250" s="32"/>
      <c r="V250" s="32"/>
      <c r="W250" s="32"/>
      <c r="X250" s="32"/>
      <c r="Y250" s="32"/>
      <c r="Z250" s="32"/>
    </row>
    <row r="251">
      <c r="A251" s="20" t="s">
        <v>924</v>
      </c>
      <c r="B251" s="26" t="s">
        <v>925</v>
      </c>
      <c r="C251" s="22">
        <v>1300000.0</v>
      </c>
      <c r="D251" s="23">
        <v>2018.0</v>
      </c>
      <c r="E251" s="101">
        <v>43160.0</v>
      </c>
      <c r="F251" s="26" t="s">
        <v>926</v>
      </c>
      <c r="G251" s="26" t="s">
        <v>43</v>
      </c>
      <c r="H251" s="127" t="s">
        <v>51</v>
      </c>
      <c r="I251" s="28"/>
      <c r="J251" s="23">
        <v>4.0</v>
      </c>
      <c r="K251" s="57"/>
      <c r="L251" s="123"/>
      <c r="M251" s="26" t="s">
        <v>927</v>
      </c>
      <c r="N251" s="106" t="s">
        <v>928</v>
      </c>
      <c r="O251" s="113"/>
      <c r="P251" s="32">
        <v>273.0</v>
      </c>
      <c r="Q251" s="32"/>
      <c r="R251" s="32"/>
      <c r="S251" s="32"/>
      <c r="T251" s="32"/>
      <c r="U251" s="32"/>
      <c r="V251" s="32"/>
      <c r="W251" s="32"/>
      <c r="X251" s="32"/>
      <c r="Y251" s="32"/>
      <c r="Z251" s="32"/>
    </row>
    <row r="252">
      <c r="A252" s="20" t="s">
        <v>929</v>
      </c>
      <c r="B252" s="26" t="s">
        <v>930</v>
      </c>
      <c r="C252" s="22">
        <v>4.8E7</v>
      </c>
      <c r="D252" s="23">
        <v>2018.0</v>
      </c>
      <c r="E252" s="101">
        <v>43221.0</v>
      </c>
      <c r="F252" s="26" t="s">
        <v>931</v>
      </c>
      <c r="G252" s="26" t="s">
        <v>28</v>
      </c>
      <c r="H252" s="26" t="s">
        <v>51</v>
      </c>
      <c r="I252" s="28"/>
      <c r="J252" s="23">
        <v>2.0</v>
      </c>
      <c r="K252" s="57"/>
      <c r="L252" s="110"/>
      <c r="M252" s="26" t="s">
        <v>932</v>
      </c>
      <c r="N252" s="106" t="s">
        <v>933</v>
      </c>
      <c r="O252" s="113"/>
      <c r="P252" s="32">
        <v>272.0</v>
      </c>
      <c r="Q252" s="32"/>
      <c r="R252" s="32"/>
      <c r="S252" s="32"/>
      <c r="T252" s="32"/>
      <c r="U252" s="32"/>
      <c r="V252" s="32"/>
      <c r="W252" s="32"/>
      <c r="X252" s="32"/>
      <c r="Y252" s="32"/>
      <c r="Z252" s="32"/>
    </row>
    <row r="253">
      <c r="A253" s="20" t="s">
        <v>407</v>
      </c>
      <c r="B253" s="26"/>
      <c r="C253" s="22">
        <v>3.3E8</v>
      </c>
      <c r="D253" s="23">
        <v>2018.0</v>
      </c>
      <c r="E253" s="101">
        <v>43221.0</v>
      </c>
      <c r="F253" s="26" t="s">
        <v>934</v>
      </c>
      <c r="G253" s="26" t="s">
        <v>50</v>
      </c>
      <c r="H253" s="26" t="s">
        <v>51</v>
      </c>
      <c r="I253" s="28"/>
      <c r="J253" s="23">
        <v>1.0</v>
      </c>
      <c r="K253" s="27" t="s">
        <v>935</v>
      </c>
      <c r="L253" s="110"/>
      <c r="M253" s="26" t="s">
        <v>286</v>
      </c>
      <c r="N253" s="106" t="s">
        <v>936</v>
      </c>
      <c r="O253" s="113"/>
      <c r="P253" s="32">
        <v>271.0</v>
      </c>
      <c r="Q253" s="32"/>
      <c r="R253" s="32"/>
      <c r="S253" s="32"/>
      <c r="T253" s="32"/>
      <c r="U253" s="32"/>
      <c r="V253" s="32"/>
      <c r="W253" s="32"/>
      <c r="X253" s="32"/>
      <c r="Y253" s="32"/>
      <c r="Z253" s="32"/>
    </row>
    <row r="254">
      <c r="A254" s="118" t="s">
        <v>937</v>
      </c>
      <c r="B254" s="112" t="s">
        <v>938</v>
      </c>
      <c r="C254" s="119">
        <v>934000.0</v>
      </c>
      <c r="D254" s="124">
        <v>2018.0</v>
      </c>
      <c r="E254" s="101">
        <v>43221.0</v>
      </c>
      <c r="F254" s="34" t="s">
        <v>939</v>
      </c>
      <c r="G254" s="127" t="s">
        <v>22</v>
      </c>
      <c r="H254" s="105" t="s">
        <v>142</v>
      </c>
      <c r="I254" s="128"/>
      <c r="J254" s="129">
        <v>4.0</v>
      </c>
      <c r="K254" s="57"/>
      <c r="L254" s="120"/>
      <c r="M254" s="53" t="s">
        <v>940</v>
      </c>
      <c r="N254" s="121" t="s">
        <v>941</v>
      </c>
      <c r="O254" s="117"/>
      <c r="P254" s="32">
        <v>270.0</v>
      </c>
      <c r="Q254" s="32"/>
      <c r="R254" s="32"/>
      <c r="S254" s="32"/>
      <c r="T254" s="32"/>
      <c r="U254" s="32"/>
      <c r="V254" s="32"/>
      <c r="W254" s="32"/>
      <c r="X254" s="32"/>
      <c r="Y254" s="32"/>
      <c r="Z254" s="32"/>
    </row>
    <row r="255">
      <c r="A255" s="20" t="s">
        <v>942</v>
      </c>
      <c r="B255" s="26"/>
      <c r="C255" s="22">
        <v>2.7E7</v>
      </c>
      <c r="D255" s="23">
        <v>2018.0</v>
      </c>
      <c r="E255" s="101">
        <v>43221.0</v>
      </c>
      <c r="F255" s="26" t="s">
        <v>943</v>
      </c>
      <c r="G255" s="26" t="s">
        <v>28</v>
      </c>
      <c r="H255" s="26" t="s">
        <v>23</v>
      </c>
      <c r="I255" s="28"/>
      <c r="J255" s="23">
        <v>2.0</v>
      </c>
      <c r="K255" s="57"/>
      <c r="L255" s="110"/>
      <c r="M255" s="26" t="s">
        <v>314</v>
      </c>
      <c r="N255" s="106" t="s">
        <v>944</v>
      </c>
      <c r="O255" s="113"/>
      <c r="P255" s="32">
        <v>269.0</v>
      </c>
      <c r="Q255" s="32"/>
      <c r="R255" s="32"/>
      <c r="S255" s="32"/>
      <c r="T255" s="32"/>
      <c r="U255" s="32"/>
      <c r="V255" s="32"/>
      <c r="W255" s="32"/>
      <c r="X255" s="32"/>
      <c r="Y255" s="32"/>
      <c r="Z255" s="32"/>
    </row>
    <row r="256">
      <c r="A256" s="20" t="s">
        <v>945</v>
      </c>
      <c r="B256" s="111"/>
      <c r="C256" s="22">
        <v>5000000.0</v>
      </c>
      <c r="D256" s="23">
        <v>2018.0</v>
      </c>
      <c r="E256" s="101">
        <v>43405.0</v>
      </c>
      <c r="F256" s="26" t="s">
        <v>946</v>
      </c>
      <c r="G256" s="26" t="s">
        <v>43</v>
      </c>
      <c r="H256" s="105" t="s">
        <v>142</v>
      </c>
      <c r="I256" s="28"/>
      <c r="J256" s="23">
        <v>1.0</v>
      </c>
      <c r="K256" s="27"/>
      <c r="L256" s="28"/>
      <c r="M256" s="105" t="s">
        <v>507</v>
      </c>
      <c r="N256" s="106" t="s">
        <v>947</v>
      </c>
      <c r="O256" s="109"/>
      <c r="P256" s="32">
        <v>268.0</v>
      </c>
      <c r="Q256" s="32"/>
      <c r="R256" s="32"/>
      <c r="S256" s="32"/>
      <c r="T256" s="32"/>
      <c r="U256" s="32"/>
      <c r="V256" s="32"/>
      <c r="W256" s="32"/>
      <c r="X256" s="32"/>
      <c r="Y256" s="32"/>
      <c r="Z256" s="32"/>
    </row>
    <row r="257">
      <c r="A257" s="20" t="s">
        <v>948</v>
      </c>
      <c r="B257" s="26" t="s">
        <v>949</v>
      </c>
      <c r="C257" s="22">
        <v>309000.0</v>
      </c>
      <c r="D257" s="23">
        <v>2018.0</v>
      </c>
      <c r="E257" s="101">
        <v>43405.0</v>
      </c>
      <c r="F257" s="26" t="s">
        <v>950</v>
      </c>
      <c r="G257" s="26" t="s">
        <v>28</v>
      </c>
      <c r="H257" s="105" t="s">
        <v>51</v>
      </c>
      <c r="I257" s="28"/>
      <c r="J257" s="23">
        <v>2.0</v>
      </c>
      <c r="K257" s="27"/>
      <c r="L257" s="110"/>
      <c r="M257" s="26" t="s">
        <v>34</v>
      </c>
      <c r="N257" s="106" t="s">
        <v>951</v>
      </c>
      <c r="O257" s="113"/>
      <c r="P257" s="32">
        <v>267.0</v>
      </c>
      <c r="Q257" s="32"/>
      <c r="R257" s="32"/>
      <c r="S257" s="32"/>
      <c r="T257" s="32"/>
      <c r="U257" s="32"/>
      <c r="V257" s="32"/>
      <c r="W257" s="32"/>
      <c r="X257" s="32"/>
      <c r="Y257" s="32"/>
      <c r="Z257" s="32"/>
    </row>
    <row r="258">
      <c r="A258" s="20" t="s">
        <v>952</v>
      </c>
      <c r="B258" s="26"/>
      <c r="C258" s="22">
        <v>100000.0</v>
      </c>
      <c r="D258" s="23">
        <v>2018.0</v>
      </c>
      <c r="E258" s="101">
        <v>43405.0</v>
      </c>
      <c r="F258" s="26" t="s">
        <v>953</v>
      </c>
      <c r="G258" s="26" t="s">
        <v>50</v>
      </c>
      <c r="H258" s="105" t="s">
        <v>23</v>
      </c>
      <c r="I258" s="28"/>
      <c r="J258" s="23">
        <v>1.0</v>
      </c>
      <c r="K258" s="27"/>
      <c r="L258" s="110"/>
      <c r="M258" s="26" t="s">
        <v>608</v>
      </c>
      <c r="N258" s="106" t="s">
        <v>954</v>
      </c>
      <c r="O258" s="113"/>
      <c r="P258" s="32">
        <v>266.0</v>
      </c>
      <c r="Q258" s="32"/>
      <c r="R258" s="32"/>
      <c r="S258" s="32"/>
      <c r="T258" s="32"/>
      <c r="U258" s="32"/>
      <c r="V258" s="32"/>
      <c r="W258" s="32"/>
      <c r="X258" s="32"/>
      <c r="Y258" s="32"/>
      <c r="Z258" s="32"/>
    </row>
    <row r="259">
      <c r="A259" s="20" t="s">
        <v>955</v>
      </c>
      <c r="B259" s="111" t="s">
        <v>956</v>
      </c>
      <c r="C259" s="22">
        <v>411000.0</v>
      </c>
      <c r="D259" s="23">
        <v>2018.0</v>
      </c>
      <c r="E259" s="101">
        <v>43405.0</v>
      </c>
      <c r="F259" s="26" t="s">
        <v>957</v>
      </c>
      <c r="G259" s="130" t="s">
        <v>28</v>
      </c>
      <c r="H259" s="26" t="s">
        <v>23</v>
      </c>
      <c r="I259" s="28"/>
      <c r="J259" s="23">
        <v>2.0</v>
      </c>
      <c r="K259" s="27"/>
      <c r="L259" s="28"/>
      <c r="M259" s="105" t="s">
        <v>958</v>
      </c>
      <c r="N259" s="106" t="s">
        <v>959</v>
      </c>
      <c r="O259" s="109"/>
      <c r="P259" s="32">
        <v>265.0</v>
      </c>
      <c r="Q259" s="32"/>
      <c r="R259" s="32"/>
      <c r="S259" s="32"/>
      <c r="T259" s="32"/>
      <c r="U259" s="32"/>
      <c r="V259" s="32"/>
      <c r="W259" s="32"/>
      <c r="X259" s="32"/>
      <c r="Y259" s="32"/>
      <c r="Z259" s="32"/>
    </row>
    <row r="260">
      <c r="A260" s="20" t="s">
        <v>960</v>
      </c>
      <c r="B260" s="26"/>
      <c r="C260" s="22">
        <v>3.2E7</v>
      </c>
      <c r="D260" s="23">
        <v>2018.0</v>
      </c>
      <c r="E260" s="101">
        <v>43405.0</v>
      </c>
      <c r="F260" s="26" t="s">
        <v>961</v>
      </c>
      <c r="G260" s="26" t="s">
        <v>129</v>
      </c>
      <c r="H260" s="105" t="s">
        <v>51</v>
      </c>
      <c r="I260" s="28"/>
      <c r="J260" s="23">
        <v>1.0</v>
      </c>
      <c r="K260" s="27"/>
      <c r="L260" s="110"/>
      <c r="M260" s="26" t="s">
        <v>85</v>
      </c>
      <c r="N260" s="106" t="s">
        <v>962</v>
      </c>
      <c r="O260" s="113"/>
      <c r="P260" s="32">
        <v>264.0</v>
      </c>
      <c r="Q260" s="32"/>
      <c r="R260" s="32"/>
      <c r="S260" s="32"/>
      <c r="T260" s="32"/>
      <c r="U260" s="32"/>
      <c r="V260" s="32"/>
      <c r="W260" s="32"/>
      <c r="X260" s="32"/>
      <c r="Y260" s="32"/>
      <c r="Z260" s="32"/>
    </row>
    <row r="261">
      <c r="A261" s="20" t="s">
        <v>963</v>
      </c>
      <c r="B261" s="26" t="s">
        <v>964</v>
      </c>
      <c r="C261" s="22">
        <v>16300.0</v>
      </c>
      <c r="D261" s="23">
        <v>2018.0</v>
      </c>
      <c r="E261" s="101">
        <v>43405.0</v>
      </c>
      <c r="F261" s="26" t="s">
        <v>965</v>
      </c>
      <c r="G261" s="26" t="s">
        <v>43</v>
      </c>
      <c r="H261" s="105" t="s">
        <v>23</v>
      </c>
      <c r="I261" s="28"/>
      <c r="J261" s="23">
        <v>4.0</v>
      </c>
      <c r="K261" s="27"/>
      <c r="L261" s="110"/>
      <c r="M261" s="26" t="s">
        <v>147</v>
      </c>
      <c r="N261" s="106" t="s">
        <v>966</v>
      </c>
      <c r="O261" s="113"/>
      <c r="P261" s="32">
        <v>263.0</v>
      </c>
      <c r="Q261" s="32"/>
      <c r="R261" s="32"/>
      <c r="S261" s="32"/>
      <c r="T261" s="32"/>
      <c r="U261" s="32"/>
      <c r="V261" s="32"/>
      <c r="W261" s="32"/>
      <c r="X261" s="32"/>
      <c r="Y261" s="32"/>
      <c r="Z261" s="32"/>
    </row>
    <row r="262">
      <c r="A262" s="20" t="s">
        <v>967</v>
      </c>
      <c r="B262" s="111" t="s">
        <v>968</v>
      </c>
      <c r="C262" s="22">
        <v>93689.0</v>
      </c>
      <c r="D262" s="23">
        <v>2018.0</v>
      </c>
      <c r="E262" s="101">
        <v>43405.0</v>
      </c>
      <c r="F262" s="26" t="s">
        <v>969</v>
      </c>
      <c r="G262" s="26" t="s">
        <v>258</v>
      </c>
      <c r="H262" s="26" t="s">
        <v>23</v>
      </c>
      <c r="I262" s="28"/>
      <c r="J262" s="23">
        <v>2.0</v>
      </c>
      <c r="K262" s="27"/>
      <c r="L262" s="28"/>
      <c r="M262" s="105" t="s">
        <v>970</v>
      </c>
      <c r="N262" s="106" t="s">
        <v>971</v>
      </c>
      <c r="O262" s="109"/>
      <c r="P262" s="32">
        <v>262.0</v>
      </c>
      <c r="Q262" s="32"/>
      <c r="R262" s="32"/>
      <c r="S262" s="32"/>
      <c r="T262" s="32"/>
      <c r="U262" s="32"/>
      <c r="V262" s="32"/>
      <c r="W262" s="32"/>
      <c r="X262" s="32"/>
      <c r="Y262" s="32"/>
      <c r="Z262" s="32"/>
    </row>
    <row r="263">
      <c r="A263" s="20" t="s">
        <v>588</v>
      </c>
      <c r="B263" s="26"/>
      <c r="C263" s="22">
        <v>2.9E7</v>
      </c>
      <c r="D263" s="23">
        <v>2018.0</v>
      </c>
      <c r="E263" s="101">
        <v>43374.0</v>
      </c>
      <c r="F263" s="26" t="s">
        <v>972</v>
      </c>
      <c r="G263" s="26" t="s">
        <v>28</v>
      </c>
      <c r="H263" s="26" t="s">
        <v>23</v>
      </c>
      <c r="I263" s="28"/>
      <c r="J263" s="23">
        <v>2.0</v>
      </c>
      <c r="K263" s="57"/>
      <c r="L263" s="110"/>
      <c r="M263" s="26" t="s">
        <v>973</v>
      </c>
      <c r="N263" s="106" t="s">
        <v>974</v>
      </c>
      <c r="O263" s="106" t="s">
        <v>975</v>
      </c>
      <c r="P263" s="32">
        <v>261.0</v>
      </c>
      <c r="Q263" s="32"/>
      <c r="R263" s="32"/>
      <c r="S263" s="32"/>
      <c r="T263" s="32"/>
      <c r="U263" s="32"/>
      <c r="V263" s="32"/>
      <c r="W263" s="32"/>
      <c r="X263" s="32"/>
      <c r="Y263" s="32"/>
      <c r="Z263" s="32"/>
    </row>
    <row r="264">
      <c r="A264" s="20" t="s">
        <v>976</v>
      </c>
      <c r="B264" s="26"/>
      <c r="C264" s="22">
        <v>4.5E7</v>
      </c>
      <c r="D264" s="23">
        <v>2018.0</v>
      </c>
      <c r="E264" s="101">
        <v>43344.0</v>
      </c>
      <c r="F264" s="26" t="s">
        <v>977</v>
      </c>
      <c r="G264" s="26" t="s">
        <v>43</v>
      </c>
      <c r="H264" s="26" t="s">
        <v>23</v>
      </c>
      <c r="I264" s="26" t="s">
        <v>29</v>
      </c>
      <c r="J264" s="23">
        <v>3.0</v>
      </c>
      <c r="K264" s="57"/>
      <c r="L264" s="110"/>
      <c r="M264" s="26" t="s">
        <v>880</v>
      </c>
      <c r="N264" s="106" t="s">
        <v>978</v>
      </c>
      <c r="O264" s="113"/>
      <c r="P264" s="32">
        <v>260.0</v>
      </c>
      <c r="Q264" s="32"/>
      <c r="R264" s="32"/>
      <c r="S264" s="32"/>
      <c r="T264" s="32"/>
      <c r="U264" s="32"/>
      <c r="V264" s="32"/>
      <c r="W264" s="32"/>
      <c r="X264" s="32"/>
      <c r="Y264" s="32"/>
      <c r="Z264" s="32"/>
    </row>
    <row r="265">
      <c r="A265" s="20" t="s">
        <v>979</v>
      </c>
      <c r="B265" s="98" t="s">
        <v>980</v>
      </c>
      <c r="C265" s="22">
        <v>1100.0</v>
      </c>
      <c r="D265" s="23">
        <v>2016.0</v>
      </c>
      <c r="E265" s="101">
        <v>42430.0</v>
      </c>
      <c r="F265" s="26" t="s">
        <v>981</v>
      </c>
      <c r="G265" s="26" t="s">
        <v>58</v>
      </c>
      <c r="H265" s="26" t="s">
        <v>59</v>
      </c>
      <c r="I265" s="28"/>
      <c r="J265" s="23">
        <v>5.0</v>
      </c>
      <c r="K265" s="27" t="s">
        <v>982</v>
      </c>
      <c r="L265" s="28"/>
      <c r="M265" s="34" t="s">
        <v>983</v>
      </c>
      <c r="N265" s="102" t="s">
        <v>984</v>
      </c>
      <c r="O265" s="31"/>
      <c r="P265" s="32">
        <v>259.0</v>
      </c>
      <c r="Q265" s="32"/>
      <c r="R265" s="32"/>
      <c r="S265" s="32"/>
      <c r="T265" s="32"/>
      <c r="U265" s="32"/>
      <c r="V265" s="32"/>
      <c r="W265" s="32"/>
      <c r="X265" s="32"/>
      <c r="Y265" s="32"/>
      <c r="Z265" s="32"/>
    </row>
    <row r="266">
      <c r="A266" s="20" t="s">
        <v>985</v>
      </c>
      <c r="B266" s="98" t="s">
        <v>986</v>
      </c>
      <c r="C266" s="22">
        <v>2.0E8</v>
      </c>
      <c r="D266" s="23">
        <v>2018.0</v>
      </c>
      <c r="E266" s="101">
        <v>43221.0</v>
      </c>
      <c r="F266" s="26" t="s">
        <v>987</v>
      </c>
      <c r="G266" s="26" t="s">
        <v>50</v>
      </c>
      <c r="H266" s="26" t="s">
        <v>51</v>
      </c>
      <c r="I266" s="28"/>
      <c r="J266" s="23">
        <v>1.0</v>
      </c>
      <c r="K266" s="27" t="s">
        <v>294</v>
      </c>
      <c r="L266" s="28"/>
      <c r="M266" s="34" t="s">
        <v>410</v>
      </c>
      <c r="N266" s="102" t="s">
        <v>988</v>
      </c>
      <c r="O266" s="31"/>
      <c r="P266" s="32">
        <v>258.0</v>
      </c>
      <c r="Q266" s="32"/>
      <c r="R266" s="32"/>
      <c r="S266" s="32"/>
      <c r="T266" s="32"/>
      <c r="U266" s="32"/>
      <c r="V266" s="32"/>
      <c r="W266" s="32"/>
      <c r="X266" s="32"/>
      <c r="Y266" s="32"/>
      <c r="Z266" s="32"/>
    </row>
    <row r="267">
      <c r="A267" s="131" t="s">
        <v>989</v>
      </c>
      <c r="B267" s="132"/>
      <c r="C267" s="133">
        <v>1.75E7</v>
      </c>
      <c r="D267" s="23">
        <v>2017.0</v>
      </c>
      <c r="E267" s="134">
        <v>43070.0</v>
      </c>
      <c r="F267" s="105" t="s">
        <v>990</v>
      </c>
      <c r="G267" s="120" t="s">
        <v>28</v>
      </c>
      <c r="H267" s="120" t="s">
        <v>23</v>
      </c>
      <c r="I267" s="120"/>
      <c r="J267" s="129">
        <v>4.0</v>
      </c>
      <c r="K267" s="57"/>
      <c r="L267" s="120"/>
      <c r="M267" s="120" t="s">
        <v>608</v>
      </c>
      <c r="N267" s="122" t="s">
        <v>991</v>
      </c>
      <c r="O267" s="117"/>
      <c r="P267" s="32">
        <v>257.0</v>
      </c>
      <c r="Q267" s="32"/>
      <c r="R267" s="32"/>
      <c r="S267" s="32"/>
      <c r="T267" s="32"/>
      <c r="U267" s="32"/>
      <c r="V267" s="32"/>
      <c r="W267" s="32"/>
      <c r="X267" s="32"/>
      <c r="Y267" s="32"/>
      <c r="Z267" s="32"/>
    </row>
    <row r="268">
      <c r="A268" s="20" t="s">
        <v>992</v>
      </c>
      <c r="B268" s="26"/>
      <c r="C268" s="22">
        <v>300000.0</v>
      </c>
      <c r="D268" s="23">
        <v>2017.0</v>
      </c>
      <c r="E268" s="101">
        <v>43070.0</v>
      </c>
      <c r="F268" s="26" t="s">
        <v>993</v>
      </c>
      <c r="G268" s="26" t="s">
        <v>28</v>
      </c>
      <c r="H268" s="130" t="s">
        <v>51</v>
      </c>
      <c r="I268" s="26" t="s">
        <v>29</v>
      </c>
      <c r="J268" s="23">
        <v>4.0</v>
      </c>
      <c r="K268" s="57"/>
      <c r="L268" s="110"/>
      <c r="M268" s="26" t="s">
        <v>994</v>
      </c>
      <c r="N268" s="106" t="s">
        <v>995</v>
      </c>
      <c r="O268" s="113"/>
      <c r="P268" s="32">
        <v>256.0</v>
      </c>
      <c r="Q268" s="32"/>
      <c r="R268" s="32"/>
      <c r="S268" s="32"/>
      <c r="T268" s="32"/>
      <c r="U268" s="32"/>
      <c r="V268" s="32"/>
      <c r="W268" s="32"/>
      <c r="X268" s="32"/>
      <c r="Y268" s="32"/>
      <c r="Z268" s="32"/>
    </row>
    <row r="269">
      <c r="A269" s="20" t="s">
        <v>996</v>
      </c>
      <c r="B269" s="26"/>
      <c r="C269" s="22">
        <v>3.2E7</v>
      </c>
      <c r="D269" s="23">
        <v>2017.0</v>
      </c>
      <c r="E269" s="101">
        <v>42795.0</v>
      </c>
      <c r="F269" s="26" t="s">
        <v>997</v>
      </c>
      <c r="G269" s="26" t="s">
        <v>28</v>
      </c>
      <c r="H269" s="26" t="s">
        <v>23</v>
      </c>
      <c r="I269" s="28"/>
      <c r="J269" s="23">
        <v>4.0</v>
      </c>
      <c r="K269" s="57"/>
      <c r="L269" s="28"/>
      <c r="M269" s="53" t="s">
        <v>998</v>
      </c>
      <c r="N269" s="106" t="s">
        <v>999</v>
      </c>
      <c r="O269" s="113"/>
      <c r="P269" s="32">
        <v>255.0</v>
      </c>
      <c r="Q269" s="32"/>
      <c r="R269" s="32"/>
      <c r="S269" s="32"/>
      <c r="T269" s="32"/>
      <c r="U269" s="32"/>
      <c r="V269" s="32"/>
      <c r="W269" s="32"/>
      <c r="X269" s="32"/>
      <c r="Y269" s="32"/>
      <c r="Z269" s="32"/>
    </row>
    <row r="270">
      <c r="A270" s="20" t="s">
        <v>288</v>
      </c>
      <c r="B270" s="26"/>
      <c r="C270" s="22">
        <v>5.7E7</v>
      </c>
      <c r="D270" s="129">
        <v>2017.0</v>
      </c>
      <c r="E270" s="101">
        <v>43040.0</v>
      </c>
      <c r="F270" s="26" t="s">
        <v>1000</v>
      </c>
      <c r="G270" s="26" t="s">
        <v>28</v>
      </c>
      <c r="H270" s="26" t="s">
        <v>23</v>
      </c>
      <c r="I270" s="26" t="s">
        <v>29</v>
      </c>
      <c r="J270" s="23">
        <v>1.0</v>
      </c>
      <c r="K270" s="27" t="s">
        <v>1001</v>
      </c>
      <c r="L270" s="120"/>
      <c r="M270" s="105" t="s">
        <v>867</v>
      </c>
      <c r="N270" s="106" t="s">
        <v>1002</v>
      </c>
      <c r="O270" s="113"/>
      <c r="P270" s="32">
        <v>254.0</v>
      </c>
      <c r="Q270" s="32"/>
      <c r="R270" s="32"/>
      <c r="S270" s="32"/>
      <c r="T270" s="32"/>
      <c r="U270" s="32"/>
      <c r="V270" s="32"/>
      <c r="W270" s="32"/>
      <c r="X270" s="32"/>
      <c r="Y270" s="32"/>
      <c r="Z270" s="32"/>
    </row>
    <row r="271">
      <c r="A271" s="20" t="s">
        <v>1003</v>
      </c>
      <c r="B271" s="26"/>
      <c r="C271" s="22">
        <v>270000.0</v>
      </c>
      <c r="D271" s="23">
        <v>2017.0</v>
      </c>
      <c r="E271" s="101">
        <v>42826.0</v>
      </c>
      <c r="F271" s="26" t="s">
        <v>1004</v>
      </c>
      <c r="G271" s="26" t="s">
        <v>58</v>
      </c>
      <c r="H271" s="26" t="s">
        <v>23</v>
      </c>
      <c r="I271" s="28"/>
      <c r="J271" s="23">
        <v>4.0</v>
      </c>
      <c r="K271" s="57"/>
      <c r="L271" s="28"/>
      <c r="M271" s="53" t="s">
        <v>325</v>
      </c>
      <c r="N271" s="106" t="s">
        <v>1005</v>
      </c>
      <c r="O271" s="113"/>
      <c r="P271" s="32">
        <v>253.0</v>
      </c>
      <c r="Q271" s="32"/>
      <c r="R271" s="32"/>
      <c r="S271" s="32"/>
      <c r="T271" s="32"/>
      <c r="U271" s="32"/>
      <c r="V271" s="32"/>
      <c r="W271" s="32"/>
      <c r="X271" s="32"/>
      <c r="Y271" s="32"/>
      <c r="Z271" s="32"/>
    </row>
    <row r="272">
      <c r="A272" s="20" t="s">
        <v>1006</v>
      </c>
      <c r="B272" s="26"/>
      <c r="C272" s="22">
        <v>1700000.0</v>
      </c>
      <c r="D272" s="23">
        <v>2017.0</v>
      </c>
      <c r="E272" s="101">
        <v>42826.0</v>
      </c>
      <c r="F272" s="26" t="s">
        <v>1007</v>
      </c>
      <c r="G272" s="26" t="s">
        <v>28</v>
      </c>
      <c r="H272" s="26" t="s">
        <v>23</v>
      </c>
      <c r="I272" s="26" t="s">
        <v>29</v>
      </c>
      <c r="J272" s="23">
        <v>1.0</v>
      </c>
      <c r="K272" s="57"/>
      <c r="L272" s="28"/>
      <c r="M272" s="53" t="s">
        <v>1008</v>
      </c>
      <c r="N272" s="106" t="s">
        <v>1009</v>
      </c>
      <c r="O272" s="113"/>
      <c r="P272" s="32">
        <v>252.0</v>
      </c>
      <c r="Q272" s="32"/>
      <c r="R272" s="32"/>
      <c r="S272" s="32"/>
      <c r="T272" s="32"/>
      <c r="U272" s="32"/>
      <c r="V272" s="32"/>
      <c r="W272" s="32"/>
      <c r="X272" s="32"/>
      <c r="Y272" s="32"/>
      <c r="Z272" s="32"/>
    </row>
    <row r="273">
      <c r="A273" s="52" t="s">
        <v>1010</v>
      </c>
      <c r="B273" s="53"/>
      <c r="C273" s="22">
        <v>5.2E8</v>
      </c>
      <c r="D273" s="23">
        <v>2017.0</v>
      </c>
      <c r="E273" s="101">
        <v>42948.0</v>
      </c>
      <c r="F273" s="34" t="s">
        <v>1011</v>
      </c>
      <c r="G273" s="26" t="s">
        <v>28</v>
      </c>
      <c r="H273" s="26" t="s">
        <v>51</v>
      </c>
      <c r="I273" s="34"/>
      <c r="J273" s="23">
        <v>4.0</v>
      </c>
      <c r="K273" s="27" t="s">
        <v>1012</v>
      </c>
      <c r="L273" s="53"/>
      <c r="M273" s="53" t="s">
        <v>325</v>
      </c>
      <c r="N273" s="135" t="s">
        <v>1013</v>
      </c>
      <c r="O273" s="136"/>
      <c r="P273" s="32">
        <v>251.0</v>
      </c>
      <c r="Q273" s="32"/>
      <c r="R273" s="32"/>
      <c r="S273" s="32"/>
      <c r="T273" s="32"/>
      <c r="U273" s="32"/>
      <c r="V273" s="32"/>
      <c r="W273" s="32"/>
      <c r="X273" s="32"/>
      <c r="Y273" s="32"/>
      <c r="Z273" s="32"/>
    </row>
    <row r="274">
      <c r="A274" s="52" t="s">
        <v>1014</v>
      </c>
      <c r="B274" s="53"/>
      <c r="C274" s="22">
        <v>2000000.0</v>
      </c>
      <c r="D274" s="23">
        <v>2017.0</v>
      </c>
      <c r="E274" s="101">
        <v>42948.0</v>
      </c>
      <c r="F274" s="34" t="s">
        <v>1015</v>
      </c>
      <c r="G274" s="26" t="s">
        <v>43</v>
      </c>
      <c r="H274" s="105" t="s">
        <v>142</v>
      </c>
      <c r="I274" s="115"/>
      <c r="J274" s="23">
        <v>3.0</v>
      </c>
      <c r="K274" s="57"/>
      <c r="L274" s="53"/>
      <c r="M274" s="34" t="s">
        <v>629</v>
      </c>
      <c r="N274" s="135" t="s">
        <v>1016</v>
      </c>
      <c r="O274" s="136"/>
      <c r="P274" s="32">
        <v>250.0</v>
      </c>
      <c r="Q274" s="32"/>
      <c r="R274" s="32"/>
      <c r="S274" s="32"/>
      <c r="T274" s="32"/>
      <c r="U274" s="32"/>
      <c r="V274" s="32"/>
      <c r="W274" s="32"/>
      <c r="X274" s="32"/>
      <c r="Y274" s="32"/>
      <c r="Z274" s="32"/>
    </row>
    <row r="275">
      <c r="A275" s="20" t="s">
        <v>1017</v>
      </c>
      <c r="B275" s="26"/>
      <c r="C275" s="22">
        <v>3.1E7</v>
      </c>
      <c r="D275" s="129">
        <v>2017.0</v>
      </c>
      <c r="E275" s="101">
        <v>43070.0</v>
      </c>
      <c r="F275" s="26" t="s">
        <v>1018</v>
      </c>
      <c r="G275" s="26" t="s">
        <v>28</v>
      </c>
      <c r="H275" s="127" t="s">
        <v>51</v>
      </c>
      <c r="I275" s="28"/>
      <c r="J275" s="23">
        <v>4.0</v>
      </c>
      <c r="K275" s="57"/>
      <c r="L275" s="110"/>
      <c r="M275" s="26" t="s">
        <v>571</v>
      </c>
      <c r="N275" s="106" t="s">
        <v>1019</v>
      </c>
      <c r="O275" s="113"/>
      <c r="P275" s="32">
        <v>249.0</v>
      </c>
      <c r="Q275" s="32"/>
      <c r="R275" s="32"/>
      <c r="S275" s="32"/>
      <c r="T275" s="32"/>
      <c r="U275" s="32"/>
      <c r="V275" s="32"/>
      <c r="W275" s="32"/>
      <c r="X275" s="32"/>
      <c r="Y275" s="32"/>
      <c r="Z275" s="32"/>
    </row>
    <row r="276">
      <c r="A276" s="20" t="s">
        <v>1020</v>
      </c>
      <c r="B276" s="26"/>
      <c r="C276" s="22">
        <v>3000000.0</v>
      </c>
      <c r="D276" s="23">
        <v>2017.0</v>
      </c>
      <c r="E276" s="101">
        <v>42736.0</v>
      </c>
      <c r="F276" s="26" t="s">
        <v>1021</v>
      </c>
      <c r="G276" s="26" t="s">
        <v>50</v>
      </c>
      <c r="H276" s="26" t="s">
        <v>23</v>
      </c>
      <c r="I276" s="26" t="s">
        <v>29</v>
      </c>
      <c r="J276" s="23">
        <v>2.0</v>
      </c>
      <c r="K276" s="57"/>
      <c r="L276" s="28"/>
      <c r="M276" s="34" t="s">
        <v>30</v>
      </c>
      <c r="N276" s="106" t="s">
        <v>1022</v>
      </c>
      <c r="O276" s="113"/>
      <c r="P276" s="32">
        <v>248.0</v>
      </c>
      <c r="Q276" s="32"/>
      <c r="R276" s="32"/>
      <c r="S276" s="32"/>
      <c r="T276" s="32"/>
      <c r="U276" s="32"/>
      <c r="V276" s="32"/>
      <c r="W276" s="32"/>
      <c r="X276" s="32"/>
      <c r="Y276" s="32"/>
      <c r="Z276" s="32"/>
    </row>
    <row r="277">
      <c r="A277" s="20" t="s">
        <v>1023</v>
      </c>
      <c r="B277" s="26" t="s">
        <v>1024</v>
      </c>
      <c r="C277" s="22">
        <v>1000000.0</v>
      </c>
      <c r="D277" s="23">
        <v>2017.0</v>
      </c>
      <c r="E277" s="101">
        <v>42736.0</v>
      </c>
      <c r="F277" s="26" t="s">
        <v>1025</v>
      </c>
      <c r="G277" s="26" t="s">
        <v>28</v>
      </c>
      <c r="H277" s="26" t="s">
        <v>51</v>
      </c>
      <c r="I277" s="28"/>
      <c r="J277" s="23">
        <v>3.0</v>
      </c>
      <c r="K277" s="57"/>
      <c r="L277" s="28"/>
      <c r="M277" s="53" t="s">
        <v>1026</v>
      </c>
      <c r="N277" s="106" t="s">
        <v>1027</v>
      </c>
      <c r="O277" s="113"/>
      <c r="P277" s="32">
        <v>247.0</v>
      </c>
      <c r="Q277" s="32"/>
      <c r="R277" s="32"/>
      <c r="S277" s="32"/>
      <c r="T277" s="32"/>
      <c r="U277" s="32"/>
      <c r="V277" s="32"/>
      <c r="W277" s="32"/>
      <c r="X277" s="32"/>
      <c r="Y277" s="32"/>
      <c r="Z277" s="32"/>
    </row>
    <row r="278">
      <c r="A278" s="52" t="s">
        <v>1028</v>
      </c>
      <c r="B278" s="34"/>
      <c r="C278" s="22">
        <v>3000000.0</v>
      </c>
      <c r="D278" s="23">
        <v>2017.0</v>
      </c>
      <c r="E278" s="101">
        <v>42917.0</v>
      </c>
      <c r="F278" s="34" t="s">
        <v>1029</v>
      </c>
      <c r="G278" s="26" t="s">
        <v>64</v>
      </c>
      <c r="H278" s="26" t="s">
        <v>51</v>
      </c>
      <c r="I278" s="34" t="s">
        <v>29</v>
      </c>
      <c r="J278" s="23">
        <v>5.0</v>
      </c>
      <c r="K278" s="57"/>
      <c r="L278" s="53"/>
      <c r="M278" s="53" t="s">
        <v>1030</v>
      </c>
      <c r="N278" s="135" t="s">
        <v>1031</v>
      </c>
      <c r="O278" s="136"/>
      <c r="P278" s="32">
        <v>246.0</v>
      </c>
      <c r="Q278" s="32"/>
      <c r="R278" s="32"/>
      <c r="S278" s="32"/>
      <c r="T278" s="32"/>
      <c r="U278" s="32"/>
      <c r="V278" s="32"/>
      <c r="W278" s="32"/>
      <c r="X278" s="32"/>
      <c r="Y278" s="32"/>
      <c r="Z278" s="32"/>
    </row>
    <row r="279">
      <c r="A279" s="20" t="s">
        <v>1032</v>
      </c>
      <c r="B279" s="130"/>
      <c r="C279" s="22">
        <v>3700000.0</v>
      </c>
      <c r="D279" s="23">
        <v>2017.0</v>
      </c>
      <c r="E279" s="101">
        <v>42795.0</v>
      </c>
      <c r="F279" s="26" t="s">
        <v>1033</v>
      </c>
      <c r="G279" s="26" t="s">
        <v>64</v>
      </c>
      <c r="H279" s="26" t="s">
        <v>1034</v>
      </c>
      <c r="I279" s="130"/>
      <c r="J279" s="23">
        <v>2.0</v>
      </c>
      <c r="K279" s="57"/>
      <c r="L279" s="110"/>
      <c r="M279" s="53" t="s">
        <v>1035</v>
      </c>
      <c r="N279" s="106" t="s">
        <v>1036</v>
      </c>
      <c r="O279" s="113"/>
      <c r="P279" s="32">
        <v>245.0</v>
      </c>
      <c r="Q279" s="32"/>
      <c r="R279" s="32"/>
      <c r="S279" s="32"/>
      <c r="T279" s="32"/>
      <c r="U279" s="32"/>
      <c r="V279" s="32"/>
      <c r="W279" s="32"/>
      <c r="X279" s="32"/>
      <c r="Y279" s="32"/>
      <c r="Z279" s="32"/>
    </row>
    <row r="280">
      <c r="A280" s="137" t="s">
        <v>1037</v>
      </c>
      <c r="B280" s="138" t="s">
        <v>1038</v>
      </c>
      <c r="C280" s="22">
        <v>3.4E8</v>
      </c>
      <c r="D280" s="23">
        <v>2017.0</v>
      </c>
      <c r="E280" s="101">
        <v>42795.0</v>
      </c>
      <c r="F280" s="26" t="s">
        <v>1039</v>
      </c>
      <c r="G280" s="139" t="s">
        <v>28</v>
      </c>
      <c r="H280" s="105" t="s">
        <v>142</v>
      </c>
      <c r="I280" s="53"/>
      <c r="J280" s="23">
        <v>2.0</v>
      </c>
      <c r="K280" s="27" t="s">
        <v>1040</v>
      </c>
      <c r="L280" s="53"/>
      <c r="M280" s="34" t="s">
        <v>507</v>
      </c>
      <c r="N280" s="106" t="s">
        <v>1041</v>
      </c>
      <c r="O280" s="117"/>
      <c r="P280" s="32">
        <v>244.0</v>
      </c>
      <c r="Q280" s="32"/>
      <c r="R280" s="32"/>
      <c r="S280" s="32"/>
      <c r="T280" s="32"/>
      <c r="U280" s="32"/>
      <c r="V280" s="32"/>
      <c r="W280" s="32"/>
      <c r="X280" s="32"/>
      <c r="Y280" s="32"/>
      <c r="Z280" s="32"/>
    </row>
    <row r="281">
      <c r="A281" s="20" t="s">
        <v>1042</v>
      </c>
      <c r="B281" s="26" t="s">
        <v>1043</v>
      </c>
      <c r="C281" s="22">
        <v>700000.0</v>
      </c>
      <c r="D281" s="23">
        <v>2017.0</v>
      </c>
      <c r="E281" s="101">
        <v>42856.0</v>
      </c>
      <c r="F281" s="26" t="s">
        <v>1044</v>
      </c>
      <c r="G281" s="26" t="s">
        <v>28</v>
      </c>
      <c r="H281" s="26" t="s">
        <v>23</v>
      </c>
      <c r="I281" s="28"/>
      <c r="J281" s="23">
        <v>4.0</v>
      </c>
      <c r="K281" s="57"/>
      <c r="L281" s="28"/>
      <c r="M281" s="53" t="s">
        <v>608</v>
      </c>
      <c r="N281" s="106" t="s">
        <v>1045</v>
      </c>
      <c r="O281" s="113"/>
      <c r="P281" s="32">
        <v>243.0</v>
      </c>
      <c r="Q281" s="32"/>
      <c r="R281" s="32"/>
      <c r="S281" s="32"/>
      <c r="T281" s="32"/>
      <c r="U281" s="32"/>
      <c r="V281" s="32"/>
      <c r="W281" s="32"/>
      <c r="X281" s="32"/>
      <c r="Y281" s="32"/>
      <c r="Z281" s="32"/>
    </row>
    <row r="282">
      <c r="A282" s="20" t="s">
        <v>1046</v>
      </c>
      <c r="B282" s="26"/>
      <c r="C282" s="22">
        <v>1900000.0</v>
      </c>
      <c r="D282" s="23">
        <v>2017.0</v>
      </c>
      <c r="E282" s="101">
        <v>42856.0</v>
      </c>
      <c r="F282" s="26" t="s">
        <v>1047</v>
      </c>
      <c r="G282" s="26" t="s">
        <v>129</v>
      </c>
      <c r="H282" s="26" t="s">
        <v>23</v>
      </c>
      <c r="I282" s="28"/>
      <c r="J282" s="23">
        <v>1.0</v>
      </c>
      <c r="K282" s="57"/>
      <c r="L282" s="28"/>
      <c r="M282" s="53" t="s">
        <v>706</v>
      </c>
      <c r="N282" s="106" t="s">
        <v>1048</v>
      </c>
      <c r="O282" s="113"/>
      <c r="P282" s="32">
        <v>242.0</v>
      </c>
      <c r="Q282" s="32"/>
      <c r="R282" s="32"/>
      <c r="S282" s="32"/>
      <c r="T282" s="32"/>
      <c r="U282" s="32"/>
      <c r="V282" s="32"/>
      <c r="W282" s="32"/>
      <c r="X282" s="32"/>
      <c r="Y282" s="32"/>
      <c r="Z282" s="32"/>
    </row>
    <row r="283">
      <c r="A283" s="20" t="s">
        <v>1049</v>
      </c>
      <c r="B283" s="26" t="s">
        <v>1050</v>
      </c>
      <c r="C283" s="22">
        <v>1.7E7</v>
      </c>
      <c r="D283" s="23">
        <v>2017.0</v>
      </c>
      <c r="E283" s="101">
        <v>42856.0</v>
      </c>
      <c r="F283" s="26" t="s">
        <v>1051</v>
      </c>
      <c r="G283" s="26" t="s">
        <v>28</v>
      </c>
      <c r="H283" s="26" t="s">
        <v>23</v>
      </c>
      <c r="I283" s="28"/>
      <c r="J283" s="23">
        <v>4.0</v>
      </c>
      <c r="K283" s="57"/>
      <c r="L283" s="28"/>
      <c r="M283" s="53" t="s">
        <v>1052</v>
      </c>
      <c r="N283" s="106" t="s">
        <v>1053</v>
      </c>
      <c r="O283" s="113"/>
      <c r="P283" s="32">
        <v>241.0</v>
      </c>
      <c r="Q283" s="32"/>
      <c r="R283" s="32"/>
      <c r="S283" s="32"/>
      <c r="T283" s="32"/>
      <c r="U283" s="32"/>
      <c r="V283" s="32"/>
      <c r="W283" s="32"/>
      <c r="X283" s="32"/>
      <c r="Y283" s="32"/>
      <c r="Z283" s="32"/>
    </row>
    <row r="284">
      <c r="A284" s="118" t="s">
        <v>1054</v>
      </c>
      <c r="B284" s="127"/>
      <c r="C284" s="133">
        <v>1700000.0</v>
      </c>
      <c r="D284" s="129">
        <v>2017.0</v>
      </c>
      <c r="E284" s="134">
        <v>42856.0</v>
      </c>
      <c r="F284" s="105" t="s">
        <v>1051</v>
      </c>
      <c r="G284" s="26" t="s">
        <v>28</v>
      </c>
      <c r="H284" s="127" t="s">
        <v>23</v>
      </c>
      <c r="I284" s="127"/>
      <c r="J284" s="129">
        <v>4.0</v>
      </c>
      <c r="K284" s="57"/>
      <c r="L284" s="120"/>
      <c r="M284" s="53" t="s">
        <v>1054</v>
      </c>
      <c r="N284" s="122" t="s">
        <v>1055</v>
      </c>
      <c r="O284" s="140"/>
      <c r="P284" s="32">
        <v>240.0</v>
      </c>
      <c r="Q284" s="32"/>
      <c r="R284" s="32"/>
      <c r="S284" s="32"/>
      <c r="T284" s="32"/>
      <c r="U284" s="32"/>
      <c r="V284" s="32"/>
      <c r="W284" s="32"/>
      <c r="X284" s="32"/>
      <c r="Y284" s="32"/>
      <c r="Z284" s="32"/>
    </row>
    <row r="285">
      <c r="A285" s="118" t="s">
        <v>1056</v>
      </c>
      <c r="B285" s="127" t="s">
        <v>1057</v>
      </c>
      <c r="C285" s="133">
        <v>1600000.0</v>
      </c>
      <c r="D285" s="129">
        <v>2017.0</v>
      </c>
      <c r="E285" s="134">
        <v>43070.0</v>
      </c>
      <c r="F285" s="105" t="s">
        <v>1058</v>
      </c>
      <c r="G285" s="26" t="s">
        <v>58</v>
      </c>
      <c r="H285" s="127" t="s">
        <v>23</v>
      </c>
      <c r="I285" s="127"/>
      <c r="J285" s="129">
        <v>4.0</v>
      </c>
      <c r="K285" s="57"/>
      <c r="L285" s="120"/>
      <c r="M285" s="105" t="s">
        <v>85</v>
      </c>
      <c r="N285" s="122" t="s">
        <v>1059</v>
      </c>
      <c r="O285" s="140"/>
      <c r="P285" s="32">
        <v>239.0</v>
      </c>
      <c r="Q285" s="32"/>
      <c r="R285" s="32"/>
      <c r="S285" s="32"/>
      <c r="T285" s="32"/>
      <c r="U285" s="32"/>
      <c r="V285" s="32"/>
      <c r="W285" s="32"/>
      <c r="X285" s="32"/>
      <c r="Y285" s="32"/>
      <c r="Z285" s="32"/>
    </row>
    <row r="286">
      <c r="A286" s="20" t="s">
        <v>1060</v>
      </c>
      <c r="B286" s="26"/>
      <c r="C286" s="22">
        <v>4.62E7</v>
      </c>
      <c r="D286" s="129">
        <v>2017.0</v>
      </c>
      <c r="E286" s="101">
        <v>43009.0</v>
      </c>
      <c r="F286" s="26" t="s">
        <v>1061</v>
      </c>
      <c r="G286" s="26" t="s">
        <v>129</v>
      </c>
      <c r="H286" s="26" t="s">
        <v>23</v>
      </c>
      <c r="I286" s="28"/>
      <c r="J286" s="23">
        <v>4.0</v>
      </c>
      <c r="K286" s="57"/>
      <c r="L286" s="110"/>
      <c r="M286" s="26" t="s">
        <v>1062</v>
      </c>
      <c r="N286" s="106" t="s">
        <v>1063</v>
      </c>
      <c r="O286" s="113"/>
      <c r="P286" s="32">
        <v>238.0</v>
      </c>
      <c r="Q286" s="32"/>
      <c r="R286" s="32"/>
      <c r="S286" s="32"/>
      <c r="T286" s="32"/>
      <c r="U286" s="32"/>
      <c r="V286" s="32"/>
      <c r="W286" s="32"/>
      <c r="X286" s="32"/>
      <c r="Y286" s="32"/>
      <c r="Z286" s="32"/>
    </row>
    <row r="287">
      <c r="A287" s="20" t="s">
        <v>1064</v>
      </c>
      <c r="B287" s="26"/>
      <c r="C287" s="22">
        <v>81309.0</v>
      </c>
      <c r="D287" s="129">
        <v>2017.0</v>
      </c>
      <c r="E287" s="101">
        <v>43009.0</v>
      </c>
      <c r="F287" s="26" t="s">
        <v>1065</v>
      </c>
      <c r="G287" s="26" t="s">
        <v>258</v>
      </c>
      <c r="H287" s="26" t="s">
        <v>23</v>
      </c>
      <c r="I287" s="28"/>
      <c r="J287" s="23">
        <v>4.0</v>
      </c>
      <c r="K287" s="57"/>
      <c r="L287" s="110"/>
      <c r="M287" s="26" t="s">
        <v>1066</v>
      </c>
      <c r="N287" s="106" t="s">
        <v>1067</v>
      </c>
      <c r="O287" s="113"/>
      <c r="P287" s="32">
        <v>237.0</v>
      </c>
      <c r="Q287" s="32"/>
      <c r="R287" s="32"/>
      <c r="S287" s="32"/>
      <c r="T287" s="32"/>
      <c r="U287" s="32"/>
      <c r="V287" s="32"/>
      <c r="W287" s="32"/>
      <c r="X287" s="32"/>
      <c r="Y287" s="32"/>
      <c r="Z287" s="32"/>
    </row>
    <row r="288">
      <c r="A288" s="52" t="s">
        <v>1068</v>
      </c>
      <c r="B288" s="53"/>
      <c r="C288" s="22">
        <v>6000000.0</v>
      </c>
      <c r="D288" s="23">
        <v>2017.0</v>
      </c>
      <c r="E288" s="101">
        <v>42979.0</v>
      </c>
      <c r="F288" s="34" t="s">
        <v>1069</v>
      </c>
      <c r="G288" s="26" t="s">
        <v>28</v>
      </c>
      <c r="H288" s="26" t="s">
        <v>23</v>
      </c>
      <c r="I288" s="115"/>
      <c r="J288" s="23">
        <v>1.0</v>
      </c>
      <c r="K288" s="57"/>
      <c r="L288" s="53"/>
      <c r="M288" s="53" t="s">
        <v>314</v>
      </c>
      <c r="N288" s="135" t="s">
        <v>1070</v>
      </c>
      <c r="O288" s="136"/>
      <c r="P288" s="32">
        <v>236.0</v>
      </c>
      <c r="Q288" s="32"/>
      <c r="R288" s="32"/>
      <c r="S288" s="32"/>
      <c r="T288" s="32"/>
      <c r="U288" s="32"/>
      <c r="V288" s="32"/>
      <c r="W288" s="32"/>
      <c r="X288" s="32"/>
      <c r="Y288" s="32"/>
      <c r="Z288" s="32"/>
    </row>
    <row r="289">
      <c r="A289" s="141" t="s">
        <v>1071</v>
      </c>
      <c r="B289" s="120"/>
      <c r="C289" s="133">
        <v>3000000.0</v>
      </c>
      <c r="D289" s="23">
        <v>2017.0</v>
      </c>
      <c r="E289" s="134">
        <v>42979.0</v>
      </c>
      <c r="F289" s="105" t="s">
        <v>1072</v>
      </c>
      <c r="G289" s="120" t="s">
        <v>28</v>
      </c>
      <c r="H289" s="120" t="s">
        <v>23</v>
      </c>
      <c r="I289" s="120"/>
      <c r="J289" s="129">
        <v>4.0</v>
      </c>
      <c r="K289" s="57"/>
      <c r="L289" s="120"/>
      <c r="M289" s="120" t="s">
        <v>1073</v>
      </c>
      <c r="N289" s="122" t="s">
        <v>1074</v>
      </c>
      <c r="O289" s="117"/>
      <c r="P289" s="32">
        <v>235.0</v>
      </c>
      <c r="Q289" s="32"/>
      <c r="R289" s="32"/>
      <c r="S289" s="32"/>
      <c r="T289" s="32"/>
      <c r="U289" s="32"/>
      <c r="V289" s="32"/>
      <c r="W289" s="32"/>
      <c r="X289" s="32"/>
      <c r="Y289" s="32"/>
      <c r="Z289" s="32"/>
    </row>
    <row r="290">
      <c r="A290" s="52" t="s">
        <v>1075</v>
      </c>
      <c r="B290" s="53"/>
      <c r="C290" s="22">
        <v>1.43E8</v>
      </c>
      <c r="D290" s="23">
        <v>2017.0</v>
      </c>
      <c r="E290" s="101">
        <v>42979.0</v>
      </c>
      <c r="F290" s="34" t="s">
        <v>1076</v>
      </c>
      <c r="G290" s="26" t="s">
        <v>1077</v>
      </c>
      <c r="H290" s="26" t="s">
        <v>23</v>
      </c>
      <c r="I290" s="115" t="s">
        <v>29</v>
      </c>
      <c r="J290" s="23">
        <v>4.0</v>
      </c>
      <c r="K290" s="27" t="s">
        <v>1078</v>
      </c>
      <c r="L290" s="53"/>
      <c r="M290" s="53" t="s">
        <v>1079</v>
      </c>
      <c r="N290" s="135" t="s">
        <v>1080</v>
      </c>
      <c r="O290" s="136"/>
      <c r="P290" s="32">
        <v>234.0</v>
      </c>
      <c r="Q290" s="32"/>
      <c r="R290" s="32"/>
      <c r="S290" s="32"/>
      <c r="T290" s="32"/>
      <c r="U290" s="32"/>
      <c r="V290" s="32"/>
      <c r="W290" s="32"/>
      <c r="X290" s="32"/>
      <c r="Y290" s="32"/>
      <c r="Z290" s="32"/>
    </row>
    <row r="291">
      <c r="A291" s="118" t="s">
        <v>1081</v>
      </c>
      <c r="B291" s="142" t="s">
        <v>1082</v>
      </c>
      <c r="C291" s="119">
        <v>540000.0</v>
      </c>
      <c r="D291" s="23">
        <v>2017.0</v>
      </c>
      <c r="E291" s="101">
        <v>42979.0</v>
      </c>
      <c r="F291" s="34" t="s">
        <v>1083</v>
      </c>
      <c r="G291" s="26" t="s">
        <v>28</v>
      </c>
      <c r="H291" s="127" t="s">
        <v>51</v>
      </c>
      <c r="I291" s="120"/>
      <c r="J291" s="23">
        <v>4.0</v>
      </c>
      <c r="K291" s="57"/>
      <c r="L291" s="120"/>
      <c r="M291" s="120" t="s">
        <v>1073</v>
      </c>
      <c r="N291" s="121" t="s">
        <v>1084</v>
      </c>
      <c r="O291" s="117"/>
      <c r="P291" s="32">
        <v>233.0</v>
      </c>
      <c r="Q291" s="32"/>
      <c r="R291" s="32"/>
      <c r="S291" s="32"/>
      <c r="T291" s="32"/>
      <c r="U291" s="32"/>
      <c r="V291" s="32"/>
      <c r="W291" s="32"/>
      <c r="X291" s="32"/>
      <c r="Y291" s="32"/>
      <c r="Z291" s="32"/>
    </row>
    <row r="292">
      <c r="A292" s="20" t="s">
        <v>1085</v>
      </c>
      <c r="B292" s="138"/>
      <c r="C292" s="22">
        <v>1.17E8</v>
      </c>
      <c r="D292" s="23">
        <v>2016.0</v>
      </c>
      <c r="E292" s="101">
        <v>42491.0</v>
      </c>
      <c r="F292" s="26" t="s">
        <v>1086</v>
      </c>
      <c r="G292" s="26" t="s">
        <v>28</v>
      </c>
      <c r="H292" s="26" t="s">
        <v>23</v>
      </c>
      <c r="I292" s="28"/>
      <c r="J292" s="23">
        <v>1.0</v>
      </c>
      <c r="K292" s="27" t="s">
        <v>1087</v>
      </c>
      <c r="L292" s="28"/>
      <c r="M292" s="53" t="s">
        <v>1088</v>
      </c>
      <c r="N292" s="106" t="s">
        <v>1089</v>
      </c>
      <c r="O292" s="106" t="s">
        <v>1090</v>
      </c>
      <c r="P292" s="32">
        <v>232.0</v>
      </c>
      <c r="Q292" s="32"/>
      <c r="R292" s="32"/>
      <c r="S292" s="32"/>
      <c r="T292" s="32"/>
      <c r="U292" s="32"/>
      <c r="V292" s="32"/>
      <c r="W292" s="32"/>
      <c r="X292" s="32"/>
      <c r="Y292" s="32"/>
      <c r="Z292" s="32"/>
    </row>
    <row r="293">
      <c r="A293" s="20" t="s">
        <v>1091</v>
      </c>
      <c r="B293" s="138"/>
      <c r="C293" s="22">
        <v>6.5E7</v>
      </c>
      <c r="D293" s="23">
        <v>2016.0</v>
      </c>
      <c r="E293" s="101">
        <v>42491.0</v>
      </c>
      <c r="F293" s="26" t="s">
        <v>1092</v>
      </c>
      <c r="G293" s="26" t="s">
        <v>28</v>
      </c>
      <c r="H293" s="26" t="s">
        <v>23</v>
      </c>
      <c r="I293" s="28"/>
      <c r="J293" s="23">
        <v>1.0</v>
      </c>
      <c r="K293" s="57"/>
      <c r="L293" s="28"/>
      <c r="M293" s="34" t="s">
        <v>30</v>
      </c>
      <c r="N293" s="106" t="s">
        <v>1093</v>
      </c>
      <c r="O293" s="113"/>
      <c r="P293" s="32">
        <v>231.0</v>
      </c>
      <c r="Q293" s="32"/>
      <c r="R293" s="32"/>
      <c r="S293" s="32"/>
      <c r="T293" s="32"/>
      <c r="U293" s="32"/>
      <c r="V293" s="32"/>
      <c r="W293" s="32"/>
      <c r="X293" s="32"/>
      <c r="Y293" s="32"/>
      <c r="Z293" s="32"/>
    </row>
    <row r="294">
      <c r="A294" s="20" t="s">
        <v>996</v>
      </c>
      <c r="B294" s="111"/>
      <c r="C294" s="22">
        <v>5.0E8</v>
      </c>
      <c r="D294" s="23">
        <v>2016.0</v>
      </c>
      <c r="E294" s="101">
        <v>42614.0</v>
      </c>
      <c r="F294" s="26" t="s">
        <v>1094</v>
      </c>
      <c r="G294" s="26" t="s">
        <v>28</v>
      </c>
      <c r="H294" s="26" t="s">
        <v>23</v>
      </c>
      <c r="I294" s="28"/>
      <c r="J294" s="23">
        <v>2.0</v>
      </c>
      <c r="K294" s="27" t="s">
        <v>1095</v>
      </c>
      <c r="L294" s="28"/>
      <c r="M294" s="34" t="s">
        <v>1096</v>
      </c>
      <c r="N294" s="106" t="s">
        <v>1097</v>
      </c>
      <c r="O294" s="109"/>
      <c r="P294" s="32">
        <v>230.0</v>
      </c>
      <c r="Q294" s="32"/>
      <c r="R294" s="32"/>
      <c r="S294" s="32"/>
      <c r="T294" s="32"/>
      <c r="U294" s="32"/>
      <c r="V294" s="32"/>
      <c r="W294" s="32"/>
      <c r="X294" s="32"/>
      <c r="Y294" s="32"/>
      <c r="Z294" s="32"/>
    </row>
    <row r="295">
      <c r="A295" s="20" t="s">
        <v>1098</v>
      </c>
      <c r="B295" s="111" t="s">
        <v>1099</v>
      </c>
      <c r="C295" s="22">
        <v>1.15E7</v>
      </c>
      <c r="D295" s="23">
        <v>2016.0</v>
      </c>
      <c r="E295" s="101">
        <v>42461.0</v>
      </c>
      <c r="F295" s="26" t="s">
        <v>1100</v>
      </c>
      <c r="G295" s="26" t="s">
        <v>38</v>
      </c>
      <c r="H295" s="26" t="s">
        <v>23</v>
      </c>
      <c r="I295" s="26" t="s">
        <v>29</v>
      </c>
      <c r="J295" s="23">
        <v>5.0</v>
      </c>
      <c r="K295" s="57"/>
      <c r="L295" s="28"/>
      <c r="M295" s="53" t="s">
        <v>1101</v>
      </c>
      <c r="N295" s="106" t="s">
        <v>1102</v>
      </c>
      <c r="O295" s="113"/>
      <c r="P295" s="32">
        <v>229.0</v>
      </c>
      <c r="Q295" s="32"/>
      <c r="R295" s="32"/>
      <c r="S295" s="32"/>
      <c r="T295" s="32"/>
      <c r="U295" s="32"/>
      <c r="V295" s="32"/>
      <c r="W295" s="32"/>
      <c r="X295" s="32"/>
      <c r="Y295" s="32"/>
      <c r="Z295" s="32"/>
    </row>
    <row r="296">
      <c r="A296" s="52" t="s">
        <v>1103</v>
      </c>
      <c r="B296" s="111" t="s">
        <v>1104</v>
      </c>
      <c r="C296" s="22">
        <v>5.5E7</v>
      </c>
      <c r="D296" s="23">
        <v>2016.0</v>
      </c>
      <c r="E296" s="101">
        <v>42461.0</v>
      </c>
      <c r="F296" s="26" t="s">
        <v>1105</v>
      </c>
      <c r="G296" s="26" t="s">
        <v>64</v>
      </c>
      <c r="H296" s="26" t="s">
        <v>23</v>
      </c>
      <c r="I296" s="28"/>
      <c r="J296" s="23">
        <v>5.0</v>
      </c>
      <c r="K296" s="57"/>
      <c r="L296" s="28"/>
      <c r="M296" s="53" t="s">
        <v>1106</v>
      </c>
      <c r="N296" s="106" t="s">
        <v>1107</v>
      </c>
      <c r="O296" s="113"/>
      <c r="P296" s="32">
        <v>228.0</v>
      </c>
      <c r="Q296" s="32"/>
      <c r="R296" s="32"/>
      <c r="S296" s="32"/>
      <c r="T296" s="32"/>
      <c r="U296" s="32"/>
      <c r="V296" s="32"/>
      <c r="W296" s="32"/>
      <c r="X296" s="32"/>
      <c r="Y296" s="32"/>
      <c r="Z296" s="32"/>
    </row>
    <row r="297">
      <c r="A297" s="20" t="s">
        <v>1108</v>
      </c>
      <c r="B297" s="138"/>
      <c r="C297" s="22">
        <v>274477.0</v>
      </c>
      <c r="D297" s="23">
        <v>2016.0</v>
      </c>
      <c r="E297" s="101">
        <v>42461.0</v>
      </c>
      <c r="F297" s="26" t="s">
        <v>1109</v>
      </c>
      <c r="G297" s="26" t="s">
        <v>64</v>
      </c>
      <c r="H297" s="26" t="s">
        <v>23</v>
      </c>
      <c r="I297" s="28"/>
      <c r="J297" s="23">
        <v>1.0</v>
      </c>
      <c r="K297" s="57"/>
      <c r="L297" s="28"/>
      <c r="M297" s="53" t="s">
        <v>1110</v>
      </c>
      <c r="N297" s="106" t="s">
        <v>1111</v>
      </c>
      <c r="O297" s="113"/>
      <c r="P297" s="32">
        <v>227.0</v>
      </c>
      <c r="Q297" s="32"/>
      <c r="R297" s="32"/>
      <c r="S297" s="32"/>
      <c r="T297" s="32"/>
      <c r="U297" s="32"/>
      <c r="V297" s="32"/>
      <c r="W297" s="32"/>
      <c r="X297" s="32"/>
      <c r="Y297" s="32"/>
      <c r="Z297" s="32"/>
    </row>
    <row r="298">
      <c r="A298" s="20" t="s">
        <v>1112</v>
      </c>
      <c r="B298" s="143" t="s">
        <v>1113</v>
      </c>
      <c r="C298" s="22">
        <v>7000000.0</v>
      </c>
      <c r="D298" s="23">
        <v>2016.0</v>
      </c>
      <c r="E298" s="101">
        <v>42461.0</v>
      </c>
      <c r="F298" s="26" t="s">
        <v>1114</v>
      </c>
      <c r="G298" s="26" t="s">
        <v>236</v>
      </c>
      <c r="H298" s="26" t="s">
        <v>23</v>
      </c>
      <c r="I298" s="28"/>
      <c r="J298" s="23">
        <v>1.0</v>
      </c>
      <c r="K298" s="57"/>
      <c r="L298" s="28"/>
      <c r="M298" s="34" t="s">
        <v>147</v>
      </c>
      <c r="N298" s="106" t="s">
        <v>1115</v>
      </c>
      <c r="O298" s="113"/>
      <c r="P298" s="32">
        <v>226.0</v>
      </c>
      <c r="Q298" s="32"/>
      <c r="R298" s="32"/>
      <c r="S298" s="32"/>
      <c r="T298" s="32"/>
      <c r="U298" s="32"/>
      <c r="V298" s="32"/>
      <c r="W298" s="32"/>
      <c r="X298" s="32"/>
      <c r="Y298" s="32"/>
      <c r="Z298" s="32"/>
    </row>
    <row r="299">
      <c r="A299" s="20" t="s">
        <v>1116</v>
      </c>
      <c r="B299" s="138"/>
      <c r="C299" s="22">
        <v>4.9611709E7</v>
      </c>
      <c r="D299" s="23">
        <v>2016.0</v>
      </c>
      <c r="E299" s="101">
        <v>42461.0</v>
      </c>
      <c r="F299" s="34" t="s">
        <v>1117</v>
      </c>
      <c r="G299" s="26" t="s">
        <v>64</v>
      </c>
      <c r="H299" s="26" t="s">
        <v>23</v>
      </c>
      <c r="I299" s="28"/>
      <c r="J299" s="23">
        <v>2.0</v>
      </c>
      <c r="K299" s="57"/>
      <c r="L299" s="28"/>
      <c r="M299" s="53" t="s">
        <v>591</v>
      </c>
      <c r="N299" s="106" t="s">
        <v>1118</v>
      </c>
      <c r="O299" s="113"/>
      <c r="P299" s="32">
        <v>225.0</v>
      </c>
      <c r="Q299" s="32"/>
      <c r="R299" s="32"/>
      <c r="S299" s="32"/>
      <c r="T299" s="32"/>
      <c r="U299" s="32"/>
      <c r="V299" s="32"/>
      <c r="W299" s="32"/>
      <c r="X299" s="32"/>
      <c r="Y299" s="32"/>
      <c r="Z299" s="32"/>
    </row>
    <row r="300">
      <c r="A300" s="144" t="s">
        <v>1119</v>
      </c>
      <c r="B300" s="142"/>
      <c r="C300" s="119">
        <v>3700000.0</v>
      </c>
      <c r="D300" s="23">
        <v>2016.0</v>
      </c>
      <c r="E300" s="101">
        <v>42583.0</v>
      </c>
      <c r="F300" s="50" t="s">
        <v>1120</v>
      </c>
      <c r="G300" s="26" t="s">
        <v>258</v>
      </c>
      <c r="H300" s="28" t="s">
        <v>23</v>
      </c>
      <c r="I300" s="53"/>
      <c r="J300" s="23">
        <v>3.0</v>
      </c>
      <c r="K300" s="57"/>
      <c r="L300" s="53"/>
      <c r="M300" s="34" t="s">
        <v>1121</v>
      </c>
      <c r="N300" s="106" t="s">
        <v>1122</v>
      </c>
      <c r="O300" s="117"/>
      <c r="P300" s="32">
        <v>224.0</v>
      </c>
      <c r="Q300" s="32"/>
      <c r="R300" s="32"/>
      <c r="S300" s="32"/>
      <c r="T300" s="32"/>
      <c r="U300" s="32"/>
      <c r="V300" s="32"/>
      <c r="W300" s="32"/>
      <c r="X300" s="32"/>
      <c r="Y300" s="32"/>
      <c r="Z300" s="32"/>
    </row>
    <row r="301">
      <c r="A301" s="20" t="s">
        <v>1123</v>
      </c>
      <c r="B301" s="26" t="s">
        <v>1124</v>
      </c>
      <c r="C301" s="22">
        <v>2.5E7</v>
      </c>
      <c r="D301" s="23">
        <v>2016.0</v>
      </c>
      <c r="E301" s="101">
        <v>42583.0</v>
      </c>
      <c r="F301" s="26" t="s">
        <v>1125</v>
      </c>
      <c r="G301" s="26" t="s">
        <v>28</v>
      </c>
      <c r="H301" s="26" t="s">
        <v>23</v>
      </c>
      <c r="I301" s="28"/>
      <c r="J301" s="23">
        <v>2.0</v>
      </c>
      <c r="K301" s="57"/>
      <c r="L301" s="28"/>
      <c r="M301" s="53" t="s">
        <v>608</v>
      </c>
      <c r="N301" s="106" t="s">
        <v>1126</v>
      </c>
      <c r="O301" s="113"/>
      <c r="P301" s="32">
        <v>223.0</v>
      </c>
      <c r="Q301" s="32"/>
      <c r="R301" s="32"/>
      <c r="S301" s="32"/>
      <c r="T301" s="32"/>
      <c r="U301" s="32"/>
      <c r="V301" s="32"/>
      <c r="W301" s="32"/>
      <c r="X301" s="32"/>
      <c r="Y301" s="32"/>
      <c r="Z301" s="32"/>
    </row>
    <row r="302">
      <c r="A302" s="20" t="s">
        <v>1127</v>
      </c>
      <c r="B302" s="26"/>
      <c r="C302" s="22">
        <v>300000.0</v>
      </c>
      <c r="D302" s="23">
        <v>2016.0</v>
      </c>
      <c r="E302" s="101">
        <v>42705.0</v>
      </c>
      <c r="F302" s="26" t="s">
        <v>1128</v>
      </c>
      <c r="G302" s="26" t="s">
        <v>28</v>
      </c>
      <c r="H302" s="130" t="s">
        <v>23</v>
      </c>
      <c r="I302" s="28"/>
      <c r="J302" s="23">
        <v>1.0</v>
      </c>
      <c r="K302" s="57"/>
      <c r="L302" s="28"/>
      <c r="M302" s="53" t="s">
        <v>905</v>
      </c>
      <c r="N302" s="106" t="s">
        <v>1129</v>
      </c>
      <c r="O302" s="113"/>
      <c r="P302" s="32">
        <v>222.0</v>
      </c>
      <c r="Q302" s="32"/>
      <c r="R302" s="32"/>
      <c r="S302" s="32"/>
      <c r="T302" s="32"/>
      <c r="U302" s="32"/>
      <c r="V302" s="32"/>
      <c r="W302" s="32"/>
      <c r="X302" s="32"/>
      <c r="Y302" s="32"/>
      <c r="Z302" s="32"/>
    </row>
    <row r="303">
      <c r="A303" s="44" t="s">
        <v>1130</v>
      </c>
      <c r="B303" s="26" t="s">
        <v>1131</v>
      </c>
      <c r="C303" s="22">
        <v>9500000.0</v>
      </c>
      <c r="D303" s="23">
        <v>2016.0</v>
      </c>
      <c r="E303" s="101">
        <v>42705.0</v>
      </c>
      <c r="F303" s="26" t="s">
        <v>1132</v>
      </c>
      <c r="G303" s="26" t="s">
        <v>28</v>
      </c>
      <c r="H303" s="26" t="s">
        <v>23</v>
      </c>
      <c r="I303" s="28"/>
      <c r="J303" s="23">
        <v>1.0</v>
      </c>
      <c r="K303" s="57"/>
      <c r="L303" s="28"/>
      <c r="M303" s="53" t="s">
        <v>1133</v>
      </c>
      <c r="N303" s="106" t="s">
        <v>1134</v>
      </c>
      <c r="O303" s="113"/>
      <c r="P303" s="32">
        <v>221.0</v>
      </c>
      <c r="Q303" s="32"/>
      <c r="R303" s="32"/>
      <c r="S303" s="32"/>
      <c r="T303" s="32"/>
      <c r="U303" s="32"/>
      <c r="V303" s="32"/>
      <c r="W303" s="32"/>
      <c r="X303" s="32"/>
      <c r="Y303" s="32"/>
      <c r="Z303" s="32"/>
    </row>
    <row r="304">
      <c r="A304" s="144" t="s">
        <v>1135</v>
      </c>
      <c r="B304" s="142"/>
      <c r="C304" s="119">
        <v>2000000.0</v>
      </c>
      <c r="D304" s="23">
        <v>2016.0</v>
      </c>
      <c r="E304" s="101">
        <v>42552.0</v>
      </c>
      <c r="F304" s="34" t="s">
        <v>1136</v>
      </c>
      <c r="G304" s="28" t="s">
        <v>28</v>
      </c>
      <c r="H304" s="28" t="s">
        <v>23</v>
      </c>
      <c r="I304" s="53"/>
      <c r="J304" s="57">
        <v>1.0</v>
      </c>
      <c r="K304" s="57"/>
      <c r="L304" s="53"/>
      <c r="M304" s="34" t="s">
        <v>575</v>
      </c>
      <c r="N304" s="106" t="s">
        <v>1137</v>
      </c>
      <c r="O304" s="117"/>
      <c r="P304" s="32">
        <v>220.0</v>
      </c>
      <c r="Q304" s="32"/>
      <c r="R304" s="32"/>
      <c r="S304" s="32"/>
      <c r="T304" s="32"/>
      <c r="U304" s="32"/>
      <c r="V304" s="32"/>
      <c r="W304" s="32"/>
      <c r="X304" s="32"/>
      <c r="Y304" s="32"/>
      <c r="Z304" s="32"/>
    </row>
    <row r="305">
      <c r="A305" s="20" t="s">
        <v>1138</v>
      </c>
      <c r="B305" s="111" t="s">
        <v>1139</v>
      </c>
      <c r="C305" s="22">
        <v>1025.0</v>
      </c>
      <c r="D305" s="23">
        <v>2016.0</v>
      </c>
      <c r="E305" s="101">
        <v>42552.0</v>
      </c>
      <c r="F305" s="26" t="s">
        <v>1140</v>
      </c>
      <c r="G305" s="26" t="s">
        <v>43</v>
      </c>
      <c r="H305" s="26" t="s">
        <v>23</v>
      </c>
      <c r="I305" s="26" t="s">
        <v>29</v>
      </c>
      <c r="J305" s="23">
        <v>3.0</v>
      </c>
      <c r="K305" s="57"/>
      <c r="L305" s="28"/>
      <c r="M305" s="34" t="s">
        <v>278</v>
      </c>
      <c r="N305" s="106" t="s">
        <v>1141</v>
      </c>
      <c r="O305" s="113"/>
      <c r="P305" s="32">
        <v>219.0</v>
      </c>
      <c r="Q305" s="32"/>
      <c r="R305" s="32"/>
      <c r="S305" s="32"/>
      <c r="T305" s="32"/>
      <c r="U305" s="32"/>
      <c r="V305" s="32"/>
      <c r="W305" s="32"/>
      <c r="X305" s="32"/>
      <c r="Y305" s="32"/>
      <c r="Z305" s="32"/>
    </row>
    <row r="306">
      <c r="A306" s="144" t="s">
        <v>1142</v>
      </c>
      <c r="B306" s="142"/>
      <c r="C306" s="22">
        <v>5000000.0</v>
      </c>
      <c r="D306" s="23">
        <v>2016.0</v>
      </c>
      <c r="E306" s="101">
        <v>42552.0</v>
      </c>
      <c r="F306" s="34" t="s">
        <v>1143</v>
      </c>
      <c r="G306" s="28" t="s">
        <v>64</v>
      </c>
      <c r="H306" s="28" t="s">
        <v>23</v>
      </c>
      <c r="I306" s="53"/>
      <c r="J306" s="23">
        <v>2.0</v>
      </c>
      <c r="K306" s="57"/>
      <c r="L306" s="53"/>
      <c r="M306" s="34" t="s">
        <v>286</v>
      </c>
      <c r="N306" s="106" t="s">
        <v>1144</v>
      </c>
      <c r="O306" s="117"/>
      <c r="P306" s="32">
        <v>218.0</v>
      </c>
      <c r="Q306" s="32"/>
      <c r="R306" s="32"/>
      <c r="S306" s="32"/>
      <c r="T306" s="32"/>
      <c r="U306" s="32"/>
      <c r="V306" s="32"/>
      <c r="W306" s="32"/>
      <c r="X306" s="32"/>
      <c r="Y306" s="32"/>
      <c r="Z306" s="32"/>
    </row>
    <row r="307">
      <c r="A307" s="145" t="s">
        <v>1145</v>
      </c>
      <c r="B307" s="142"/>
      <c r="C307" s="22">
        <v>35000.0</v>
      </c>
      <c r="D307" s="23">
        <v>2016.0</v>
      </c>
      <c r="E307" s="101">
        <v>42522.0</v>
      </c>
      <c r="F307" s="26" t="s">
        <v>1146</v>
      </c>
      <c r="G307" s="28" t="s">
        <v>28</v>
      </c>
      <c r="H307" s="28" t="s">
        <v>23</v>
      </c>
      <c r="I307" s="53"/>
      <c r="J307" s="57">
        <v>1.0</v>
      </c>
      <c r="K307" s="57"/>
      <c r="L307" s="53"/>
      <c r="M307" s="53" t="s">
        <v>1147</v>
      </c>
      <c r="N307" s="146" t="s">
        <v>1148</v>
      </c>
      <c r="O307" s="117"/>
      <c r="P307" s="32">
        <v>217.0</v>
      </c>
      <c r="Q307" s="32"/>
      <c r="R307" s="32"/>
      <c r="S307" s="32"/>
      <c r="T307" s="32"/>
      <c r="U307" s="32"/>
      <c r="V307" s="32"/>
      <c r="W307" s="32"/>
      <c r="X307" s="32"/>
      <c r="Y307" s="32"/>
      <c r="Z307" s="32"/>
    </row>
    <row r="308">
      <c r="A308" s="20" t="s">
        <v>1149</v>
      </c>
      <c r="B308" s="111" t="s">
        <v>1150</v>
      </c>
      <c r="C308" s="22">
        <v>2200000.0</v>
      </c>
      <c r="D308" s="23">
        <v>2016.0</v>
      </c>
      <c r="E308" s="101">
        <v>42522.0</v>
      </c>
      <c r="F308" s="26" t="s">
        <v>1151</v>
      </c>
      <c r="G308" s="26" t="s">
        <v>38</v>
      </c>
      <c r="H308" s="26" t="s">
        <v>51</v>
      </c>
      <c r="I308" s="28"/>
      <c r="J308" s="23">
        <v>3.0</v>
      </c>
      <c r="K308" s="57"/>
      <c r="L308" s="28"/>
      <c r="M308" s="53" t="s">
        <v>1152</v>
      </c>
      <c r="N308" s="106" t="s">
        <v>1153</v>
      </c>
      <c r="O308" s="113"/>
      <c r="P308" s="32">
        <v>216.0</v>
      </c>
      <c r="Q308" s="32"/>
      <c r="R308" s="32"/>
      <c r="S308" s="32"/>
      <c r="T308" s="32"/>
      <c r="U308" s="32"/>
      <c r="V308" s="32"/>
      <c r="W308" s="32"/>
      <c r="X308" s="32"/>
      <c r="Y308" s="32"/>
      <c r="Z308" s="32"/>
    </row>
    <row r="309">
      <c r="A309" s="20" t="s">
        <v>1154</v>
      </c>
      <c r="B309" s="111" t="s">
        <v>1155</v>
      </c>
      <c r="C309" s="22">
        <v>112000.0</v>
      </c>
      <c r="D309" s="23">
        <v>2016.0</v>
      </c>
      <c r="E309" s="101">
        <v>42522.0</v>
      </c>
      <c r="F309" s="26" t="s">
        <v>1156</v>
      </c>
      <c r="G309" s="26" t="s">
        <v>258</v>
      </c>
      <c r="H309" s="26" t="s">
        <v>59</v>
      </c>
      <c r="I309" s="28"/>
      <c r="J309" s="23">
        <v>5.0</v>
      </c>
      <c r="K309" s="57"/>
      <c r="L309" s="28"/>
      <c r="M309" s="53" t="s">
        <v>905</v>
      </c>
      <c r="N309" s="106" t="s">
        <v>1157</v>
      </c>
      <c r="O309" s="113"/>
      <c r="P309" s="32">
        <v>215.0</v>
      </c>
      <c r="Q309" s="32"/>
      <c r="R309" s="32"/>
      <c r="S309" s="32"/>
      <c r="T309" s="32"/>
      <c r="U309" s="32"/>
      <c r="V309" s="32"/>
      <c r="W309" s="32"/>
      <c r="X309" s="32"/>
      <c r="Y309" s="32"/>
      <c r="Z309" s="32"/>
    </row>
    <row r="310">
      <c r="A310" s="20" t="s">
        <v>1158</v>
      </c>
      <c r="B310" s="111" t="s">
        <v>1159</v>
      </c>
      <c r="C310" s="22">
        <v>1.71E8</v>
      </c>
      <c r="D310" s="23">
        <v>2016.0</v>
      </c>
      <c r="E310" s="101">
        <v>42522.0</v>
      </c>
      <c r="F310" s="26" t="s">
        <v>1160</v>
      </c>
      <c r="G310" s="26" t="s">
        <v>28</v>
      </c>
      <c r="H310" s="26" t="s">
        <v>23</v>
      </c>
      <c r="I310" s="28"/>
      <c r="J310" s="23">
        <v>4.0</v>
      </c>
      <c r="K310" s="27" t="s">
        <v>517</v>
      </c>
      <c r="L310" s="28"/>
      <c r="M310" s="53" t="s">
        <v>886</v>
      </c>
      <c r="N310" s="106" t="s">
        <v>1161</v>
      </c>
      <c r="O310" s="113"/>
      <c r="P310" s="32">
        <v>214.0</v>
      </c>
      <c r="Q310" s="32"/>
      <c r="R310" s="32"/>
      <c r="S310" s="32"/>
      <c r="T310" s="32"/>
      <c r="U310" s="32"/>
      <c r="V310" s="32"/>
      <c r="W310" s="32"/>
      <c r="X310" s="32"/>
      <c r="Y310" s="32"/>
      <c r="Z310" s="32"/>
    </row>
    <row r="311">
      <c r="A311" s="147" t="s">
        <v>1162</v>
      </c>
      <c r="B311" s="148" t="s">
        <v>1163</v>
      </c>
      <c r="C311" s="149">
        <v>1500000.0</v>
      </c>
      <c r="D311" s="23">
        <v>2016.0</v>
      </c>
      <c r="E311" s="134">
        <v>42430.0</v>
      </c>
      <c r="F311" s="150" t="s">
        <v>1164</v>
      </c>
      <c r="G311" s="150" t="s">
        <v>28</v>
      </c>
      <c r="H311" s="150" t="s">
        <v>23</v>
      </c>
      <c r="I311" s="151"/>
      <c r="J311" s="129">
        <v>4.0</v>
      </c>
      <c r="K311" s="57"/>
      <c r="L311" s="151"/>
      <c r="M311" s="53" t="s">
        <v>886</v>
      </c>
      <c r="N311" s="106" t="s">
        <v>1165</v>
      </c>
      <c r="O311" s="113"/>
      <c r="P311" s="32">
        <v>213.0</v>
      </c>
      <c r="Q311" s="32"/>
      <c r="R311" s="32"/>
      <c r="S311" s="32"/>
      <c r="T311" s="32"/>
      <c r="U311" s="32"/>
      <c r="V311" s="32"/>
      <c r="W311" s="32"/>
      <c r="X311" s="32"/>
      <c r="Y311" s="32"/>
      <c r="Z311" s="32"/>
    </row>
    <row r="312">
      <c r="A312" s="20" t="s">
        <v>1166</v>
      </c>
      <c r="B312" s="26" t="s">
        <v>1167</v>
      </c>
      <c r="C312" s="22">
        <v>4.0E7</v>
      </c>
      <c r="D312" s="23">
        <v>2016.0</v>
      </c>
      <c r="E312" s="101">
        <v>42491.0</v>
      </c>
      <c r="F312" s="26" t="s">
        <v>1168</v>
      </c>
      <c r="G312" s="26" t="s">
        <v>28</v>
      </c>
      <c r="H312" s="26" t="s">
        <v>23</v>
      </c>
      <c r="I312" s="28"/>
      <c r="J312" s="23">
        <v>4.0</v>
      </c>
      <c r="K312" s="57"/>
      <c r="L312" s="28"/>
      <c r="M312" s="34" t="s">
        <v>1169</v>
      </c>
      <c r="N312" s="146" t="s">
        <v>1170</v>
      </c>
      <c r="O312" s="113"/>
      <c r="P312" s="32">
        <v>212.0</v>
      </c>
      <c r="Q312" s="32"/>
      <c r="R312" s="32"/>
      <c r="S312" s="32"/>
      <c r="T312" s="32"/>
      <c r="U312" s="32"/>
      <c r="V312" s="32"/>
      <c r="W312" s="32"/>
      <c r="X312" s="32"/>
      <c r="Y312" s="32"/>
      <c r="Z312" s="32"/>
    </row>
    <row r="313">
      <c r="A313" s="20" t="s">
        <v>1171</v>
      </c>
      <c r="B313" s="138"/>
      <c r="C313" s="22">
        <v>1.64E8</v>
      </c>
      <c r="D313" s="23">
        <v>2016.0</v>
      </c>
      <c r="E313" s="101">
        <v>42491.0</v>
      </c>
      <c r="F313" s="26" t="s">
        <v>1172</v>
      </c>
      <c r="G313" s="26" t="s">
        <v>28</v>
      </c>
      <c r="H313" s="26" t="s">
        <v>23</v>
      </c>
      <c r="I313" s="28"/>
      <c r="J313" s="23">
        <v>1.0</v>
      </c>
      <c r="K313" s="27" t="s">
        <v>1173</v>
      </c>
      <c r="L313" s="28"/>
      <c r="M313" s="34" t="s">
        <v>30</v>
      </c>
      <c r="N313" s="106" t="s">
        <v>1174</v>
      </c>
      <c r="O313" s="113"/>
      <c r="P313" s="32">
        <v>211.0</v>
      </c>
      <c r="Q313" s="32"/>
      <c r="R313" s="32"/>
      <c r="S313" s="32"/>
      <c r="T313" s="32"/>
      <c r="U313" s="32"/>
      <c r="V313" s="32"/>
      <c r="W313" s="32"/>
      <c r="X313" s="32"/>
      <c r="Y313" s="32"/>
      <c r="Z313" s="32"/>
    </row>
    <row r="314">
      <c r="A314" s="137" t="s">
        <v>1175</v>
      </c>
      <c r="B314" s="139" t="s">
        <v>1176</v>
      </c>
      <c r="C314" s="22">
        <v>130000.0</v>
      </c>
      <c r="D314" s="23">
        <v>2016.0</v>
      </c>
      <c r="E314" s="101">
        <v>42675.0</v>
      </c>
      <c r="F314" s="26" t="s">
        <v>1177</v>
      </c>
      <c r="G314" s="139" t="s">
        <v>129</v>
      </c>
      <c r="H314" s="26" t="s">
        <v>23</v>
      </c>
      <c r="I314" s="53"/>
      <c r="J314" s="23">
        <v>2.0</v>
      </c>
      <c r="K314" s="57"/>
      <c r="L314" s="53"/>
      <c r="M314" s="53" t="s">
        <v>1175</v>
      </c>
      <c r="N314" s="152" t="s">
        <v>1178</v>
      </c>
      <c r="O314" s="117"/>
      <c r="P314" s="32">
        <v>210.0</v>
      </c>
      <c r="Q314" s="32"/>
      <c r="R314" s="32"/>
      <c r="S314" s="32"/>
      <c r="T314" s="32"/>
      <c r="U314" s="32"/>
      <c r="V314" s="32"/>
      <c r="W314" s="32"/>
      <c r="X314" s="32"/>
      <c r="Y314" s="32"/>
      <c r="Z314" s="32"/>
    </row>
    <row r="315">
      <c r="A315" s="20" t="s">
        <v>1179</v>
      </c>
      <c r="B315" s="26"/>
      <c r="C315" s="22">
        <v>550000.0</v>
      </c>
      <c r="D315" s="23">
        <v>2016.0</v>
      </c>
      <c r="E315" s="101">
        <v>42644.0</v>
      </c>
      <c r="F315" s="26" t="s">
        <v>1180</v>
      </c>
      <c r="G315" s="26" t="s">
        <v>258</v>
      </c>
      <c r="H315" s="105" t="s">
        <v>142</v>
      </c>
      <c r="I315" s="28"/>
      <c r="J315" s="23">
        <v>4.0</v>
      </c>
      <c r="K315" s="57"/>
      <c r="L315" s="28"/>
      <c r="M315" s="53" t="s">
        <v>829</v>
      </c>
      <c r="N315" s="106" t="s">
        <v>1181</v>
      </c>
      <c r="O315" s="113"/>
      <c r="P315" s="32">
        <v>209.0</v>
      </c>
      <c r="Q315" s="32"/>
      <c r="R315" s="32"/>
      <c r="S315" s="32"/>
      <c r="T315" s="32"/>
      <c r="U315" s="32"/>
      <c r="V315" s="32"/>
      <c r="W315" s="32"/>
      <c r="X315" s="32"/>
      <c r="Y315" s="32"/>
      <c r="Z315" s="32"/>
    </row>
    <row r="316">
      <c r="A316" s="144" t="s">
        <v>1182</v>
      </c>
      <c r="B316" s="138" t="s">
        <v>1183</v>
      </c>
      <c r="C316" s="119">
        <v>1.5E7</v>
      </c>
      <c r="D316" s="23">
        <v>2016.0</v>
      </c>
      <c r="E316" s="101">
        <v>42583.0</v>
      </c>
      <c r="F316" s="50" t="s">
        <v>1184</v>
      </c>
      <c r="G316" s="26" t="s">
        <v>28</v>
      </c>
      <c r="H316" s="28" t="s">
        <v>23</v>
      </c>
      <c r="I316" s="53"/>
      <c r="J316" s="57">
        <v>1.0</v>
      </c>
      <c r="K316" s="57"/>
      <c r="L316" s="53"/>
      <c r="M316" s="53" t="s">
        <v>1185</v>
      </c>
      <c r="N316" s="153" t="s">
        <v>1186</v>
      </c>
      <c r="O316" s="117"/>
      <c r="P316" s="32">
        <v>208.0</v>
      </c>
      <c r="Q316" s="32"/>
      <c r="R316" s="32"/>
      <c r="S316" s="32"/>
      <c r="T316" s="32"/>
      <c r="U316" s="32"/>
      <c r="V316" s="32"/>
      <c r="W316" s="32"/>
      <c r="X316" s="32"/>
      <c r="Y316" s="32"/>
      <c r="Z316" s="32"/>
    </row>
    <row r="317">
      <c r="A317" s="20" t="s">
        <v>1187</v>
      </c>
      <c r="B317" s="26" t="s">
        <v>1188</v>
      </c>
      <c r="C317" s="22">
        <v>8.52E7</v>
      </c>
      <c r="D317" s="23">
        <v>2016.0</v>
      </c>
      <c r="E317" s="101">
        <v>42705.0</v>
      </c>
      <c r="F317" s="26" t="s">
        <v>1189</v>
      </c>
      <c r="G317" s="26" t="s">
        <v>28</v>
      </c>
      <c r="H317" s="130" t="s">
        <v>23</v>
      </c>
      <c r="I317" s="28"/>
      <c r="J317" s="23">
        <v>1.0</v>
      </c>
      <c r="K317" s="57"/>
      <c r="L317" s="28"/>
      <c r="M317" s="53" t="s">
        <v>571</v>
      </c>
      <c r="N317" s="106" t="s">
        <v>1190</v>
      </c>
      <c r="O317" s="113"/>
      <c r="P317" s="32">
        <v>207.0</v>
      </c>
      <c r="Q317" s="32"/>
      <c r="R317" s="32"/>
      <c r="S317" s="32"/>
      <c r="T317" s="32"/>
      <c r="U317" s="32"/>
      <c r="V317" s="32"/>
      <c r="W317" s="32"/>
      <c r="X317" s="32"/>
      <c r="Y317" s="32"/>
      <c r="Z317" s="32"/>
    </row>
    <row r="318">
      <c r="A318" s="20" t="s">
        <v>1191</v>
      </c>
      <c r="B318" s="26"/>
      <c r="C318" s="22">
        <v>4.3E7</v>
      </c>
      <c r="D318" s="23">
        <v>2016.0</v>
      </c>
      <c r="E318" s="101">
        <v>42644.0</v>
      </c>
      <c r="F318" s="26" t="s">
        <v>1192</v>
      </c>
      <c r="G318" s="26" t="s">
        <v>28</v>
      </c>
      <c r="H318" s="26" t="s">
        <v>23</v>
      </c>
      <c r="I318" s="28"/>
      <c r="J318" s="23">
        <v>4.0</v>
      </c>
      <c r="K318" s="57"/>
      <c r="L318" s="28"/>
      <c r="M318" s="53" t="s">
        <v>34</v>
      </c>
      <c r="N318" s="106" t="s">
        <v>1193</v>
      </c>
      <c r="O318" s="113"/>
      <c r="P318" s="32">
        <v>206.0</v>
      </c>
      <c r="Q318" s="32"/>
      <c r="R318" s="32"/>
      <c r="S318" s="32"/>
      <c r="T318" s="32"/>
      <c r="U318" s="32"/>
      <c r="V318" s="32"/>
      <c r="W318" s="32"/>
      <c r="X318" s="32"/>
      <c r="Y318" s="32"/>
      <c r="Z318" s="32"/>
    </row>
    <row r="319">
      <c r="A319" s="20" t="s">
        <v>1194</v>
      </c>
      <c r="B319" s="26"/>
      <c r="C319" s="22">
        <v>1.0E7</v>
      </c>
      <c r="D319" s="23">
        <v>2016.0</v>
      </c>
      <c r="E319" s="101">
        <v>42552.0</v>
      </c>
      <c r="F319" s="34" t="s">
        <v>1195</v>
      </c>
      <c r="G319" s="26" t="s">
        <v>28</v>
      </c>
      <c r="H319" s="26" t="s">
        <v>23</v>
      </c>
      <c r="I319" s="28"/>
      <c r="J319" s="23">
        <v>2.0</v>
      </c>
      <c r="K319" s="57"/>
      <c r="L319" s="28"/>
      <c r="M319" s="53" t="s">
        <v>1196</v>
      </c>
      <c r="N319" s="106" t="s">
        <v>1197</v>
      </c>
      <c r="O319" s="113"/>
      <c r="P319" s="32">
        <v>205.0</v>
      </c>
      <c r="Q319" s="32"/>
      <c r="R319" s="32"/>
      <c r="S319" s="32"/>
      <c r="T319" s="32"/>
      <c r="U319" s="32"/>
      <c r="V319" s="32"/>
      <c r="W319" s="32"/>
      <c r="X319" s="32"/>
      <c r="Y319" s="32"/>
      <c r="Z319" s="32"/>
    </row>
    <row r="320">
      <c r="A320" s="20" t="s">
        <v>712</v>
      </c>
      <c r="B320" s="26"/>
      <c r="C320" s="22">
        <v>34000.0</v>
      </c>
      <c r="D320" s="23">
        <v>2016.0</v>
      </c>
      <c r="E320" s="101">
        <v>42705.0</v>
      </c>
      <c r="F320" s="26" t="s">
        <v>1198</v>
      </c>
      <c r="G320" s="26" t="s">
        <v>258</v>
      </c>
      <c r="H320" s="130" t="s">
        <v>23</v>
      </c>
      <c r="I320" s="28"/>
      <c r="J320" s="23">
        <v>4.0</v>
      </c>
      <c r="K320" s="57"/>
      <c r="L320" s="28"/>
      <c r="M320" s="53" t="s">
        <v>1199</v>
      </c>
      <c r="N320" s="106" t="s">
        <v>1200</v>
      </c>
      <c r="O320" s="113"/>
      <c r="P320" s="32">
        <v>204.0</v>
      </c>
      <c r="Q320" s="32"/>
      <c r="R320" s="32"/>
      <c r="S320" s="32"/>
      <c r="T320" s="32"/>
      <c r="U320" s="32"/>
      <c r="V320" s="32"/>
      <c r="W320" s="32"/>
      <c r="X320" s="32"/>
      <c r="Y320" s="32"/>
      <c r="Z320" s="32"/>
    </row>
    <row r="321">
      <c r="A321" s="52" t="s">
        <v>1201</v>
      </c>
      <c r="B321" s="34" t="s">
        <v>1202</v>
      </c>
      <c r="C321" s="22">
        <v>4.12E8</v>
      </c>
      <c r="D321" s="23">
        <v>2016.0</v>
      </c>
      <c r="E321" s="101">
        <v>42675.0</v>
      </c>
      <c r="F321" s="34" t="s">
        <v>1203</v>
      </c>
      <c r="G321" s="115" t="s">
        <v>28</v>
      </c>
      <c r="H321" s="115" t="s">
        <v>23</v>
      </c>
      <c r="I321" s="53"/>
      <c r="J321" s="154">
        <v>1.0</v>
      </c>
      <c r="K321" s="27" t="s">
        <v>1204</v>
      </c>
      <c r="L321" s="28"/>
      <c r="M321" s="34" t="s">
        <v>571</v>
      </c>
      <c r="N321" s="146" t="s">
        <v>1205</v>
      </c>
      <c r="O321" s="155"/>
      <c r="P321" s="32">
        <v>203.0</v>
      </c>
      <c r="Q321" s="32"/>
      <c r="R321" s="32"/>
      <c r="S321" s="32"/>
      <c r="T321" s="32"/>
      <c r="U321" s="32"/>
      <c r="V321" s="32"/>
      <c r="W321" s="32"/>
      <c r="X321" s="32"/>
      <c r="Y321" s="32"/>
      <c r="Z321" s="32"/>
    </row>
    <row r="322">
      <c r="A322" s="20" t="s">
        <v>1206</v>
      </c>
      <c r="B322" s="26" t="s">
        <v>1207</v>
      </c>
      <c r="C322" s="22">
        <v>790724.0</v>
      </c>
      <c r="D322" s="23">
        <v>2016.0</v>
      </c>
      <c r="E322" s="101">
        <v>42614.0</v>
      </c>
      <c r="F322" s="34" t="s">
        <v>1208</v>
      </c>
      <c r="G322" s="26" t="s">
        <v>28</v>
      </c>
      <c r="H322" s="26" t="s">
        <v>23</v>
      </c>
      <c r="I322" s="28"/>
      <c r="J322" s="23">
        <v>4.0</v>
      </c>
      <c r="K322" s="23"/>
      <c r="L322" s="26"/>
      <c r="M322" s="34" t="s">
        <v>30</v>
      </c>
      <c r="N322" s="106" t="s">
        <v>1209</v>
      </c>
      <c r="O322" s="113"/>
      <c r="P322" s="32">
        <v>202.0</v>
      </c>
      <c r="Q322" s="32"/>
      <c r="R322" s="32"/>
      <c r="S322" s="32"/>
      <c r="T322" s="32"/>
      <c r="U322" s="32"/>
      <c r="V322" s="32"/>
      <c r="W322" s="32"/>
      <c r="X322" s="32"/>
      <c r="Y322" s="32"/>
      <c r="Z322" s="32"/>
    </row>
    <row r="323">
      <c r="A323" s="20" t="s">
        <v>1210</v>
      </c>
      <c r="B323" s="26"/>
      <c r="C323" s="22">
        <v>6600000.0</v>
      </c>
      <c r="D323" s="23">
        <v>2016.0</v>
      </c>
      <c r="E323" s="101">
        <v>42614.0</v>
      </c>
      <c r="F323" s="26" t="s">
        <v>1211</v>
      </c>
      <c r="G323" s="26" t="s">
        <v>28</v>
      </c>
      <c r="H323" s="26" t="s">
        <v>23</v>
      </c>
      <c r="I323" s="28"/>
      <c r="J323" s="23">
        <v>5.0</v>
      </c>
      <c r="K323" s="57"/>
      <c r="L323" s="28"/>
      <c r="M323" s="53" t="s">
        <v>1212</v>
      </c>
      <c r="N323" s="106" t="s">
        <v>1213</v>
      </c>
      <c r="O323" s="113"/>
      <c r="P323" s="32">
        <v>201.0</v>
      </c>
      <c r="Q323" s="32"/>
      <c r="R323" s="32"/>
      <c r="S323" s="32"/>
      <c r="T323" s="32"/>
      <c r="U323" s="32"/>
      <c r="V323" s="32"/>
      <c r="W323" s="32"/>
      <c r="X323" s="32"/>
      <c r="Y323" s="32"/>
      <c r="Z323" s="32"/>
    </row>
    <row r="324">
      <c r="A324" s="114" t="s">
        <v>1214</v>
      </c>
      <c r="B324" s="115" t="s">
        <v>1215</v>
      </c>
      <c r="C324" s="22">
        <v>1100000.0</v>
      </c>
      <c r="D324" s="23">
        <v>2015.0</v>
      </c>
      <c r="E324" s="101">
        <v>42125.0</v>
      </c>
      <c r="F324" s="34" t="s">
        <v>1216</v>
      </c>
      <c r="G324" s="26" t="s">
        <v>258</v>
      </c>
      <c r="H324" s="115" t="s">
        <v>23</v>
      </c>
      <c r="I324" s="53"/>
      <c r="J324" s="154">
        <v>1.0</v>
      </c>
      <c r="K324" s="57"/>
      <c r="L324" s="53"/>
      <c r="M324" s="34" t="s">
        <v>702</v>
      </c>
      <c r="N324" s="146" t="s">
        <v>1217</v>
      </c>
      <c r="O324" s="19"/>
      <c r="P324" s="32">
        <v>200.0</v>
      </c>
      <c r="Q324" s="32"/>
      <c r="R324" s="32"/>
      <c r="S324" s="32"/>
      <c r="T324" s="32"/>
      <c r="U324" s="32"/>
      <c r="V324" s="32"/>
      <c r="W324" s="32"/>
      <c r="X324" s="32"/>
      <c r="Y324" s="32"/>
      <c r="Z324" s="32"/>
    </row>
    <row r="325">
      <c r="A325" s="156" t="s">
        <v>499</v>
      </c>
      <c r="B325" s="115" t="s">
        <v>1218</v>
      </c>
      <c r="C325" s="22">
        <v>1.0E7</v>
      </c>
      <c r="D325" s="23">
        <v>2015.0</v>
      </c>
      <c r="E325" s="101">
        <v>42064.0</v>
      </c>
      <c r="F325" s="34" t="s">
        <v>1219</v>
      </c>
      <c r="G325" s="26" t="s">
        <v>258</v>
      </c>
      <c r="H325" s="115" t="s">
        <v>23</v>
      </c>
      <c r="I325" s="53"/>
      <c r="J325" s="154">
        <v>1.0</v>
      </c>
      <c r="K325" s="57"/>
      <c r="L325" s="53"/>
      <c r="M325" s="53" t="s">
        <v>499</v>
      </c>
      <c r="N325" s="157" t="s">
        <v>1220</v>
      </c>
      <c r="O325" s="19"/>
      <c r="P325" s="32">
        <v>199.0</v>
      </c>
      <c r="Q325" s="32"/>
      <c r="R325" s="32"/>
      <c r="S325" s="32"/>
      <c r="T325" s="32"/>
      <c r="U325" s="32"/>
      <c r="V325" s="32"/>
      <c r="W325" s="32"/>
      <c r="X325" s="32"/>
      <c r="Y325" s="32"/>
      <c r="Z325" s="32"/>
    </row>
    <row r="326">
      <c r="A326" s="114" t="s">
        <v>1221</v>
      </c>
      <c r="B326" s="115" t="s">
        <v>1222</v>
      </c>
      <c r="C326" s="22">
        <v>1.1E7</v>
      </c>
      <c r="D326" s="23">
        <v>2015.0</v>
      </c>
      <c r="E326" s="101">
        <v>42064.0</v>
      </c>
      <c r="F326" s="34" t="s">
        <v>1223</v>
      </c>
      <c r="G326" s="26" t="s">
        <v>258</v>
      </c>
      <c r="H326" s="115" t="s">
        <v>23</v>
      </c>
      <c r="I326" s="53"/>
      <c r="J326" s="23">
        <v>5.0</v>
      </c>
      <c r="K326" s="57"/>
      <c r="L326" s="53"/>
      <c r="M326" s="34" t="s">
        <v>1224</v>
      </c>
      <c r="N326" s="157" t="s">
        <v>1225</v>
      </c>
      <c r="O326" s="19"/>
      <c r="P326" s="32">
        <v>198.0</v>
      </c>
      <c r="Q326" s="32"/>
      <c r="R326" s="32"/>
      <c r="S326" s="32"/>
      <c r="T326" s="32"/>
      <c r="U326" s="32"/>
      <c r="V326" s="32"/>
      <c r="W326" s="32"/>
      <c r="X326" s="32"/>
      <c r="Y326" s="32"/>
      <c r="Z326" s="32"/>
    </row>
    <row r="327">
      <c r="A327" s="114" t="s">
        <v>288</v>
      </c>
      <c r="B327" s="53"/>
      <c r="C327" s="22">
        <v>50000.0</v>
      </c>
      <c r="D327" s="23">
        <v>2015.0</v>
      </c>
      <c r="E327" s="101">
        <v>42036.0</v>
      </c>
      <c r="F327" s="34" t="s">
        <v>1226</v>
      </c>
      <c r="G327" s="26" t="s">
        <v>1227</v>
      </c>
      <c r="H327" s="115" t="s">
        <v>51</v>
      </c>
      <c r="I327" s="53"/>
      <c r="J327" s="154">
        <v>1.0</v>
      </c>
      <c r="K327" s="57"/>
      <c r="L327" s="53"/>
      <c r="M327" s="34" t="s">
        <v>880</v>
      </c>
      <c r="N327" s="157" t="s">
        <v>1228</v>
      </c>
      <c r="O327" s="19"/>
      <c r="P327" s="32">
        <v>197.0</v>
      </c>
      <c r="Q327" s="32"/>
      <c r="R327" s="32"/>
      <c r="S327" s="32"/>
      <c r="T327" s="32"/>
      <c r="U327" s="32"/>
      <c r="V327" s="32"/>
      <c r="W327" s="32"/>
      <c r="X327" s="32"/>
      <c r="Y327" s="32"/>
      <c r="Z327" s="32"/>
    </row>
    <row r="328">
      <c r="A328" s="137" t="s">
        <v>1229</v>
      </c>
      <c r="B328" s="142"/>
      <c r="C328" s="119">
        <v>1.98E8</v>
      </c>
      <c r="D328" s="23">
        <v>2015.0</v>
      </c>
      <c r="E328" s="101">
        <v>42339.0</v>
      </c>
      <c r="F328" s="26" t="s">
        <v>1230</v>
      </c>
      <c r="G328" s="53" t="s">
        <v>28</v>
      </c>
      <c r="H328" s="26" t="s">
        <v>51</v>
      </c>
      <c r="I328" s="53"/>
      <c r="J328" s="23">
        <v>2.0</v>
      </c>
      <c r="K328" s="27" t="s">
        <v>1231</v>
      </c>
      <c r="L328" s="53"/>
      <c r="M328" s="53" t="s">
        <v>1232</v>
      </c>
      <c r="N328" s="152" t="s">
        <v>1233</v>
      </c>
      <c r="O328" s="158" t="s">
        <v>1234</v>
      </c>
      <c r="P328" s="32">
        <v>196.0</v>
      </c>
      <c r="Q328" s="32"/>
      <c r="R328" s="32"/>
      <c r="S328" s="32"/>
      <c r="T328" s="32"/>
      <c r="U328" s="32"/>
      <c r="V328" s="32"/>
      <c r="W328" s="32"/>
      <c r="X328" s="32"/>
      <c r="Y328" s="32"/>
      <c r="Z328" s="32"/>
    </row>
    <row r="329">
      <c r="A329" s="20" t="s">
        <v>1235</v>
      </c>
      <c r="B329" s="26" t="s">
        <v>1236</v>
      </c>
      <c r="C329" s="22">
        <v>1.3E7</v>
      </c>
      <c r="D329" s="23">
        <v>2015.0</v>
      </c>
      <c r="E329" s="101">
        <v>42339.0</v>
      </c>
      <c r="F329" s="26" t="s">
        <v>1237</v>
      </c>
      <c r="G329" s="26" t="s">
        <v>28</v>
      </c>
      <c r="H329" s="26" t="s">
        <v>23</v>
      </c>
      <c r="I329" s="28"/>
      <c r="J329" s="23">
        <v>1.0</v>
      </c>
      <c r="K329" s="57"/>
      <c r="L329" s="28"/>
      <c r="M329" s="34" t="s">
        <v>147</v>
      </c>
      <c r="N329" s="106" t="s">
        <v>1238</v>
      </c>
      <c r="O329" s="106" t="s">
        <v>1239</v>
      </c>
      <c r="P329" s="32">
        <v>195.0</v>
      </c>
      <c r="Q329" s="32"/>
      <c r="R329" s="32"/>
      <c r="S329" s="32"/>
      <c r="T329" s="32"/>
      <c r="U329" s="32"/>
      <c r="V329" s="32"/>
      <c r="W329" s="32"/>
      <c r="X329" s="32"/>
      <c r="Y329" s="32"/>
      <c r="Z329" s="32"/>
    </row>
    <row r="330">
      <c r="A330" s="20" t="s">
        <v>1240</v>
      </c>
      <c r="B330" s="111" t="s">
        <v>1241</v>
      </c>
      <c r="C330" s="22">
        <v>40000.0</v>
      </c>
      <c r="D330" s="23">
        <v>2015.0</v>
      </c>
      <c r="E330" s="101">
        <v>42339.0</v>
      </c>
      <c r="F330" s="26" t="s">
        <v>1242</v>
      </c>
      <c r="G330" s="26" t="s">
        <v>58</v>
      </c>
      <c r="H330" s="26" t="s">
        <v>23</v>
      </c>
      <c r="I330" s="28"/>
      <c r="J330" s="23">
        <v>4.0</v>
      </c>
      <c r="K330" s="57"/>
      <c r="L330" s="28"/>
      <c r="M330" s="53" t="s">
        <v>1243</v>
      </c>
      <c r="N330" s="106" t="s">
        <v>1244</v>
      </c>
      <c r="O330" s="113"/>
      <c r="P330" s="32">
        <v>194.0</v>
      </c>
      <c r="Q330" s="32"/>
      <c r="R330" s="32"/>
      <c r="S330" s="32"/>
      <c r="T330" s="32"/>
      <c r="U330" s="32"/>
      <c r="V330" s="32"/>
      <c r="W330" s="32"/>
      <c r="X330" s="32"/>
      <c r="Y330" s="32"/>
      <c r="Z330" s="32"/>
    </row>
    <row r="331">
      <c r="A331" s="20" t="s">
        <v>1245</v>
      </c>
      <c r="B331" s="111" t="s">
        <v>1246</v>
      </c>
      <c r="C331" s="22">
        <v>3300000.0</v>
      </c>
      <c r="D331" s="23">
        <v>2015.0</v>
      </c>
      <c r="E331" s="101">
        <v>42339.0</v>
      </c>
      <c r="F331" s="26" t="s">
        <v>1247</v>
      </c>
      <c r="G331" s="26" t="s">
        <v>28</v>
      </c>
      <c r="H331" s="26" t="s">
        <v>51</v>
      </c>
      <c r="I331" s="28"/>
      <c r="J331" s="23">
        <v>2.0</v>
      </c>
      <c r="K331" s="57"/>
      <c r="L331" s="28"/>
      <c r="M331" s="53" t="s">
        <v>1248</v>
      </c>
      <c r="N331" s="106" t="s">
        <v>1249</v>
      </c>
      <c r="O331" s="113"/>
      <c r="P331" s="32">
        <v>193.0</v>
      </c>
      <c r="Q331" s="32"/>
      <c r="R331" s="32"/>
      <c r="S331" s="32"/>
      <c r="T331" s="32"/>
      <c r="U331" s="32"/>
      <c r="V331" s="32"/>
      <c r="W331" s="32"/>
      <c r="X331" s="32"/>
      <c r="Y331" s="32"/>
      <c r="Z331" s="32"/>
    </row>
    <row r="332">
      <c r="A332" s="20" t="s">
        <v>1250</v>
      </c>
      <c r="B332" s="26" t="s">
        <v>1251</v>
      </c>
      <c r="C332" s="22">
        <v>6400000.0</v>
      </c>
      <c r="D332" s="23">
        <v>2015.0</v>
      </c>
      <c r="E332" s="101">
        <v>42339.0</v>
      </c>
      <c r="F332" s="26" t="s">
        <v>1252</v>
      </c>
      <c r="G332" s="26" t="s">
        <v>28</v>
      </c>
      <c r="H332" s="26" t="s">
        <v>23</v>
      </c>
      <c r="I332" s="28"/>
      <c r="J332" s="23">
        <v>5.0</v>
      </c>
      <c r="K332" s="57"/>
      <c r="L332" s="28"/>
      <c r="M332" s="53" t="s">
        <v>325</v>
      </c>
      <c r="N332" s="106" t="s">
        <v>1253</v>
      </c>
      <c r="O332" s="106" t="s">
        <v>1254</v>
      </c>
      <c r="P332" s="32">
        <v>192.0</v>
      </c>
      <c r="Q332" s="32"/>
      <c r="R332" s="32"/>
      <c r="S332" s="32"/>
      <c r="T332" s="32"/>
      <c r="U332" s="32"/>
      <c r="V332" s="32"/>
      <c r="W332" s="32"/>
      <c r="X332" s="32"/>
      <c r="Y332" s="32"/>
      <c r="Z332" s="32"/>
    </row>
    <row r="333">
      <c r="A333" s="114" t="s">
        <v>1255</v>
      </c>
      <c r="B333" s="53"/>
      <c r="C333" s="22">
        <v>500000.0</v>
      </c>
      <c r="D333" s="23">
        <v>2015.0</v>
      </c>
      <c r="E333" s="101">
        <v>42186.0</v>
      </c>
      <c r="F333" s="34" t="s">
        <v>1256</v>
      </c>
      <c r="G333" s="115" t="s">
        <v>28</v>
      </c>
      <c r="H333" s="115" t="s">
        <v>23</v>
      </c>
      <c r="I333" s="115" t="s">
        <v>29</v>
      </c>
      <c r="J333" s="23">
        <v>5.0</v>
      </c>
      <c r="K333" s="57"/>
      <c r="L333" s="53"/>
      <c r="M333" s="53" t="s">
        <v>325</v>
      </c>
      <c r="N333" s="116" t="s">
        <v>1257</v>
      </c>
      <c r="O333" s="19"/>
      <c r="P333" s="32">
        <v>191.0</v>
      </c>
      <c r="Q333" s="32"/>
      <c r="R333" s="32"/>
      <c r="S333" s="32"/>
      <c r="T333" s="32"/>
      <c r="U333" s="32"/>
      <c r="V333" s="32"/>
      <c r="W333" s="32"/>
      <c r="X333" s="32"/>
      <c r="Y333" s="32"/>
      <c r="Z333" s="32"/>
    </row>
    <row r="334">
      <c r="A334" s="159" t="s">
        <v>1258</v>
      </c>
      <c r="B334" s="115" t="s">
        <v>1259</v>
      </c>
      <c r="C334" s="22">
        <v>3.7E7</v>
      </c>
      <c r="D334" s="23">
        <v>2015.0</v>
      </c>
      <c r="E334" s="101">
        <v>42186.0</v>
      </c>
      <c r="F334" s="34" t="s">
        <v>1260</v>
      </c>
      <c r="G334" s="115" t="s">
        <v>28</v>
      </c>
      <c r="H334" s="115" t="s">
        <v>23</v>
      </c>
      <c r="I334" s="53"/>
      <c r="J334" s="23">
        <v>1.0</v>
      </c>
      <c r="K334" s="57"/>
      <c r="L334" s="53"/>
      <c r="M334" s="53" t="s">
        <v>702</v>
      </c>
      <c r="N334" s="160" t="s">
        <v>1261</v>
      </c>
      <c r="O334" s="19"/>
      <c r="P334" s="32">
        <v>190.0</v>
      </c>
      <c r="Q334" s="32"/>
      <c r="R334" s="32"/>
      <c r="S334" s="32"/>
      <c r="T334" s="32"/>
      <c r="U334" s="32"/>
      <c r="V334" s="32"/>
      <c r="W334" s="32"/>
      <c r="X334" s="32"/>
      <c r="Y334" s="32"/>
      <c r="Z334" s="32"/>
    </row>
    <row r="335">
      <c r="A335" s="114" t="s">
        <v>1262</v>
      </c>
      <c r="B335" s="53"/>
      <c r="C335" s="22">
        <v>2.15E7</v>
      </c>
      <c r="D335" s="23">
        <v>2015.0</v>
      </c>
      <c r="E335" s="101">
        <v>42186.0</v>
      </c>
      <c r="F335" s="34" t="s">
        <v>1263</v>
      </c>
      <c r="G335" s="115" t="s">
        <v>64</v>
      </c>
      <c r="H335" s="115" t="s">
        <v>23</v>
      </c>
      <c r="I335" s="53"/>
      <c r="J335" s="23">
        <v>5.0</v>
      </c>
      <c r="K335" s="57"/>
      <c r="L335" s="53"/>
      <c r="M335" s="53" t="s">
        <v>905</v>
      </c>
      <c r="N335" s="160" t="s">
        <v>1264</v>
      </c>
      <c r="O335" s="116" t="s">
        <v>1265</v>
      </c>
      <c r="P335" s="32">
        <v>189.0</v>
      </c>
      <c r="Q335" s="32"/>
      <c r="R335" s="32"/>
      <c r="S335" s="32"/>
      <c r="T335" s="32"/>
      <c r="U335" s="32"/>
      <c r="V335" s="32"/>
      <c r="W335" s="32"/>
      <c r="X335" s="32"/>
      <c r="Y335" s="32"/>
      <c r="Z335" s="32"/>
    </row>
    <row r="336">
      <c r="A336" s="114" t="s">
        <v>1266</v>
      </c>
      <c r="B336" s="53"/>
      <c r="C336" s="22">
        <v>4000000.0</v>
      </c>
      <c r="D336" s="23">
        <v>2015.0</v>
      </c>
      <c r="E336" s="101">
        <v>42156.0</v>
      </c>
      <c r="F336" s="34" t="s">
        <v>1267</v>
      </c>
      <c r="G336" s="115" t="s">
        <v>64</v>
      </c>
      <c r="H336" s="115" t="s">
        <v>23</v>
      </c>
      <c r="I336" s="53"/>
      <c r="J336" s="23">
        <v>2.0</v>
      </c>
      <c r="K336" s="57"/>
      <c r="L336" s="53"/>
      <c r="M336" s="53" t="s">
        <v>710</v>
      </c>
      <c r="N336" s="160" t="s">
        <v>1268</v>
      </c>
      <c r="O336" s="19"/>
      <c r="P336" s="32">
        <v>188.0</v>
      </c>
      <c r="Q336" s="32"/>
      <c r="R336" s="32"/>
      <c r="S336" s="32"/>
      <c r="T336" s="32"/>
      <c r="U336" s="32"/>
      <c r="V336" s="32"/>
      <c r="W336" s="32"/>
      <c r="X336" s="32"/>
      <c r="Y336" s="32"/>
      <c r="Z336" s="32"/>
    </row>
    <row r="337">
      <c r="A337" s="161" t="s">
        <v>1269</v>
      </c>
      <c r="B337" s="53"/>
      <c r="C337" s="22">
        <v>30.0</v>
      </c>
      <c r="D337" s="23">
        <v>2015.0</v>
      </c>
      <c r="E337" s="101">
        <v>42064.0</v>
      </c>
      <c r="F337" s="34" t="s">
        <v>1270</v>
      </c>
      <c r="G337" s="130" t="s">
        <v>64</v>
      </c>
      <c r="H337" s="105" t="s">
        <v>142</v>
      </c>
      <c r="I337" s="34" t="s">
        <v>29</v>
      </c>
      <c r="J337" s="23">
        <v>4.0</v>
      </c>
      <c r="K337" s="57"/>
      <c r="L337" s="53"/>
      <c r="M337" s="53" t="s">
        <v>325</v>
      </c>
      <c r="N337" s="157" t="s">
        <v>1271</v>
      </c>
      <c r="O337" s="19"/>
      <c r="P337" s="32">
        <v>187.0</v>
      </c>
      <c r="Q337" s="32"/>
      <c r="R337" s="32"/>
      <c r="S337" s="32"/>
      <c r="T337" s="32"/>
      <c r="U337" s="32"/>
      <c r="V337" s="32"/>
      <c r="W337" s="32"/>
      <c r="X337" s="32"/>
      <c r="Y337" s="32"/>
      <c r="Z337" s="32"/>
    </row>
    <row r="338">
      <c r="A338" s="161" t="s">
        <v>1272</v>
      </c>
      <c r="B338" s="115" t="s">
        <v>1273</v>
      </c>
      <c r="C338" s="22">
        <v>100000.0</v>
      </c>
      <c r="D338" s="23">
        <v>2015.0</v>
      </c>
      <c r="E338" s="101">
        <v>42125.0</v>
      </c>
      <c r="F338" s="34" t="s">
        <v>1274</v>
      </c>
      <c r="G338" s="115" t="s">
        <v>64</v>
      </c>
      <c r="H338" s="34" t="s">
        <v>23</v>
      </c>
      <c r="I338" s="53"/>
      <c r="J338" s="154">
        <v>1.0</v>
      </c>
      <c r="K338" s="57"/>
      <c r="L338" s="53"/>
      <c r="M338" s="53" t="s">
        <v>1088</v>
      </c>
      <c r="N338" s="160" t="s">
        <v>1275</v>
      </c>
      <c r="O338" s="19"/>
      <c r="P338" s="32">
        <v>186.0</v>
      </c>
      <c r="Q338" s="32"/>
      <c r="R338" s="32"/>
      <c r="S338" s="32"/>
      <c r="T338" s="32"/>
      <c r="U338" s="32"/>
      <c r="V338" s="32"/>
      <c r="W338" s="32"/>
      <c r="X338" s="32"/>
      <c r="Y338" s="32"/>
      <c r="Z338" s="32"/>
    </row>
    <row r="339">
      <c r="A339" s="161" t="s">
        <v>1276</v>
      </c>
      <c r="B339" s="115" t="s">
        <v>1277</v>
      </c>
      <c r="C339" s="22">
        <v>400000.0</v>
      </c>
      <c r="D339" s="23">
        <v>2015.0</v>
      </c>
      <c r="E339" s="101">
        <v>42125.0</v>
      </c>
      <c r="F339" s="34" t="s">
        <v>1278</v>
      </c>
      <c r="G339" s="26" t="s">
        <v>28</v>
      </c>
      <c r="H339" s="115" t="s">
        <v>23</v>
      </c>
      <c r="I339" s="53"/>
      <c r="J339" s="23">
        <v>2.0</v>
      </c>
      <c r="K339" s="57"/>
      <c r="L339" s="53"/>
      <c r="M339" s="53" t="s">
        <v>702</v>
      </c>
      <c r="N339" s="162" t="s">
        <v>1279</v>
      </c>
      <c r="O339" s="19"/>
      <c r="P339" s="32">
        <v>185.0</v>
      </c>
      <c r="Q339" s="32"/>
      <c r="R339" s="32"/>
      <c r="S339" s="32"/>
      <c r="T339" s="32"/>
      <c r="U339" s="32"/>
      <c r="V339" s="32"/>
      <c r="W339" s="32"/>
      <c r="X339" s="32"/>
      <c r="Y339" s="32"/>
      <c r="Z339" s="32"/>
    </row>
    <row r="340">
      <c r="A340" s="161" t="s">
        <v>1280</v>
      </c>
      <c r="B340" s="115" t="s">
        <v>1281</v>
      </c>
      <c r="C340" s="22">
        <v>3900000.0</v>
      </c>
      <c r="D340" s="23">
        <v>2015.0</v>
      </c>
      <c r="E340" s="101">
        <v>42125.0</v>
      </c>
      <c r="F340" s="34" t="s">
        <v>1282</v>
      </c>
      <c r="G340" s="115" t="s">
        <v>28</v>
      </c>
      <c r="H340" s="115" t="s">
        <v>23</v>
      </c>
      <c r="I340" s="53"/>
      <c r="J340" s="154">
        <v>1.0</v>
      </c>
      <c r="K340" s="57"/>
      <c r="L340" s="53"/>
      <c r="M340" s="53" t="s">
        <v>1283</v>
      </c>
      <c r="N340" s="160" t="s">
        <v>1284</v>
      </c>
      <c r="O340" s="19"/>
      <c r="P340" s="32">
        <v>184.0</v>
      </c>
      <c r="Q340" s="32"/>
      <c r="R340" s="32"/>
      <c r="S340" s="32"/>
      <c r="T340" s="32"/>
      <c r="U340" s="32"/>
      <c r="V340" s="32"/>
      <c r="W340" s="32"/>
      <c r="X340" s="32"/>
      <c r="Y340" s="32"/>
      <c r="Z340" s="32"/>
    </row>
    <row r="341">
      <c r="A341" s="163" t="s">
        <v>1285</v>
      </c>
      <c r="B341" s="111" t="s">
        <v>1286</v>
      </c>
      <c r="C341" s="22">
        <v>7.0E7</v>
      </c>
      <c r="D341" s="23">
        <v>2015.0</v>
      </c>
      <c r="E341" s="101">
        <v>42309.0</v>
      </c>
      <c r="F341" s="26" t="s">
        <v>1287</v>
      </c>
      <c r="G341" s="26" t="s">
        <v>28</v>
      </c>
      <c r="H341" s="26" t="s">
        <v>23</v>
      </c>
      <c r="I341" s="26" t="s">
        <v>29</v>
      </c>
      <c r="J341" s="23">
        <v>5.0</v>
      </c>
      <c r="K341" s="27" t="s">
        <v>1288</v>
      </c>
      <c r="L341" s="28"/>
      <c r="M341" s="53" t="s">
        <v>1289</v>
      </c>
      <c r="N341" s="106" t="s">
        <v>1290</v>
      </c>
      <c r="O341" s="113"/>
      <c r="P341" s="32">
        <v>183.0</v>
      </c>
      <c r="Q341" s="32"/>
      <c r="R341" s="32"/>
      <c r="S341" s="32"/>
      <c r="T341" s="32"/>
      <c r="U341" s="32"/>
      <c r="V341" s="32"/>
      <c r="W341" s="32"/>
      <c r="X341" s="32"/>
      <c r="Y341" s="32"/>
      <c r="Z341" s="32"/>
    </row>
    <row r="342">
      <c r="A342" s="163" t="s">
        <v>1291</v>
      </c>
      <c r="B342" s="34" t="s">
        <v>1292</v>
      </c>
      <c r="C342" s="22">
        <v>157000.0</v>
      </c>
      <c r="D342" s="23">
        <v>2015.0</v>
      </c>
      <c r="E342" s="101">
        <v>42309.0</v>
      </c>
      <c r="F342" s="26" t="s">
        <v>1293</v>
      </c>
      <c r="G342" s="26" t="s">
        <v>129</v>
      </c>
      <c r="H342" s="26" t="s">
        <v>23</v>
      </c>
      <c r="I342" s="28"/>
      <c r="J342" s="23">
        <v>2.0</v>
      </c>
      <c r="K342" s="57"/>
      <c r="L342" s="28"/>
      <c r="M342" s="53" t="s">
        <v>905</v>
      </c>
      <c r="N342" s="125" t="s">
        <v>1294</v>
      </c>
      <c r="O342" s="106" t="s">
        <v>1295</v>
      </c>
      <c r="P342" s="32">
        <v>182.0</v>
      </c>
      <c r="Q342" s="32"/>
      <c r="R342" s="32"/>
      <c r="S342" s="32"/>
      <c r="T342" s="32"/>
      <c r="U342" s="32"/>
      <c r="V342" s="32"/>
      <c r="W342" s="32"/>
      <c r="X342" s="32"/>
      <c r="Y342" s="32"/>
      <c r="Z342" s="32"/>
    </row>
    <row r="343">
      <c r="A343" s="164" t="s">
        <v>1296</v>
      </c>
      <c r="B343" s="115"/>
      <c r="C343" s="22">
        <v>1.5E7</v>
      </c>
      <c r="D343" s="23">
        <v>2015.0</v>
      </c>
      <c r="E343" s="101">
        <v>42278.0</v>
      </c>
      <c r="F343" s="34" t="s">
        <v>1297</v>
      </c>
      <c r="G343" s="34" t="s">
        <v>129</v>
      </c>
      <c r="H343" s="115" t="s">
        <v>23</v>
      </c>
      <c r="I343" s="53"/>
      <c r="J343" s="23">
        <v>3.0</v>
      </c>
      <c r="K343" s="57"/>
      <c r="L343" s="53"/>
      <c r="M343" s="53" t="s">
        <v>286</v>
      </c>
      <c r="N343" s="146" t="s">
        <v>1298</v>
      </c>
      <c r="O343" s="19"/>
      <c r="P343" s="32">
        <v>181.0</v>
      </c>
      <c r="Q343" s="32"/>
      <c r="R343" s="32"/>
      <c r="S343" s="32"/>
      <c r="T343" s="32"/>
      <c r="U343" s="32"/>
      <c r="V343" s="32"/>
      <c r="W343" s="32"/>
      <c r="X343" s="32"/>
      <c r="Y343" s="32"/>
      <c r="Z343" s="32"/>
    </row>
    <row r="344">
      <c r="A344" s="114" t="s">
        <v>1299</v>
      </c>
      <c r="B344" s="115" t="s">
        <v>1300</v>
      </c>
      <c r="C344" s="22">
        <v>500000.0</v>
      </c>
      <c r="D344" s="23">
        <v>2015.0</v>
      </c>
      <c r="E344" s="101">
        <v>42064.0</v>
      </c>
      <c r="F344" s="34" t="s">
        <v>1301</v>
      </c>
      <c r="G344" s="26" t="s">
        <v>28</v>
      </c>
      <c r="H344" s="34" t="s">
        <v>23</v>
      </c>
      <c r="I344" s="53"/>
      <c r="J344" s="154">
        <v>1.0</v>
      </c>
      <c r="K344" s="57"/>
      <c r="L344" s="53"/>
      <c r="M344" s="53" t="s">
        <v>34</v>
      </c>
      <c r="N344" s="157" t="s">
        <v>1302</v>
      </c>
      <c r="O344" s="19"/>
      <c r="P344" s="32">
        <v>180.0</v>
      </c>
      <c r="Q344" s="32"/>
      <c r="R344" s="32"/>
      <c r="S344" s="32"/>
      <c r="T344" s="32"/>
      <c r="U344" s="32"/>
      <c r="V344" s="32"/>
      <c r="W344" s="32"/>
      <c r="X344" s="32"/>
      <c r="Y344" s="32"/>
      <c r="Z344" s="32"/>
    </row>
    <row r="345">
      <c r="A345" s="114" t="s">
        <v>1303</v>
      </c>
      <c r="B345" s="115" t="s">
        <v>1304</v>
      </c>
      <c r="C345" s="22">
        <v>2400000.0</v>
      </c>
      <c r="D345" s="23">
        <v>2015.0</v>
      </c>
      <c r="E345" s="101">
        <v>42217.0</v>
      </c>
      <c r="F345" s="34" t="s">
        <v>1305</v>
      </c>
      <c r="G345" s="34" t="s">
        <v>129</v>
      </c>
      <c r="H345" s="115" t="s">
        <v>23</v>
      </c>
      <c r="I345" s="53"/>
      <c r="J345" s="23">
        <v>3.0</v>
      </c>
      <c r="K345" s="57"/>
      <c r="L345" s="53"/>
      <c r="M345" s="53" t="s">
        <v>325</v>
      </c>
      <c r="N345" s="160" t="s">
        <v>1306</v>
      </c>
      <c r="O345" s="19"/>
      <c r="P345" s="32">
        <v>179.0</v>
      </c>
      <c r="Q345" s="32"/>
      <c r="R345" s="32"/>
      <c r="S345" s="32"/>
      <c r="T345" s="32"/>
      <c r="U345" s="32"/>
      <c r="V345" s="32"/>
      <c r="W345" s="32"/>
      <c r="X345" s="32"/>
      <c r="Y345" s="32"/>
      <c r="Z345" s="32"/>
    </row>
    <row r="346">
      <c r="A346" s="114" t="s">
        <v>882</v>
      </c>
      <c r="B346" s="115" t="s">
        <v>1307</v>
      </c>
      <c r="C346" s="22">
        <v>10000.0</v>
      </c>
      <c r="D346" s="23">
        <v>2015.0</v>
      </c>
      <c r="E346" s="101">
        <v>42064.0</v>
      </c>
      <c r="F346" s="34" t="s">
        <v>1308</v>
      </c>
      <c r="G346" s="26" t="s">
        <v>22</v>
      </c>
      <c r="H346" s="130" t="s">
        <v>23</v>
      </c>
      <c r="I346" s="53"/>
      <c r="J346" s="154">
        <v>1.0</v>
      </c>
      <c r="K346" s="57"/>
      <c r="L346" s="53"/>
      <c r="M346" s="53" t="s">
        <v>325</v>
      </c>
      <c r="N346" s="160" t="s">
        <v>1309</v>
      </c>
      <c r="O346" s="117"/>
      <c r="P346" s="32">
        <v>178.0</v>
      </c>
      <c r="Q346" s="32"/>
      <c r="R346" s="32"/>
      <c r="S346" s="32"/>
      <c r="T346" s="32"/>
      <c r="U346" s="32"/>
      <c r="V346" s="32"/>
      <c r="W346" s="32"/>
      <c r="X346" s="32"/>
      <c r="Y346" s="32"/>
      <c r="Z346" s="32"/>
    </row>
    <row r="347">
      <c r="A347" s="114" t="s">
        <v>1310</v>
      </c>
      <c r="B347" s="115" t="s">
        <v>1311</v>
      </c>
      <c r="C347" s="22">
        <v>8.0E7</v>
      </c>
      <c r="D347" s="23">
        <v>2015.0</v>
      </c>
      <c r="E347" s="101">
        <v>42036.0</v>
      </c>
      <c r="F347" s="34" t="s">
        <v>1312</v>
      </c>
      <c r="G347" s="26" t="s">
        <v>258</v>
      </c>
      <c r="H347" s="115" t="s">
        <v>23</v>
      </c>
      <c r="I347" s="115" t="s">
        <v>29</v>
      </c>
      <c r="J347" s="23">
        <v>2.0</v>
      </c>
      <c r="K347" s="27" t="s">
        <v>1313</v>
      </c>
      <c r="L347" s="53"/>
      <c r="M347" s="34" t="s">
        <v>688</v>
      </c>
      <c r="N347" s="135" t="s">
        <v>1314</v>
      </c>
      <c r="O347" s="19"/>
      <c r="P347" s="32">
        <v>177.0</v>
      </c>
      <c r="Q347" s="32"/>
      <c r="R347" s="32"/>
      <c r="S347" s="32"/>
      <c r="T347" s="32"/>
      <c r="U347" s="32"/>
      <c r="V347" s="32"/>
      <c r="W347" s="32"/>
      <c r="X347" s="32"/>
      <c r="Y347" s="32"/>
      <c r="Z347" s="32"/>
    </row>
    <row r="348">
      <c r="A348" s="163" t="s">
        <v>1315</v>
      </c>
      <c r="B348" s="111"/>
      <c r="C348" s="22">
        <v>4500000.0</v>
      </c>
      <c r="D348" s="23">
        <v>2015.0</v>
      </c>
      <c r="E348" s="101">
        <v>42125.0</v>
      </c>
      <c r="F348" s="26" t="s">
        <v>1316</v>
      </c>
      <c r="G348" s="26" t="s">
        <v>258</v>
      </c>
      <c r="H348" s="26" t="s">
        <v>23</v>
      </c>
      <c r="I348" s="28"/>
      <c r="J348" s="23">
        <v>4.0</v>
      </c>
      <c r="K348" s="27" t="s">
        <v>1317</v>
      </c>
      <c r="L348" s="28"/>
      <c r="M348" s="34" t="s">
        <v>1318</v>
      </c>
      <c r="N348" s="102" t="s">
        <v>1319</v>
      </c>
      <c r="O348" s="31"/>
      <c r="P348" s="32">
        <v>176.0</v>
      </c>
      <c r="Q348" s="32"/>
      <c r="R348" s="32"/>
      <c r="S348" s="32"/>
      <c r="T348" s="32"/>
      <c r="U348" s="32"/>
      <c r="V348" s="32"/>
      <c r="W348" s="32"/>
      <c r="X348" s="32"/>
      <c r="Y348" s="32"/>
      <c r="Z348" s="32"/>
    </row>
    <row r="349">
      <c r="A349" s="165" t="s">
        <v>509</v>
      </c>
      <c r="B349" s="130" t="s">
        <v>1320</v>
      </c>
      <c r="C349" s="22">
        <v>1100000.0</v>
      </c>
      <c r="D349" s="23">
        <v>2014.0</v>
      </c>
      <c r="E349" s="101">
        <v>41640.0</v>
      </c>
      <c r="F349" s="111" t="s">
        <v>1321</v>
      </c>
      <c r="G349" s="130" t="s">
        <v>43</v>
      </c>
      <c r="H349" s="130" t="s">
        <v>23</v>
      </c>
      <c r="I349" s="28"/>
      <c r="J349" s="23">
        <v>2.0</v>
      </c>
      <c r="K349" s="57"/>
      <c r="L349" s="28"/>
      <c r="M349" s="53" t="s">
        <v>841</v>
      </c>
      <c r="N349" s="166" t="s">
        <v>1322</v>
      </c>
      <c r="O349" s="166" t="s">
        <v>1323</v>
      </c>
      <c r="P349" s="32">
        <v>175.0</v>
      </c>
      <c r="Q349" s="32"/>
      <c r="R349" s="32"/>
      <c r="S349" s="32"/>
      <c r="T349" s="32"/>
      <c r="U349" s="32"/>
      <c r="V349" s="32"/>
      <c r="W349" s="32"/>
      <c r="X349" s="32"/>
      <c r="Y349" s="32"/>
      <c r="Z349" s="32"/>
    </row>
    <row r="350">
      <c r="A350" s="165" t="s">
        <v>1324</v>
      </c>
      <c r="B350" s="28"/>
      <c r="C350" s="22">
        <v>2400000.0</v>
      </c>
      <c r="D350" s="23">
        <v>2014.0</v>
      </c>
      <c r="E350" s="101">
        <v>41730.0</v>
      </c>
      <c r="F350" s="111" t="s">
        <v>1325</v>
      </c>
      <c r="G350" s="130" t="s">
        <v>28</v>
      </c>
      <c r="H350" s="130" t="s">
        <v>23</v>
      </c>
      <c r="I350" s="28"/>
      <c r="J350" s="154">
        <v>1.0</v>
      </c>
      <c r="K350" s="57"/>
      <c r="L350" s="28"/>
      <c r="M350" s="34" t="s">
        <v>918</v>
      </c>
      <c r="N350" s="106" t="s">
        <v>1326</v>
      </c>
      <c r="O350" s="113"/>
      <c r="P350" s="32">
        <v>174.0</v>
      </c>
      <c r="Q350" s="32"/>
      <c r="R350" s="32"/>
      <c r="S350" s="32"/>
      <c r="T350" s="32"/>
      <c r="U350" s="32"/>
      <c r="V350" s="32"/>
      <c r="W350" s="32"/>
      <c r="X350" s="32"/>
      <c r="Y350" s="32"/>
      <c r="Z350" s="32"/>
    </row>
    <row r="351">
      <c r="A351" s="20" t="s">
        <v>1327</v>
      </c>
      <c r="B351" s="28"/>
      <c r="C351" s="22">
        <v>4500000.0</v>
      </c>
      <c r="D351" s="23">
        <v>2014.0</v>
      </c>
      <c r="E351" s="101">
        <v>41852.0</v>
      </c>
      <c r="F351" s="26" t="s">
        <v>1328</v>
      </c>
      <c r="G351" s="26" t="s">
        <v>258</v>
      </c>
      <c r="H351" s="130" t="s">
        <v>23</v>
      </c>
      <c r="I351" s="130" t="s">
        <v>29</v>
      </c>
      <c r="J351" s="23">
        <v>2.0</v>
      </c>
      <c r="K351" s="57"/>
      <c r="L351" s="28"/>
      <c r="M351" s="53" t="s">
        <v>1088</v>
      </c>
      <c r="N351" s="166" t="s">
        <v>1329</v>
      </c>
      <c r="O351" s="113"/>
      <c r="P351" s="32">
        <v>173.0</v>
      </c>
      <c r="Q351" s="32"/>
      <c r="R351" s="32"/>
      <c r="S351" s="32"/>
      <c r="T351" s="32"/>
      <c r="U351" s="32"/>
      <c r="V351" s="32"/>
      <c r="W351" s="32"/>
      <c r="X351" s="32"/>
      <c r="Y351" s="32"/>
      <c r="Z351" s="32"/>
    </row>
    <row r="352">
      <c r="A352" s="20" t="s">
        <v>1330</v>
      </c>
      <c r="B352" s="138"/>
      <c r="C352" s="22">
        <v>5190396.0</v>
      </c>
      <c r="D352" s="23">
        <v>2014.0</v>
      </c>
      <c r="E352" s="101">
        <v>41974.0</v>
      </c>
      <c r="F352" s="26" t="s">
        <v>1331</v>
      </c>
      <c r="G352" s="26" t="s">
        <v>64</v>
      </c>
      <c r="H352" s="105" t="s">
        <v>142</v>
      </c>
      <c r="I352" s="28"/>
      <c r="J352" s="23">
        <v>2.0</v>
      </c>
      <c r="K352" s="57"/>
      <c r="L352" s="28"/>
      <c r="M352" s="34" t="s">
        <v>1332</v>
      </c>
      <c r="N352" s="106" t="s">
        <v>1333</v>
      </c>
      <c r="O352" s="113"/>
      <c r="P352" s="32">
        <v>172.0</v>
      </c>
      <c r="Q352" s="32"/>
      <c r="R352" s="32"/>
      <c r="S352" s="32"/>
      <c r="T352" s="32"/>
      <c r="U352" s="32"/>
      <c r="V352" s="32"/>
      <c r="W352" s="32"/>
      <c r="X352" s="32"/>
      <c r="Y352" s="32"/>
      <c r="Z352" s="32"/>
    </row>
    <row r="353">
      <c r="A353" s="114" t="s">
        <v>1334</v>
      </c>
      <c r="B353" s="53"/>
      <c r="C353" s="22">
        <v>1.0E7</v>
      </c>
      <c r="D353" s="23">
        <v>2014.0</v>
      </c>
      <c r="E353" s="101">
        <v>41974.0</v>
      </c>
      <c r="F353" s="34" t="s">
        <v>1335</v>
      </c>
      <c r="G353" s="34" t="s">
        <v>38</v>
      </c>
      <c r="H353" s="115" t="s">
        <v>23</v>
      </c>
      <c r="I353" s="53"/>
      <c r="J353" s="23">
        <v>2.0</v>
      </c>
      <c r="K353" s="57"/>
      <c r="L353" s="53"/>
      <c r="M353" s="53" t="s">
        <v>1336</v>
      </c>
      <c r="N353" s="116" t="s">
        <v>1337</v>
      </c>
      <c r="O353" s="19"/>
      <c r="P353" s="32">
        <v>171.0</v>
      </c>
      <c r="Q353" s="32"/>
      <c r="R353" s="32"/>
      <c r="S353" s="32"/>
      <c r="T353" s="32"/>
      <c r="U353" s="32"/>
      <c r="V353" s="32"/>
      <c r="W353" s="32"/>
      <c r="X353" s="32"/>
      <c r="Y353" s="32"/>
      <c r="Z353" s="32"/>
    </row>
    <row r="354">
      <c r="A354" s="165" t="s">
        <v>1338</v>
      </c>
      <c r="B354" s="53"/>
      <c r="C354" s="22">
        <v>146000.0</v>
      </c>
      <c r="D354" s="23">
        <v>2014.0</v>
      </c>
      <c r="E354" s="101">
        <v>41671.0</v>
      </c>
      <c r="F354" s="26" t="s">
        <v>1339</v>
      </c>
      <c r="G354" s="26" t="s">
        <v>110</v>
      </c>
      <c r="H354" s="130" t="s">
        <v>51</v>
      </c>
      <c r="I354" s="28"/>
      <c r="J354" s="23">
        <v>2.0</v>
      </c>
      <c r="K354" s="57"/>
      <c r="L354" s="28"/>
      <c r="M354" s="53" t="s">
        <v>1338</v>
      </c>
      <c r="N354" s="166" t="s">
        <v>1340</v>
      </c>
      <c r="O354" s="166" t="s">
        <v>1341</v>
      </c>
      <c r="P354" s="32">
        <v>170.0</v>
      </c>
      <c r="Q354" s="32"/>
      <c r="R354" s="32"/>
      <c r="S354" s="32"/>
      <c r="T354" s="32"/>
      <c r="U354" s="32"/>
      <c r="V354" s="32"/>
      <c r="W354" s="32"/>
      <c r="X354" s="32"/>
      <c r="Y354" s="32"/>
      <c r="Z354" s="32"/>
    </row>
    <row r="355">
      <c r="A355" s="167" t="s">
        <v>1342</v>
      </c>
      <c r="B355" s="28"/>
      <c r="C355" s="22">
        <v>1.45E8</v>
      </c>
      <c r="D355" s="23">
        <v>2014.0</v>
      </c>
      <c r="E355" s="101">
        <v>41760.0</v>
      </c>
      <c r="F355" s="26" t="s">
        <v>1343</v>
      </c>
      <c r="G355" s="130" t="s">
        <v>28</v>
      </c>
      <c r="H355" s="130" t="s">
        <v>23</v>
      </c>
      <c r="I355" s="130" t="s">
        <v>29</v>
      </c>
      <c r="J355" s="154">
        <v>1.0</v>
      </c>
      <c r="K355" s="27" t="s">
        <v>1344</v>
      </c>
      <c r="L355" s="28"/>
      <c r="M355" s="34" t="s">
        <v>591</v>
      </c>
      <c r="N355" s="106" t="s">
        <v>1345</v>
      </c>
      <c r="O355" s="113"/>
      <c r="P355" s="32">
        <v>169.0</v>
      </c>
      <c r="Q355" s="32"/>
      <c r="R355" s="32"/>
      <c r="S355" s="32"/>
      <c r="T355" s="32"/>
      <c r="U355" s="32"/>
      <c r="V355" s="32"/>
      <c r="W355" s="32"/>
      <c r="X355" s="32"/>
      <c r="Y355" s="32"/>
      <c r="Z355" s="32"/>
    </row>
    <row r="356">
      <c r="A356" s="161" t="s">
        <v>1346</v>
      </c>
      <c r="B356" s="53"/>
      <c r="C356" s="22">
        <v>4000000.0</v>
      </c>
      <c r="D356" s="23">
        <v>2014.0</v>
      </c>
      <c r="E356" s="101">
        <v>41852.0</v>
      </c>
      <c r="F356" s="34" t="s">
        <v>1347</v>
      </c>
      <c r="G356" s="115" t="s">
        <v>43</v>
      </c>
      <c r="H356" s="115" t="s">
        <v>23</v>
      </c>
      <c r="I356" s="53"/>
      <c r="J356" s="23">
        <v>3.0</v>
      </c>
      <c r="K356" s="57"/>
      <c r="L356" s="53"/>
      <c r="M356" s="53" t="s">
        <v>1348</v>
      </c>
      <c r="N356" s="116" t="s">
        <v>1349</v>
      </c>
      <c r="O356" s="19"/>
      <c r="P356" s="32">
        <v>168.0</v>
      </c>
      <c r="Q356" s="32"/>
      <c r="R356" s="32"/>
      <c r="S356" s="32"/>
      <c r="T356" s="32"/>
      <c r="U356" s="32"/>
      <c r="V356" s="32"/>
      <c r="W356" s="32"/>
      <c r="X356" s="32"/>
      <c r="Y356" s="32"/>
      <c r="Z356" s="32"/>
    </row>
    <row r="357">
      <c r="A357" s="167" t="s">
        <v>1350</v>
      </c>
      <c r="B357" s="28"/>
      <c r="C357" s="22">
        <v>4000000.0</v>
      </c>
      <c r="D357" s="23">
        <v>2014.0</v>
      </c>
      <c r="E357" s="101">
        <v>41821.0</v>
      </c>
      <c r="F357" s="26" t="s">
        <v>1351</v>
      </c>
      <c r="G357" s="26" t="s">
        <v>58</v>
      </c>
      <c r="H357" s="130" t="s">
        <v>23</v>
      </c>
      <c r="I357" s="28"/>
      <c r="J357" s="154">
        <v>1.0</v>
      </c>
      <c r="K357" s="57"/>
      <c r="L357" s="28"/>
      <c r="M357" s="53" t="s">
        <v>1352</v>
      </c>
      <c r="N357" s="166" t="s">
        <v>1353</v>
      </c>
      <c r="O357" s="113"/>
      <c r="P357" s="32">
        <v>167.0</v>
      </c>
      <c r="Q357" s="32"/>
      <c r="R357" s="32"/>
      <c r="S357" s="32"/>
      <c r="T357" s="32"/>
      <c r="U357" s="32"/>
      <c r="V357" s="32"/>
      <c r="W357" s="32"/>
      <c r="X357" s="32"/>
      <c r="Y357" s="32"/>
      <c r="Z357" s="32"/>
    </row>
    <row r="358">
      <c r="A358" s="114" t="s">
        <v>1354</v>
      </c>
      <c r="B358" s="53"/>
      <c r="C358" s="22">
        <v>7.6E7</v>
      </c>
      <c r="D358" s="23">
        <v>2014.0</v>
      </c>
      <c r="E358" s="101">
        <v>41913.0</v>
      </c>
      <c r="F358" s="34" t="s">
        <v>1355</v>
      </c>
      <c r="G358" s="26" t="s">
        <v>58</v>
      </c>
      <c r="H358" s="115" t="s">
        <v>23</v>
      </c>
      <c r="I358" s="115" t="s">
        <v>29</v>
      </c>
      <c r="J358" s="23">
        <v>3.0</v>
      </c>
      <c r="K358" s="27" t="s">
        <v>1356</v>
      </c>
      <c r="L358" s="53"/>
      <c r="M358" s="53" t="s">
        <v>1357</v>
      </c>
      <c r="N358" s="116" t="s">
        <v>1358</v>
      </c>
      <c r="O358" s="19"/>
      <c r="P358" s="32">
        <v>166.0</v>
      </c>
      <c r="Q358" s="32"/>
      <c r="R358" s="32"/>
      <c r="S358" s="32"/>
      <c r="T358" s="32"/>
      <c r="U358" s="32"/>
      <c r="V358" s="32"/>
      <c r="W358" s="32"/>
      <c r="X358" s="32"/>
      <c r="Y358" s="32"/>
      <c r="Z358" s="32"/>
    </row>
    <row r="359">
      <c r="A359" s="165" t="s">
        <v>1359</v>
      </c>
      <c r="B359" s="28"/>
      <c r="C359" s="22">
        <v>52000.0</v>
      </c>
      <c r="D359" s="23">
        <v>2014.0</v>
      </c>
      <c r="E359" s="101">
        <v>41791.0</v>
      </c>
      <c r="F359" s="26" t="s">
        <v>1360</v>
      </c>
      <c r="G359" s="130" t="s">
        <v>22</v>
      </c>
      <c r="H359" s="130" t="s">
        <v>51</v>
      </c>
      <c r="I359" s="130" t="s">
        <v>29</v>
      </c>
      <c r="J359" s="154">
        <v>1.0</v>
      </c>
      <c r="K359" s="57"/>
      <c r="L359" s="28"/>
      <c r="M359" s="53" t="s">
        <v>902</v>
      </c>
      <c r="N359" s="166" t="s">
        <v>1361</v>
      </c>
      <c r="O359" s="113"/>
      <c r="P359" s="32">
        <v>165.0</v>
      </c>
      <c r="Q359" s="32"/>
      <c r="R359" s="32"/>
      <c r="S359" s="32"/>
      <c r="T359" s="32"/>
      <c r="U359" s="32"/>
      <c r="V359" s="32"/>
      <c r="W359" s="32"/>
      <c r="X359" s="32"/>
      <c r="Y359" s="32"/>
      <c r="Z359" s="32"/>
    </row>
    <row r="360">
      <c r="A360" s="20" t="s">
        <v>1362</v>
      </c>
      <c r="B360" s="26"/>
      <c r="C360" s="22">
        <v>2700000.0</v>
      </c>
      <c r="D360" s="23">
        <v>2014.0</v>
      </c>
      <c r="E360" s="101">
        <v>41944.0</v>
      </c>
      <c r="F360" s="26" t="s">
        <v>1363</v>
      </c>
      <c r="G360" s="26" t="s">
        <v>58</v>
      </c>
      <c r="H360" s="150" t="s">
        <v>23</v>
      </c>
      <c r="I360" s="28"/>
      <c r="J360" s="23">
        <v>4.0</v>
      </c>
      <c r="K360" s="57"/>
      <c r="L360" s="110"/>
      <c r="M360" s="53" t="s">
        <v>286</v>
      </c>
      <c r="N360" s="106" t="s">
        <v>1364</v>
      </c>
      <c r="O360" s="113"/>
      <c r="P360" s="32">
        <v>164.0</v>
      </c>
      <c r="Q360" s="32"/>
      <c r="R360" s="32"/>
      <c r="S360" s="32"/>
      <c r="T360" s="32"/>
      <c r="U360" s="32"/>
      <c r="V360" s="32"/>
      <c r="W360" s="32"/>
      <c r="X360" s="32"/>
      <c r="Y360" s="32"/>
      <c r="Z360" s="32"/>
    </row>
    <row r="361">
      <c r="A361" s="165" t="s">
        <v>1365</v>
      </c>
      <c r="B361" s="53"/>
      <c r="C361" s="22">
        <v>750000.0</v>
      </c>
      <c r="D361" s="23">
        <v>2014.0</v>
      </c>
      <c r="E361" s="101">
        <v>41883.0</v>
      </c>
      <c r="F361" s="26" t="s">
        <v>1366</v>
      </c>
      <c r="G361" s="130" t="s">
        <v>22</v>
      </c>
      <c r="H361" s="130" t="s">
        <v>23</v>
      </c>
      <c r="I361" s="28"/>
      <c r="J361" s="23">
        <v>2.0</v>
      </c>
      <c r="K361" s="57"/>
      <c r="L361" s="28"/>
      <c r="M361" s="34" t="s">
        <v>1367</v>
      </c>
      <c r="N361" s="166" t="s">
        <v>1368</v>
      </c>
      <c r="O361" s="166" t="s">
        <v>1369</v>
      </c>
      <c r="P361" s="32">
        <v>163.0</v>
      </c>
      <c r="Q361" s="32"/>
      <c r="R361" s="32"/>
      <c r="S361" s="32"/>
      <c r="T361" s="32"/>
      <c r="U361" s="32"/>
      <c r="V361" s="32"/>
      <c r="W361" s="32"/>
      <c r="X361" s="32"/>
      <c r="Y361" s="32"/>
      <c r="Z361" s="32"/>
    </row>
    <row r="362">
      <c r="A362" s="165" t="s">
        <v>1370</v>
      </c>
      <c r="B362" s="53"/>
      <c r="C362" s="22">
        <v>1160000.0</v>
      </c>
      <c r="D362" s="23">
        <v>2014.0</v>
      </c>
      <c r="E362" s="101">
        <v>41974.0</v>
      </c>
      <c r="F362" s="26" t="s">
        <v>1371</v>
      </c>
      <c r="G362" s="26" t="s">
        <v>43</v>
      </c>
      <c r="H362" s="130" t="s">
        <v>23</v>
      </c>
      <c r="I362" s="28"/>
      <c r="J362" s="23">
        <v>3.0</v>
      </c>
      <c r="K362" s="57"/>
      <c r="L362" s="28"/>
      <c r="M362" s="53" t="s">
        <v>817</v>
      </c>
      <c r="N362" s="166" t="s">
        <v>1372</v>
      </c>
      <c r="O362" s="113"/>
      <c r="P362" s="32">
        <v>162.0</v>
      </c>
      <c r="Q362" s="32"/>
      <c r="R362" s="32"/>
      <c r="S362" s="32"/>
      <c r="T362" s="32"/>
      <c r="U362" s="32"/>
      <c r="V362" s="32"/>
      <c r="W362" s="32"/>
      <c r="X362" s="32"/>
      <c r="Y362" s="32"/>
      <c r="Z362" s="32"/>
    </row>
    <row r="363">
      <c r="A363" s="52" t="s">
        <v>1373</v>
      </c>
      <c r="B363" s="53"/>
      <c r="C363" s="22">
        <v>5000000.0</v>
      </c>
      <c r="D363" s="23">
        <v>2014.0</v>
      </c>
      <c r="E363" s="101">
        <v>41883.0</v>
      </c>
      <c r="F363" s="34" t="s">
        <v>1374</v>
      </c>
      <c r="G363" s="115" t="s">
        <v>28</v>
      </c>
      <c r="H363" s="115" t="s">
        <v>23</v>
      </c>
      <c r="I363" s="115" t="s">
        <v>29</v>
      </c>
      <c r="J363" s="154">
        <v>1.0</v>
      </c>
      <c r="K363" s="57"/>
      <c r="L363" s="53"/>
      <c r="M363" s="53" t="s">
        <v>1375</v>
      </c>
      <c r="N363" s="116" t="s">
        <v>1376</v>
      </c>
      <c r="O363" s="19"/>
      <c r="P363" s="32">
        <v>161.0</v>
      </c>
      <c r="Q363" s="32"/>
      <c r="R363" s="32"/>
      <c r="S363" s="32"/>
      <c r="T363" s="32"/>
      <c r="U363" s="32"/>
      <c r="V363" s="32"/>
      <c r="W363" s="32"/>
      <c r="X363" s="32"/>
      <c r="Y363" s="32"/>
      <c r="Z363" s="32"/>
    </row>
    <row r="364">
      <c r="A364" s="114" t="s">
        <v>1377</v>
      </c>
      <c r="B364" s="53"/>
      <c r="C364" s="22">
        <v>5.6E7</v>
      </c>
      <c r="D364" s="23">
        <v>2014.0</v>
      </c>
      <c r="E364" s="101">
        <v>41883.0</v>
      </c>
      <c r="F364" s="34" t="s">
        <v>1378</v>
      </c>
      <c r="G364" s="115" t="s">
        <v>43</v>
      </c>
      <c r="H364" s="115" t="s">
        <v>23</v>
      </c>
      <c r="I364" s="115" t="s">
        <v>29</v>
      </c>
      <c r="J364" s="23">
        <v>3.0</v>
      </c>
      <c r="K364" s="57"/>
      <c r="L364" s="53"/>
      <c r="M364" s="53" t="s">
        <v>702</v>
      </c>
      <c r="N364" s="116" t="s">
        <v>1379</v>
      </c>
      <c r="O364" s="19"/>
      <c r="P364" s="32">
        <v>160.0</v>
      </c>
      <c r="Q364" s="32"/>
      <c r="R364" s="32"/>
      <c r="S364" s="32"/>
      <c r="T364" s="32"/>
      <c r="U364" s="32"/>
      <c r="V364" s="32"/>
      <c r="W364" s="32"/>
      <c r="X364" s="32"/>
      <c r="Y364" s="32"/>
      <c r="Z364" s="32"/>
    </row>
    <row r="365">
      <c r="A365" s="114" t="s">
        <v>1380</v>
      </c>
      <c r="B365" s="53"/>
      <c r="C365" s="22">
        <v>2.0E7</v>
      </c>
      <c r="D365" s="23">
        <v>2014.0</v>
      </c>
      <c r="E365" s="101">
        <v>41640.0</v>
      </c>
      <c r="F365" s="34" t="s">
        <v>1381</v>
      </c>
      <c r="G365" s="26" t="s">
        <v>58</v>
      </c>
      <c r="H365" s="115" t="s">
        <v>59</v>
      </c>
      <c r="I365" s="53"/>
      <c r="J365" s="23">
        <v>5.0</v>
      </c>
      <c r="K365" s="57"/>
      <c r="L365" s="53"/>
      <c r="M365" s="53" t="s">
        <v>1382</v>
      </c>
      <c r="N365" s="116" t="s">
        <v>1383</v>
      </c>
      <c r="O365" s="19"/>
      <c r="P365" s="32">
        <v>159.0</v>
      </c>
      <c r="Q365" s="32"/>
      <c r="R365" s="32"/>
      <c r="S365" s="32"/>
      <c r="T365" s="32"/>
      <c r="U365" s="32"/>
      <c r="V365" s="32"/>
      <c r="W365" s="32"/>
      <c r="X365" s="32"/>
      <c r="Y365" s="32"/>
      <c r="Z365" s="32"/>
    </row>
    <row r="366">
      <c r="A366" s="165" t="s">
        <v>1384</v>
      </c>
      <c r="B366" s="28"/>
      <c r="C366" s="22">
        <v>600000.0</v>
      </c>
      <c r="D366" s="23">
        <v>2014.0</v>
      </c>
      <c r="E366" s="101">
        <v>41791.0</v>
      </c>
      <c r="F366" s="26" t="s">
        <v>1385</v>
      </c>
      <c r="G366" s="26" t="s">
        <v>43</v>
      </c>
      <c r="H366" s="130" t="s">
        <v>23</v>
      </c>
      <c r="I366" s="28"/>
      <c r="J366" s="154">
        <v>1.0</v>
      </c>
      <c r="K366" s="57"/>
      <c r="L366" s="28"/>
      <c r="M366" s="53" t="s">
        <v>325</v>
      </c>
      <c r="N366" s="166" t="s">
        <v>1386</v>
      </c>
      <c r="O366" s="113"/>
      <c r="P366" s="32">
        <v>158.0</v>
      </c>
      <c r="Q366" s="32"/>
      <c r="R366" s="32"/>
      <c r="S366" s="32"/>
      <c r="T366" s="32"/>
      <c r="U366" s="32"/>
      <c r="V366" s="32"/>
      <c r="W366" s="32"/>
      <c r="X366" s="32"/>
      <c r="Y366" s="32"/>
      <c r="Z366" s="32"/>
    </row>
    <row r="367">
      <c r="A367" s="165" t="s">
        <v>1387</v>
      </c>
      <c r="B367" s="28"/>
      <c r="C367" s="22">
        <v>76000.0</v>
      </c>
      <c r="D367" s="23">
        <v>2014.0</v>
      </c>
      <c r="E367" s="101">
        <v>41852.0</v>
      </c>
      <c r="F367" s="26" t="s">
        <v>1388</v>
      </c>
      <c r="G367" s="130" t="s">
        <v>28</v>
      </c>
      <c r="H367" s="130" t="s">
        <v>51</v>
      </c>
      <c r="I367" s="28"/>
      <c r="J367" s="23">
        <v>2.0</v>
      </c>
      <c r="K367" s="57"/>
      <c r="L367" s="28"/>
      <c r="M367" s="53" t="s">
        <v>325</v>
      </c>
      <c r="N367" s="166" t="s">
        <v>1389</v>
      </c>
      <c r="O367" s="113"/>
      <c r="P367" s="32">
        <v>157.0</v>
      </c>
      <c r="Q367" s="32"/>
      <c r="R367" s="32"/>
      <c r="S367" s="32"/>
      <c r="T367" s="32"/>
      <c r="U367" s="32"/>
      <c r="V367" s="32"/>
      <c r="W367" s="32"/>
      <c r="X367" s="32"/>
      <c r="Y367" s="32"/>
      <c r="Z367" s="32"/>
    </row>
    <row r="368">
      <c r="A368" s="165" t="s">
        <v>1390</v>
      </c>
      <c r="B368" s="130" t="s">
        <v>1391</v>
      </c>
      <c r="C368" s="22">
        <v>1.6E8</v>
      </c>
      <c r="D368" s="23">
        <v>2013.0</v>
      </c>
      <c r="E368" s="101">
        <v>41456.0</v>
      </c>
      <c r="F368" s="26" t="s">
        <v>1392</v>
      </c>
      <c r="G368" s="26" t="s">
        <v>58</v>
      </c>
      <c r="H368" s="130" t="s">
        <v>23</v>
      </c>
      <c r="I368" s="130" t="s">
        <v>29</v>
      </c>
      <c r="J368" s="23">
        <v>5.0</v>
      </c>
      <c r="K368" s="27" t="s">
        <v>1393</v>
      </c>
      <c r="L368" s="28"/>
      <c r="M368" s="34" t="s">
        <v>1394</v>
      </c>
      <c r="N368" s="106" t="s">
        <v>1395</v>
      </c>
      <c r="O368" s="113"/>
      <c r="P368" s="32">
        <v>156.0</v>
      </c>
      <c r="Q368" s="32"/>
      <c r="R368" s="32"/>
      <c r="S368" s="32"/>
      <c r="T368" s="32"/>
      <c r="U368" s="32"/>
      <c r="V368" s="32"/>
      <c r="W368" s="32"/>
      <c r="X368" s="32"/>
      <c r="Y368" s="32"/>
      <c r="Z368" s="32"/>
    </row>
    <row r="369">
      <c r="A369" s="114" t="s">
        <v>1396</v>
      </c>
      <c r="B369" s="28"/>
      <c r="C369" s="22">
        <v>344579.0</v>
      </c>
      <c r="D369" s="23">
        <v>2013.0</v>
      </c>
      <c r="E369" s="101">
        <v>41487.0</v>
      </c>
      <c r="F369" s="26" t="s">
        <v>1397</v>
      </c>
      <c r="G369" s="26" t="s">
        <v>258</v>
      </c>
      <c r="H369" s="26" t="s">
        <v>1034</v>
      </c>
      <c r="I369" s="130" t="s">
        <v>29</v>
      </c>
      <c r="J369" s="23">
        <v>4.0</v>
      </c>
      <c r="K369" s="57"/>
      <c r="L369" s="53"/>
      <c r="M369" s="34" t="s">
        <v>1398</v>
      </c>
      <c r="N369" s="135" t="s">
        <v>1399</v>
      </c>
      <c r="O369" s="136"/>
      <c r="P369" s="32">
        <v>155.0</v>
      </c>
      <c r="Q369" s="32"/>
      <c r="R369" s="32"/>
      <c r="S369" s="32"/>
      <c r="T369" s="32"/>
      <c r="U369" s="32"/>
      <c r="V369" s="32"/>
      <c r="W369" s="32"/>
      <c r="X369" s="32"/>
      <c r="Y369" s="32"/>
      <c r="Z369" s="32"/>
    </row>
    <row r="370">
      <c r="A370" s="168" t="s">
        <v>1400</v>
      </c>
      <c r="B370" s="169"/>
      <c r="C370" s="170">
        <v>150000.0</v>
      </c>
      <c r="D370" s="171">
        <v>2013.0</v>
      </c>
      <c r="E370" s="172">
        <v>41456.0</v>
      </c>
      <c r="F370" s="173" t="s">
        <v>1401</v>
      </c>
      <c r="G370" s="173" t="s">
        <v>58</v>
      </c>
      <c r="H370" s="174" t="s">
        <v>142</v>
      </c>
      <c r="I370" s="175" t="s">
        <v>29</v>
      </c>
      <c r="J370" s="171">
        <v>2.0</v>
      </c>
      <c r="K370" s="176"/>
      <c r="L370" s="177"/>
      <c r="M370" s="169" t="s">
        <v>1110</v>
      </c>
      <c r="N370" s="178" t="s">
        <v>1402</v>
      </c>
      <c r="O370" s="179"/>
      <c r="P370" s="32">
        <v>154.0</v>
      </c>
      <c r="Q370" s="32"/>
      <c r="R370" s="32"/>
      <c r="S370" s="32"/>
      <c r="T370" s="32"/>
      <c r="U370" s="32"/>
      <c r="V370" s="32"/>
      <c r="W370" s="32"/>
      <c r="X370" s="32"/>
      <c r="Y370" s="32"/>
      <c r="Z370" s="32"/>
    </row>
    <row r="371">
      <c r="A371" s="165" t="s">
        <v>1403</v>
      </c>
      <c r="B371" s="130" t="s">
        <v>1404</v>
      </c>
      <c r="C371" s="22">
        <v>4.0E7</v>
      </c>
      <c r="D371" s="23">
        <v>2013.0</v>
      </c>
      <c r="E371" s="101">
        <v>41456.0</v>
      </c>
      <c r="F371" s="111" t="s">
        <v>1405</v>
      </c>
      <c r="G371" s="130" t="s">
        <v>28</v>
      </c>
      <c r="H371" s="130" t="s">
        <v>23</v>
      </c>
      <c r="I371" s="28"/>
      <c r="J371" s="154">
        <v>1.0</v>
      </c>
      <c r="K371" s="57"/>
      <c r="L371" s="28"/>
      <c r="M371" s="105" t="s">
        <v>1406</v>
      </c>
      <c r="N371" s="166" t="s">
        <v>1407</v>
      </c>
      <c r="O371" s="106" t="s">
        <v>1408</v>
      </c>
      <c r="P371" s="32">
        <v>153.0</v>
      </c>
      <c r="Q371" s="32"/>
      <c r="R371" s="32"/>
      <c r="S371" s="32"/>
      <c r="T371" s="32"/>
      <c r="U371" s="32"/>
      <c r="V371" s="32"/>
      <c r="W371" s="32"/>
      <c r="X371" s="32"/>
      <c r="Y371" s="32"/>
      <c r="Z371" s="32"/>
    </row>
    <row r="372">
      <c r="A372" s="165" t="s">
        <v>1409</v>
      </c>
      <c r="B372" s="130" t="s">
        <v>1410</v>
      </c>
      <c r="C372" s="119">
        <f>0.01*50000000</f>
        <v>500000</v>
      </c>
      <c r="D372" s="23">
        <v>2013.0</v>
      </c>
      <c r="E372" s="101">
        <v>41365.0</v>
      </c>
      <c r="F372" s="26" t="s">
        <v>1411</v>
      </c>
      <c r="G372" s="130" t="s">
        <v>28</v>
      </c>
      <c r="H372" s="130" t="s">
        <v>23</v>
      </c>
      <c r="I372" s="28"/>
      <c r="J372" s="154">
        <v>1.0</v>
      </c>
      <c r="K372" s="57"/>
      <c r="L372" s="28"/>
      <c r="M372" s="105" t="s">
        <v>1412</v>
      </c>
      <c r="N372" s="166" t="s">
        <v>1413</v>
      </c>
      <c r="O372" s="166" t="s">
        <v>1414</v>
      </c>
      <c r="P372" s="32">
        <v>152.0</v>
      </c>
      <c r="Q372" s="32"/>
      <c r="R372" s="32"/>
      <c r="S372" s="32"/>
      <c r="T372" s="32"/>
      <c r="U372" s="32"/>
      <c r="V372" s="32"/>
      <c r="W372" s="32"/>
      <c r="X372" s="32"/>
      <c r="Y372" s="32"/>
      <c r="Z372" s="32"/>
    </row>
    <row r="373">
      <c r="A373" s="165" t="s">
        <v>1415</v>
      </c>
      <c r="B373" s="130" t="s">
        <v>1416</v>
      </c>
      <c r="C373" s="22">
        <v>5.0E7</v>
      </c>
      <c r="D373" s="23">
        <v>2013.0</v>
      </c>
      <c r="E373" s="101">
        <v>41365.0</v>
      </c>
      <c r="F373" s="26" t="s">
        <v>1417</v>
      </c>
      <c r="G373" s="130" t="s">
        <v>28</v>
      </c>
      <c r="H373" s="130" t="s">
        <v>23</v>
      </c>
      <c r="I373" s="28"/>
      <c r="J373" s="23">
        <v>1.0</v>
      </c>
      <c r="K373" s="57"/>
      <c r="L373" s="28"/>
      <c r="M373" s="34" t="s">
        <v>1418</v>
      </c>
      <c r="N373" s="116" t="s">
        <v>1419</v>
      </c>
      <c r="O373" s="166" t="s">
        <v>1420</v>
      </c>
      <c r="P373" s="32">
        <v>151.0</v>
      </c>
      <c r="Q373" s="32"/>
      <c r="R373" s="32"/>
      <c r="S373" s="32"/>
      <c r="T373" s="32"/>
      <c r="U373" s="32"/>
      <c r="V373" s="32"/>
      <c r="W373" s="32"/>
      <c r="X373" s="32"/>
      <c r="Y373" s="32"/>
      <c r="Z373" s="32"/>
    </row>
    <row r="374">
      <c r="A374" s="20" t="s">
        <v>996</v>
      </c>
      <c r="B374" s="26"/>
      <c r="C374" s="22">
        <v>5.5E8</v>
      </c>
      <c r="D374" s="23">
        <v>2013.0</v>
      </c>
      <c r="E374" s="101">
        <v>42705.0</v>
      </c>
      <c r="F374" s="26" t="s">
        <v>1421</v>
      </c>
      <c r="G374" s="26" t="s">
        <v>28</v>
      </c>
      <c r="H374" s="26" t="s">
        <v>23</v>
      </c>
      <c r="I374" s="28"/>
      <c r="J374" s="23">
        <v>2.0</v>
      </c>
      <c r="K374" s="27" t="s">
        <v>1422</v>
      </c>
      <c r="L374" s="28"/>
      <c r="M374" s="34" t="s">
        <v>1423</v>
      </c>
      <c r="N374" s="106" t="s">
        <v>1424</v>
      </c>
      <c r="O374" s="180" t="s">
        <v>1425</v>
      </c>
      <c r="P374" s="32">
        <v>150.0</v>
      </c>
      <c r="Q374" s="32"/>
      <c r="R374" s="32"/>
      <c r="S374" s="32"/>
      <c r="T374" s="32"/>
      <c r="U374" s="32"/>
      <c r="V374" s="32"/>
      <c r="W374" s="32"/>
      <c r="X374" s="32"/>
      <c r="Y374" s="32"/>
      <c r="Z374" s="32"/>
    </row>
    <row r="375">
      <c r="A375" s="165" t="s">
        <v>1426</v>
      </c>
      <c r="B375" s="28"/>
      <c r="C375" s="22">
        <v>4600000.0</v>
      </c>
      <c r="D375" s="23">
        <v>2013.0</v>
      </c>
      <c r="E375" s="101">
        <v>41640.0</v>
      </c>
      <c r="F375" s="111" t="s">
        <v>1427</v>
      </c>
      <c r="G375" s="130" t="s">
        <v>71</v>
      </c>
      <c r="H375" s="130" t="s">
        <v>23</v>
      </c>
      <c r="I375" s="28"/>
      <c r="J375" s="23">
        <v>2.0</v>
      </c>
      <c r="K375" s="57"/>
      <c r="L375" s="28"/>
      <c r="M375" s="34" t="s">
        <v>905</v>
      </c>
      <c r="N375" s="106" t="s">
        <v>1428</v>
      </c>
      <c r="O375" s="113"/>
      <c r="P375" s="32">
        <v>149.0</v>
      </c>
      <c r="Q375" s="32"/>
      <c r="R375" s="32"/>
      <c r="S375" s="32"/>
      <c r="T375" s="32"/>
      <c r="U375" s="32"/>
      <c r="V375" s="32"/>
      <c r="W375" s="32"/>
      <c r="X375" s="32"/>
      <c r="Y375" s="32"/>
      <c r="Z375" s="32"/>
    </row>
    <row r="376">
      <c r="A376" s="20" t="s">
        <v>1429</v>
      </c>
      <c r="B376" s="28"/>
      <c r="C376" s="22">
        <v>74000.0</v>
      </c>
      <c r="D376" s="23">
        <v>2013.0</v>
      </c>
      <c r="E376" s="101">
        <v>41487.0</v>
      </c>
      <c r="F376" s="26" t="s">
        <v>1430</v>
      </c>
      <c r="G376" s="26" t="s">
        <v>110</v>
      </c>
      <c r="H376" s="26" t="s">
        <v>23</v>
      </c>
      <c r="I376" s="28"/>
      <c r="J376" s="23">
        <v>2.0</v>
      </c>
      <c r="K376" s="57"/>
      <c r="L376" s="28"/>
      <c r="M376" s="105" t="s">
        <v>1429</v>
      </c>
      <c r="N376" s="106" t="s">
        <v>1431</v>
      </c>
      <c r="O376" s="113"/>
      <c r="P376" s="32">
        <v>148.0</v>
      </c>
      <c r="Q376" s="32"/>
      <c r="R376" s="32"/>
      <c r="S376" s="32"/>
      <c r="T376" s="32"/>
      <c r="U376" s="32"/>
      <c r="V376" s="32"/>
      <c r="W376" s="32"/>
      <c r="X376" s="32"/>
      <c r="Y376" s="32"/>
      <c r="Z376" s="32"/>
    </row>
    <row r="377">
      <c r="A377" s="165" t="s">
        <v>1432</v>
      </c>
      <c r="B377" s="28"/>
      <c r="C377" s="22">
        <v>110000.0</v>
      </c>
      <c r="D377" s="23">
        <v>2013.0</v>
      </c>
      <c r="E377" s="101">
        <v>41306.0</v>
      </c>
      <c r="F377" s="26" t="s">
        <v>1433</v>
      </c>
      <c r="G377" s="26" t="s">
        <v>38</v>
      </c>
      <c r="H377" s="130" t="s">
        <v>23</v>
      </c>
      <c r="I377" s="28"/>
      <c r="J377" s="23">
        <v>3.0</v>
      </c>
      <c r="K377" s="57"/>
      <c r="L377" s="28"/>
      <c r="M377" s="105" t="s">
        <v>1434</v>
      </c>
      <c r="N377" s="106" t="s">
        <v>1435</v>
      </c>
      <c r="O377" s="113"/>
      <c r="P377" s="32">
        <v>147.0</v>
      </c>
      <c r="Q377" s="32"/>
      <c r="R377" s="32"/>
      <c r="S377" s="32"/>
      <c r="T377" s="32"/>
      <c r="U377" s="32"/>
      <c r="V377" s="32"/>
      <c r="W377" s="32"/>
      <c r="X377" s="32"/>
      <c r="Y377" s="32"/>
      <c r="Z377" s="32"/>
    </row>
    <row r="378">
      <c r="A378" s="165" t="s">
        <v>407</v>
      </c>
      <c r="B378" s="28"/>
      <c r="C378" s="22">
        <v>250000.0</v>
      </c>
      <c r="D378" s="23">
        <v>2013.0</v>
      </c>
      <c r="E378" s="101">
        <v>41306.0</v>
      </c>
      <c r="F378" s="26" t="s">
        <v>1436</v>
      </c>
      <c r="G378" s="130" t="s">
        <v>28</v>
      </c>
      <c r="H378" s="26" t="s">
        <v>23</v>
      </c>
      <c r="I378" s="28"/>
      <c r="J378" s="154">
        <v>1.0</v>
      </c>
      <c r="K378" s="57"/>
      <c r="L378" s="28"/>
      <c r="M378" s="105" t="s">
        <v>1088</v>
      </c>
      <c r="N378" s="106" t="s">
        <v>1437</v>
      </c>
      <c r="O378" s="113"/>
      <c r="P378" s="32">
        <v>146.0</v>
      </c>
      <c r="Q378" s="32"/>
      <c r="R378" s="32"/>
      <c r="S378" s="32"/>
      <c r="T378" s="32"/>
      <c r="U378" s="32"/>
      <c r="V378" s="32"/>
      <c r="W378" s="32"/>
      <c r="X378" s="32"/>
      <c r="Y378" s="32"/>
      <c r="Z378" s="32"/>
    </row>
    <row r="379">
      <c r="A379" s="165" t="s">
        <v>1438</v>
      </c>
      <c r="B379" s="28"/>
      <c r="C379" s="22">
        <v>100000.0</v>
      </c>
      <c r="D379" s="23">
        <v>2013.0</v>
      </c>
      <c r="E379" s="101">
        <v>41306.0</v>
      </c>
      <c r="F379" s="26" t="s">
        <v>1439</v>
      </c>
      <c r="G379" s="26" t="s">
        <v>258</v>
      </c>
      <c r="H379" s="26" t="s">
        <v>1034</v>
      </c>
      <c r="I379" s="28"/>
      <c r="J379" s="23">
        <v>4.0</v>
      </c>
      <c r="K379" s="57"/>
      <c r="L379" s="28"/>
      <c r="M379" s="34" t="s">
        <v>1440</v>
      </c>
      <c r="N379" s="106" t="s">
        <v>1441</v>
      </c>
      <c r="O379" s="113"/>
      <c r="P379" s="32">
        <v>145.0</v>
      </c>
      <c r="Q379" s="32"/>
      <c r="R379" s="32"/>
      <c r="S379" s="32"/>
      <c r="T379" s="32"/>
      <c r="U379" s="32"/>
      <c r="V379" s="32"/>
      <c r="W379" s="32"/>
      <c r="X379" s="32"/>
      <c r="Y379" s="32"/>
      <c r="Z379" s="32"/>
    </row>
    <row r="380">
      <c r="A380" s="165" t="s">
        <v>1442</v>
      </c>
      <c r="B380" s="130"/>
      <c r="C380" s="22">
        <v>100000.0</v>
      </c>
      <c r="D380" s="23">
        <v>2013.0</v>
      </c>
      <c r="E380" s="101">
        <v>41275.0</v>
      </c>
      <c r="F380" s="26" t="s">
        <v>1443</v>
      </c>
      <c r="G380" s="130" t="s">
        <v>64</v>
      </c>
      <c r="H380" s="26" t="s">
        <v>1034</v>
      </c>
      <c r="I380" s="28"/>
      <c r="J380" s="23">
        <v>2.0</v>
      </c>
      <c r="K380" s="57"/>
      <c r="L380" s="28"/>
      <c r="M380" s="34" t="s">
        <v>1026</v>
      </c>
      <c r="N380" s="106" t="s">
        <v>1444</v>
      </c>
      <c r="O380" s="113"/>
      <c r="P380" s="32">
        <v>144.0</v>
      </c>
      <c r="Q380" s="32"/>
      <c r="R380" s="32"/>
      <c r="S380" s="32"/>
      <c r="T380" s="32"/>
      <c r="U380" s="32"/>
      <c r="V380" s="32"/>
      <c r="W380" s="32"/>
      <c r="X380" s="32"/>
      <c r="Y380" s="32"/>
      <c r="Z380" s="32"/>
    </row>
    <row r="381">
      <c r="A381" s="165" t="s">
        <v>1445</v>
      </c>
      <c r="B381" s="53"/>
      <c r="C381" s="22">
        <v>4000000.0</v>
      </c>
      <c r="D381" s="23">
        <v>2013.0</v>
      </c>
      <c r="E381" s="101">
        <v>41487.0</v>
      </c>
      <c r="F381" s="26" t="s">
        <v>1446</v>
      </c>
      <c r="G381" s="26" t="s">
        <v>258</v>
      </c>
      <c r="H381" s="26" t="s">
        <v>1034</v>
      </c>
      <c r="I381" s="130" t="s">
        <v>29</v>
      </c>
      <c r="J381" s="23">
        <v>2.0</v>
      </c>
      <c r="K381" s="57"/>
      <c r="L381" s="28"/>
      <c r="M381" s="53" t="s">
        <v>1318</v>
      </c>
      <c r="N381" s="166" t="s">
        <v>1447</v>
      </c>
      <c r="O381" s="109"/>
      <c r="P381" s="32">
        <v>143.0</v>
      </c>
      <c r="Q381" s="32"/>
      <c r="R381" s="32"/>
      <c r="S381" s="32"/>
      <c r="T381" s="32"/>
      <c r="U381" s="32"/>
      <c r="V381" s="32"/>
      <c r="W381" s="32"/>
      <c r="X381" s="32"/>
      <c r="Y381" s="32"/>
      <c r="Z381" s="32"/>
    </row>
    <row r="382">
      <c r="A382" s="165" t="s">
        <v>1448</v>
      </c>
      <c r="B382" s="111" t="s">
        <v>1449</v>
      </c>
      <c r="C382" s="22">
        <v>200000.0</v>
      </c>
      <c r="D382" s="23">
        <v>2013.0</v>
      </c>
      <c r="E382" s="101">
        <v>41456.0</v>
      </c>
      <c r="F382" s="34" t="s">
        <v>1450</v>
      </c>
      <c r="G382" s="130" t="s">
        <v>28</v>
      </c>
      <c r="H382" s="130" t="s">
        <v>23</v>
      </c>
      <c r="I382" s="28"/>
      <c r="J382" s="23">
        <v>2.0</v>
      </c>
      <c r="K382" s="57"/>
      <c r="L382" s="28"/>
      <c r="M382" s="53" t="s">
        <v>1448</v>
      </c>
      <c r="N382" s="166" t="s">
        <v>1451</v>
      </c>
      <c r="O382" s="113"/>
      <c r="P382" s="32">
        <v>142.0</v>
      </c>
      <c r="Q382" s="32"/>
      <c r="R382" s="32"/>
      <c r="S382" s="32"/>
      <c r="T382" s="32"/>
      <c r="U382" s="32"/>
      <c r="V382" s="32"/>
      <c r="W382" s="32"/>
      <c r="X382" s="32"/>
      <c r="Y382" s="32"/>
      <c r="Z382" s="32"/>
    </row>
    <row r="383">
      <c r="A383" s="114" t="s">
        <v>1452</v>
      </c>
      <c r="B383" s="28"/>
      <c r="C383" s="22">
        <v>275000.0</v>
      </c>
      <c r="D383" s="23">
        <v>2013.0</v>
      </c>
      <c r="E383" s="101">
        <v>41456.0</v>
      </c>
      <c r="F383" s="26" t="s">
        <v>1453</v>
      </c>
      <c r="G383" s="26" t="s">
        <v>1227</v>
      </c>
      <c r="H383" s="130" t="s">
        <v>23</v>
      </c>
      <c r="I383" s="28"/>
      <c r="J383" s="154">
        <v>1.0</v>
      </c>
      <c r="K383" s="57"/>
      <c r="L383" s="28"/>
      <c r="M383" s="53" t="s">
        <v>325</v>
      </c>
      <c r="N383" s="166" t="s">
        <v>1454</v>
      </c>
      <c r="O383" s="19"/>
      <c r="P383" s="32">
        <v>141.0</v>
      </c>
      <c r="Q383" s="32"/>
      <c r="R383" s="32"/>
      <c r="S383" s="32"/>
      <c r="T383" s="32"/>
      <c r="U383" s="32"/>
      <c r="V383" s="32"/>
      <c r="W383" s="32"/>
      <c r="X383" s="32"/>
      <c r="Y383" s="32"/>
      <c r="Z383" s="32"/>
    </row>
    <row r="384">
      <c r="A384" s="165" t="s">
        <v>1455</v>
      </c>
      <c r="B384" s="111" t="s">
        <v>1456</v>
      </c>
      <c r="C384" s="22">
        <v>500000.0</v>
      </c>
      <c r="D384" s="23">
        <v>2013.0</v>
      </c>
      <c r="E384" s="101">
        <v>41456.0</v>
      </c>
      <c r="F384" s="26" t="s">
        <v>1457</v>
      </c>
      <c r="G384" s="26" t="s">
        <v>58</v>
      </c>
      <c r="H384" s="130" t="s">
        <v>23</v>
      </c>
      <c r="I384" s="130" t="s">
        <v>29</v>
      </c>
      <c r="J384" s="154">
        <v>1.0</v>
      </c>
      <c r="K384" s="57"/>
      <c r="L384" s="28"/>
      <c r="M384" s="53" t="s">
        <v>286</v>
      </c>
      <c r="N384" s="106" t="s">
        <v>1458</v>
      </c>
      <c r="O384" s="113"/>
      <c r="P384" s="32">
        <v>140.0</v>
      </c>
      <c r="Q384" s="32"/>
      <c r="R384" s="32"/>
      <c r="S384" s="32"/>
      <c r="T384" s="32"/>
      <c r="U384" s="32"/>
      <c r="V384" s="32"/>
      <c r="W384" s="32"/>
      <c r="X384" s="32"/>
      <c r="Y384" s="32"/>
      <c r="Z384" s="32"/>
    </row>
    <row r="385">
      <c r="A385" s="114" t="s">
        <v>1459</v>
      </c>
      <c r="B385" s="115" t="s">
        <v>1460</v>
      </c>
      <c r="C385" s="22">
        <v>5.8E7</v>
      </c>
      <c r="D385" s="23">
        <v>2013.0</v>
      </c>
      <c r="E385" s="101">
        <v>41456.0</v>
      </c>
      <c r="F385" s="34" t="s">
        <v>1461</v>
      </c>
      <c r="G385" s="115" t="s">
        <v>236</v>
      </c>
      <c r="H385" s="115" t="s">
        <v>23</v>
      </c>
      <c r="I385" s="53"/>
      <c r="J385" s="23">
        <v>2.0</v>
      </c>
      <c r="K385" s="57"/>
      <c r="L385" s="53"/>
      <c r="M385" s="34" t="s">
        <v>905</v>
      </c>
      <c r="N385" s="106" t="s">
        <v>1462</v>
      </c>
      <c r="O385" s="19"/>
      <c r="P385" s="32">
        <v>139.0</v>
      </c>
      <c r="Q385" s="32"/>
      <c r="R385" s="32"/>
      <c r="S385" s="32"/>
      <c r="T385" s="32"/>
      <c r="U385" s="32"/>
      <c r="V385" s="32"/>
      <c r="W385" s="32"/>
      <c r="X385" s="32"/>
      <c r="Y385" s="32"/>
      <c r="Z385" s="32"/>
    </row>
    <row r="386">
      <c r="A386" s="165" t="s">
        <v>1463</v>
      </c>
      <c r="B386" s="130" t="s">
        <v>1464</v>
      </c>
      <c r="C386" s="22">
        <v>2000000.0</v>
      </c>
      <c r="D386" s="23">
        <v>2013.0</v>
      </c>
      <c r="E386" s="101">
        <v>41456.0</v>
      </c>
      <c r="F386" s="26" t="s">
        <v>1465</v>
      </c>
      <c r="G386" s="26" t="s">
        <v>1227</v>
      </c>
      <c r="H386" s="130" t="s">
        <v>23</v>
      </c>
      <c r="I386" s="130" t="s">
        <v>29</v>
      </c>
      <c r="J386" s="23">
        <v>3.0</v>
      </c>
      <c r="K386" s="57"/>
      <c r="L386" s="28"/>
      <c r="M386" s="105" t="s">
        <v>247</v>
      </c>
      <c r="N386" s="106" t="s">
        <v>1466</v>
      </c>
      <c r="O386" s="113"/>
      <c r="P386" s="32">
        <v>138.0</v>
      </c>
      <c r="Q386" s="32"/>
      <c r="R386" s="32"/>
      <c r="S386" s="32"/>
      <c r="T386" s="32"/>
      <c r="U386" s="32"/>
      <c r="V386" s="32"/>
      <c r="W386" s="32"/>
      <c r="X386" s="32"/>
      <c r="Y386" s="32"/>
      <c r="Z386" s="32"/>
    </row>
    <row r="387">
      <c r="A387" s="114" t="s">
        <v>631</v>
      </c>
      <c r="B387" s="115" t="s">
        <v>1467</v>
      </c>
      <c r="C387" s="22">
        <v>4000000.0</v>
      </c>
      <c r="D387" s="23">
        <v>2013.0</v>
      </c>
      <c r="E387" s="101">
        <v>41426.0</v>
      </c>
      <c r="F387" s="34" t="s">
        <v>1468</v>
      </c>
      <c r="G387" s="115" t="s">
        <v>236</v>
      </c>
      <c r="H387" s="115" t="s">
        <v>23</v>
      </c>
      <c r="I387" s="57"/>
      <c r="J387" s="23">
        <v>2.0</v>
      </c>
      <c r="K387" s="57"/>
      <c r="L387" s="53"/>
      <c r="M387" s="34" t="s">
        <v>571</v>
      </c>
      <c r="N387" s="135" t="s">
        <v>1469</v>
      </c>
      <c r="O387" s="19"/>
      <c r="P387" s="32">
        <v>137.0</v>
      </c>
      <c r="Q387" s="32"/>
      <c r="R387" s="32"/>
      <c r="S387" s="32"/>
      <c r="T387" s="32"/>
      <c r="U387" s="32"/>
      <c r="V387" s="32"/>
      <c r="W387" s="32"/>
      <c r="X387" s="32"/>
      <c r="Y387" s="32"/>
      <c r="Z387" s="32"/>
    </row>
    <row r="388">
      <c r="A388" s="20" t="s">
        <v>1470</v>
      </c>
      <c r="B388" s="26"/>
      <c r="C388" s="22">
        <v>1500000.0</v>
      </c>
      <c r="D388" s="23">
        <v>2013.0</v>
      </c>
      <c r="E388" s="101">
        <v>41426.0</v>
      </c>
      <c r="F388" s="34" t="s">
        <v>1471</v>
      </c>
      <c r="G388" s="26" t="s">
        <v>64</v>
      </c>
      <c r="H388" s="26" t="s">
        <v>59</v>
      </c>
      <c r="I388" s="26" t="s">
        <v>29</v>
      </c>
      <c r="J388" s="23">
        <v>5.0</v>
      </c>
      <c r="K388" s="57"/>
      <c r="L388" s="28"/>
      <c r="M388" s="53" t="s">
        <v>591</v>
      </c>
      <c r="N388" s="106" t="s">
        <v>1472</v>
      </c>
      <c r="O388" s="113"/>
      <c r="P388" s="32">
        <v>136.0</v>
      </c>
      <c r="Q388" s="32"/>
      <c r="R388" s="32"/>
      <c r="S388" s="32"/>
      <c r="T388" s="32"/>
      <c r="U388" s="32"/>
      <c r="V388" s="32"/>
      <c r="W388" s="32"/>
      <c r="X388" s="32"/>
      <c r="Y388" s="32"/>
      <c r="Z388" s="32"/>
    </row>
    <row r="389">
      <c r="A389" s="114" t="s">
        <v>588</v>
      </c>
      <c r="B389" s="53"/>
      <c r="C389" s="22">
        <v>6000000.0</v>
      </c>
      <c r="D389" s="23">
        <v>2013.0</v>
      </c>
      <c r="E389" s="101">
        <v>41426.0</v>
      </c>
      <c r="F389" s="34" t="s">
        <v>1473</v>
      </c>
      <c r="G389" s="130" t="s">
        <v>28</v>
      </c>
      <c r="H389" s="105" t="s">
        <v>142</v>
      </c>
      <c r="I389" s="53"/>
      <c r="J389" s="154">
        <v>1.0</v>
      </c>
      <c r="K389" s="57"/>
      <c r="L389" s="53"/>
      <c r="M389" s="53" t="s">
        <v>588</v>
      </c>
      <c r="N389" s="135" t="s">
        <v>1474</v>
      </c>
      <c r="O389" s="19"/>
      <c r="P389" s="32">
        <v>135.0</v>
      </c>
      <c r="Q389" s="32"/>
      <c r="R389" s="32"/>
      <c r="S389" s="32"/>
      <c r="T389" s="32"/>
      <c r="U389" s="32"/>
      <c r="V389" s="32"/>
      <c r="W389" s="32"/>
      <c r="X389" s="32"/>
      <c r="Y389" s="32"/>
      <c r="Z389" s="32"/>
    </row>
    <row r="390">
      <c r="A390" s="165" t="s">
        <v>1475</v>
      </c>
      <c r="B390" s="130" t="s">
        <v>1476</v>
      </c>
      <c r="C390" s="22">
        <v>5.0E7</v>
      </c>
      <c r="D390" s="23">
        <v>2013.0</v>
      </c>
      <c r="E390" s="101">
        <v>41334.0</v>
      </c>
      <c r="F390" s="26" t="s">
        <v>1477</v>
      </c>
      <c r="G390" s="130" t="s">
        <v>28</v>
      </c>
      <c r="H390" s="130" t="s">
        <v>23</v>
      </c>
      <c r="I390" s="28"/>
      <c r="J390" s="154">
        <v>1.0</v>
      </c>
      <c r="K390" s="57"/>
      <c r="L390" s="28"/>
      <c r="M390" s="105" t="s">
        <v>1478</v>
      </c>
      <c r="N390" s="106" t="s">
        <v>1479</v>
      </c>
      <c r="O390" s="166" t="s">
        <v>1480</v>
      </c>
      <c r="P390" s="32">
        <v>134.0</v>
      </c>
      <c r="Q390" s="32"/>
      <c r="R390" s="32"/>
      <c r="S390" s="32"/>
      <c r="T390" s="32"/>
      <c r="U390" s="32"/>
      <c r="V390" s="32"/>
      <c r="W390" s="32"/>
      <c r="X390" s="32"/>
      <c r="Y390" s="32"/>
      <c r="Z390" s="32"/>
    </row>
    <row r="391">
      <c r="A391" s="165" t="s">
        <v>1481</v>
      </c>
      <c r="B391" s="130" t="s">
        <v>1482</v>
      </c>
      <c r="C391" s="22">
        <v>125000.0</v>
      </c>
      <c r="D391" s="23">
        <v>2013.0</v>
      </c>
      <c r="E391" s="101">
        <v>41365.0</v>
      </c>
      <c r="F391" s="26" t="s">
        <v>1483</v>
      </c>
      <c r="G391" s="26" t="s">
        <v>110</v>
      </c>
      <c r="H391" s="130" t="s">
        <v>23</v>
      </c>
      <c r="I391" s="28"/>
      <c r="J391" s="23">
        <v>2.0</v>
      </c>
      <c r="K391" s="57"/>
      <c r="L391" s="28"/>
      <c r="M391" s="105" t="s">
        <v>1434</v>
      </c>
      <c r="N391" s="106" t="s">
        <v>1484</v>
      </c>
      <c r="O391" s="109"/>
      <c r="P391" s="32">
        <v>133.0</v>
      </c>
      <c r="Q391" s="32"/>
      <c r="R391" s="32"/>
      <c r="S391" s="32"/>
      <c r="T391" s="32"/>
      <c r="U391" s="32"/>
      <c r="V391" s="32"/>
      <c r="W391" s="32"/>
      <c r="X391" s="32"/>
      <c r="Y391" s="32"/>
      <c r="Z391" s="32"/>
    </row>
    <row r="392">
      <c r="A392" s="165" t="s">
        <v>1485</v>
      </c>
      <c r="B392" s="28"/>
      <c r="C392" s="22">
        <v>2.2E7</v>
      </c>
      <c r="D392" s="23">
        <v>2013.0</v>
      </c>
      <c r="E392" s="101">
        <v>41395.0</v>
      </c>
      <c r="F392" s="26" t="s">
        <v>1486</v>
      </c>
      <c r="G392" s="130" t="s">
        <v>1227</v>
      </c>
      <c r="H392" s="130" t="s">
        <v>23</v>
      </c>
      <c r="I392" s="28"/>
      <c r="J392" s="154">
        <v>1.0</v>
      </c>
      <c r="K392" s="57"/>
      <c r="L392" s="28"/>
      <c r="M392" s="53" t="s">
        <v>286</v>
      </c>
      <c r="N392" s="106" t="s">
        <v>1487</v>
      </c>
      <c r="O392" s="113"/>
      <c r="P392" s="32">
        <v>132.0</v>
      </c>
      <c r="Q392" s="32"/>
      <c r="R392" s="32"/>
      <c r="S392" s="32"/>
      <c r="T392" s="32"/>
      <c r="U392" s="32"/>
      <c r="V392" s="32"/>
      <c r="W392" s="32"/>
      <c r="X392" s="32"/>
      <c r="Y392" s="32"/>
      <c r="Z392" s="32"/>
    </row>
    <row r="393">
      <c r="A393" s="165" t="s">
        <v>1488</v>
      </c>
      <c r="B393" s="130" t="s">
        <v>1489</v>
      </c>
      <c r="C393" s="22">
        <v>1000000.0</v>
      </c>
      <c r="D393" s="23">
        <v>2013.0</v>
      </c>
      <c r="E393" s="101">
        <v>41395.0</v>
      </c>
      <c r="F393" s="26" t="s">
        <v>1490</v>
      </c>
      <c r="G393" s="130" t="s">
        <v>28</v>
      </c>
      <c r="H393" s="130" t="s">
        <v>23</v>
      </c>
      <c r="I393" s="28"/>
      <c r="J393" s="154">
        <v>1.0</v>
      </c>
      <c r="K393" s="57"/>
      <c r="L393" s="28"/>
      <c r="M393" s="53" t="s">
        <v>247</v>
      </c>
      <c r="N393" s="106" t="s">
        <v>1491</v>
      </c>
      <c r="O393" s="113"/>
      <c r="P393" s="32">
        <v>131.0</v>
      </c>
      <c r="Q393" s="32"/>
      <c r="R393" s="32"/>
      <c r="S393" s="32"/>
      <c r="T393" s="32"/>
      <c r="U393" s="32"/>
      <c r="V393" s="32"/>
      <c r="W393" s="32"/>
      <c r="X393" s="32"/>
      <c r="Y393" s="32"/>
      <c r="Z393" s="32"/>
    </row>
    <row r="394">
      <c r="A394" s="165" t="s">
        <v>1492</v>
      </c>
      <c r="B394" s="28"/>
      <c r="C394" s="22">
        <v>170000.0</v>
      </c>
      <c r="D394" s="23">
        <v>2013.0</v>
      </c>
      <c r="E394" s="101">
        <v>41395.0</v>
      </c>
      <c r="F394" s="26" t="s">
        <v>1493</v>
      </c>
      <c r="G394" s="130" t="s">
        <v>129</v>
      </c>
      <c r="H394" s="105" t="s">
        <v>142</v>
      </c>
      <c r="I394" s="130" t="s">
        <v>29</v>
      </c>
      <c r="J394" s="23">
        <v>2.0</v>
      </c>
      <c r="K394" s="57"/>
      <c r="L394" s="28"/>
      <c r="M394" s="105" t="s">
        <v>1494</v>
      </c>
      <c r="N394" s="106" t="s">
        <v>1495</v>
      </c>
      <c r="O394" s="166" t="s">
        <v>1496</v>
      </c>
      <c r="P394" s="32">
        <v>130.0</v>
      </c>
      <c r="Q394" s="32"/>
      <c r="R394" s="32"/>
      <c r="S394" s="32"/>
      <c r="T394" s="32"/>
      <c r="U394" s="32"/>
      <c r="V394" s="32"/>
      <c r="W394" s="32"/>
      <c r="X394" s="32"/>
      <c r="Y394" s="32"/>
      <c r="Z394" s="32"/>
    </row>
    <row r="395">
      <c r="A395" s="165" t="s">
        <v>1497</v>
      </c>
      <c r="B395" s="130" t="s">
        <v>1498</v>
      </c>
      <c r="C395" s="22">
        <v>160000.0</v>
      </c>
      <c r="D395" s="23">
        <v>2013.0</v>
      </c>
      <c r="E395" s="101">
        <v>41395.0</v>
      </c>
      <c r="F395" s="26" t="s">
        <v>1499</v>
      </c>
      <c r="G395" s="130" t="s">
        <v>64</v>
      </c>
      <c r="H395" s="130" t="s">
        <v>23</v>
      </c>
      <c r="I395" s="28"/>
      <c r="J395" s="23">
        <v>2.0</v>
      </c>
      <c r="K395" s="57"/>
      <c r="L395" s="28"/>
      <c r="M395" s="34" t="s">
        <v>1500</v>
      </c>
      <c r="N395" s="106" t="s">
        <v>1501</v>
      </c>
      <c r="O395" s="166" t="s">
        <v>1502</v>
      </c>
      <c r="P395" s="32">
        <v>129.0</v>
      </c>
      <c r="Q395" s="32"/>
      <c r="R395" s="32"/>
      <c r="S395" s="32"/>
      <c r="T395" s="32"/>
      <c r="U395" s="32"/>
      <c r="V395" s="32"/>
      <c r="W395" s="32"/>
      <c r="X395" s="32"/>
      <c r="Y395" s="32"/>
      <c r="Z395" s="32"/>
    </row>
    <row r="396">
      <c r="A396" s="181" t="s">
        <v>1503</v>
      </c>
      <c r="B396" s="28"/>
      <c r="C396" s="22">
        <v>860000.0</v>
      </c>
      <c r="D396" s="23">
        <v>2013.0</v>
      </c>
      <c r="E396" s="101">
        <v>41579.0</v>
      </c>
      <c r="F396" s="98" t="s">
        <v>1504</v>
      </c>
      <c r="G396" s="130" t="s">
        <v>28</v>
      </c>
      <c r="H396" s="130" t="s">
        <v>23</v>
      </c>
      <c r="I396" s="28"/>
      <c r="J396" s="154">
        <v>1.0</v>
      </c>
      <c r="K396" s="57"/>
      <c r="L396" s="28"/>
      <c r="M396" s="53" t="s">
        <v>410</v>
      </c>
      <c r="N396" s="106" t="s">
        <v>1505</v>
      </c>
      <c r="O396" s="113"/>
      <c r="P396" s="32">
        <v>128.0</v>
      </c>
      <c r="Q396" s="32"/>
      <c r="R396" s="32"/>
      <c r="S396" s="32"/>
      <c r="T396" s="32"/>
      <c r="U396" s="32"/>
      <c r="V396" s="32"/>
      <c r="W396" s="32"/>
      <c r="X396" s="32"/>
      <c r="Y396" s="32"/>
      <c r="Z396" s="32"/>
    </row>
    <row r="397">
      <c r="A397" s="114" t="s">
        <v>1506</v>
      </c>
      <c r="B397" s="115" t="s">
        <v>1507</v>
      </c>
      <c r="C397" s="22">
        <v>2.0E8</v>
      </c>
      <c r="D397" s="23">
        <v>2013.0</v>
      </c>
      <c r="E397" s="101">
        <v>41548.0</v>
      </c>
      <c r="F397" s="34" t="s">
        <v>1508</v>
      </c>
      <c r="G397" s="26" t="s">
        <v>58</v>
      </c>
      <c r="H397" s="130" t="s">
        <v>59</v>
      </c>
      <c r="I397" s="28"/>
      <c r="J397" s="23">
        <v>2.0</v>
      </c>
      <c r="K397" s="27" t="s">
        <v>294</v>
      </c>
      <c r="L397" s="28"/>
      <c r="M397" s="34" t="s">
        <v>1509</v>
      </c>
      <c r="N397" s="106" t="s">
        <v>1510</v>
      </c>
      <c r="O397" s="106" t="s">
        <v>1511</v>
      </c>
      <c r="P397" s="32">
        <v>127.0</v>
      </c>
      <c r="Q397" s="32"/>
      <c r="R397" s="32"/>
      <c r="S397" s="32"/>
      <c r="T397" s="32"/>
      <c r="U397" s="32"/>
      <c r="V397" s="32"/>
      <c r="W397" s="32"/>
      <c r="X397" s="32"/>
      <c r="Y397" s="32"/>
      <c r="Z397" s="32"/>
    </row>
    <row r="398">
      <c r="A398" s="114" t="s">
        <v>1512</v>
      </c>
      <c r="B398" s="53"/>
      <c r="C398" s="22">
        <v>2000000.0</v>
      </c>
      <c r="D398" s="23">
        <v>2013.0</v>
      </c>
      <c r="E398" s="101">
        <v>41518.0</v>
      </c>
      <c r="F398" s="34" t="s">
        <v>1513</v>
      </c>
      <c r="G398" s="115" t="s">
        <v>129</v>
      </c>
      <c r="H398" s="115" t="s">
        <v>59</v>
      </c>
      <c r="I398" s="115" t="s">
        <v>29</v>
      </c>
      <c r="J398" s="23">
        <v>3.0</v>
      </c>
      <c r="K398" s="57"/>
      <c r="L398" s="53"/>
      <c r="M398" s="120" t="s">
        <v>1382</v>
      </c>
      <c r="N398" s="135" t="s">
        <v>1514</v>
      </c>
      <c r="O398" s="19"/>
      <c r="P398" s="32">
        <v>126.0</v>
      </c>
      <c r="Q398" s="32"/>
      <c r="R398" s="32"/>
      <c r="S398" s="32"/>
      <c r="T398" s="32"/>
      <c r="U398" s="32"/>
      <c r="V398" s="32"/>
      <c r="W398" s="32"/>
      <c r="X398" s="32"/>
      <c r="Y398" s="32"/>
      <c r="Z398" s="32"/>
    </row>
    <row r="399">
      <c r="A399" s="114" t="s">
        <v>1515</v>
      </c>
      <c r="B399" s="53"/>
      <c r="C399" s="22">
        <v>3.8E7</v>
      </c>
      <c r="D399" s="23">
        <v>2013.0</v>
      </c>
      <c r="E399" s="101">
        <v>41548.0</v>
      </c>
      <c r="F399" s="34" t="s">
        <v>1516</v>
      </c>
      <c r="G399" s="115" t="s">
        <v>50</v>
      </c>
      <c r="H399" s="115" t="s">
        <v>23</v>
      </c>
      <c r="I399" s="115" t="s">
        <v>29</v>
      </c>
      <c r="J399" s="23">
        <v>3.0</v>
      </c>
      <c r="K399" s="27" t="s">
        <v>526</v>
      </c>
      <c r="L399" s="53"/>
      <c r="M399" s="53" t="s">
        <v>1515</v>
      </c>
      <c r="N399" s="135" t="s">
        <v>1517</v>
      </c>
      <c r="O399" s="136"/>
      <c r="P399" s="32">
        <v>125.0</v>
      </c>
      <c r="Q399" s="32"/>
      <c r="R399" s="32"/>
      <c r="S399" s="32"/>
      <c r="T399" s="32"/>
      <c r="U399" s="32"/>
      <c r="V399" s="32"/>
      <c r="W399" s="32"/>
      <c r="X399" s="32"/>
      <c r="Y399" s="32"/>
      <c r="Z399" s="32"/>
    </row>
    <row r="400">
      <c r="A400" s="114" t="s">
        <v>1518</v>
      </c>
      <c r="B400" s="53"/>
      <c r="C400" s="22">
        <v>1000000.0</v>
      </c>
      <c r="D400" s="23">
        <v>2013.0</v>
      </c>
      <c r="E400" s="101">
        <v>41518.0</v>
      </c>
      <c r="F400" s="34" t="s">
        <v>1519</v>
      </c>
      <c r="G400" s="115" t="s">
        <v>50</v>
      </c>
      <c r="H400" s="115" t="s">
        <v>23</v>
      </c>
      <c r="I400" s="53"/>
      <c r="J400" s="23">
        <v>3.0</v>
      </c>
      <c r="K400" s="57"/>
      <c r="L400" s="53"/>
      <c r="M400" s="34" t="s">
        <v>1520</v>
      </c>
      <c r="N400" s="135" t="s">
        <v>1521</v>
      </c>
      <c r="O400" s="116" t="s">
        <v>1522</v>
      </c>
      <c r="P400" s="32">
        <v>124.0</v>
      </c>
      <c r="Q400" s="32"/>
      <c r="R400" s="32"/>
      <c r="S400" s="32"/>
      <c r="T400" s="32"/>
      <c r="U400" s="32"/>
      <c r="V400" s="32"/>
      <c r="W400" s="32"/>
      <c r="X400" s="32"/>
      <c r="Y400" s="32"/>
      <c r="Z400" s="32"/>
    </row>
    <row r="401">
      <c r="A401" s="181" t="s">
        <v>1523</v>
      </c>
      <c r="B401" s="28"/>
      <c r="C401" s="22">
        <v>4000000.0</v>
      </c>
      <c r="D401" s="23">
        <v>2013.0</v>
      </c>
      <c r="E401" s="101">
        <v>41518.0</v>
      </c>
      <c r="F401" s="26" t="s">
        <v>1524</v>
      </c>
      <c r="G401" s="130" t="s">
        <v>28</v>
      </c>
      <c r="H401" s="115" t="s">
        <v>23</v>
      </c>
      <c r="I401" s="130" t="s">
        <v>29</v>
      </c>
      <c r="J401" s="23">
        <v>2.0</v>
      </c>
      <c r="K401" s="57"/>
      <c r="L401" s="28"/>
      <c r="M401" s="120" t="s">
        <v>702</v>
      </c>
      <c r="N401" s="106" t="s">
        <v>1525</v>
      </c>
      <c r="O401" s="113"/>
      <c r="P401" s="32">
        <v>123.0</v>
      </c>
      <c r="Q401" s="32"/>
      <c r="R401" s="32"/>
      <c r="S401" s="32"/>
      <c r="T401" s="32"/>
      <c r="U401" s="32"/>
      <c r="V401" s="32"/>
      <c r="W401" s="32"/>
      <c r="X401" s="32"/>
      <c r="Y401" s="32"/>
      <c r="Z401" s="32"/>
    </row>
    <row r="402">
      <c r="A402" s="165" t="s">
        <v>1526</v>
      </c>
      <c r="B402" s="28"/>
      <c r="C402" s="22">
        <v>7.0E7</v>
      </c>
      <c r="D402" s="23">
        <v>2013.0</v>
      </c>
      <c r="E402" s="101">
        <v>41609.0</v>
      </c>
      <c r="F402" s="26" t="s">
        <v>1527</v>
      </c>
      <c r="G402" s="130" t="s">
        <v>43</v>
      </c>
      <c r="H402" s="130" t="s">
        <v>23</v>
      </c>
      <c r="I402" s="130" t="s">
        <v>29</v>
      </c>
      <c r="J402" s="23">
        <v>3.0</v>
      </c>
      <c r="K402" s="57"/>
      <c r="L402" s="28"/>
      <c r="M402" s="34" t="s">
        <v>1528</v>
      </c>
      <c r="N402" s="106" t="s">
        <v>1529</v>
      </c>
      <c r="O402" s="117"/>
      <c r="P402" s="32">
        <v>122.0</v>
      </c>
      <c r="Q402" s="32"/>
      <c r="R402" s="32"/>
      <c r="S402" s="32"/>
      <c r="T402" s="32"/>
      <c r="U402" s="32"/>
      <c r="V402" s="32"/>
      <c r="W402" s="32"/>
      <c r="X402" s="32"/>
      <c r="Y402" s="32"/>
      <c r="Z402" s="32"/>
    </row>
    <row r="403">
      <c r="A403" s="165" t="s">
        <v>1530</v>
      </c>
      <c r="B403" s="28"/>
      <c r="C403" s="22">
        <v>6000000.0</v>
      </c>
      <c r="D403" s="23">
        <v>2012.0</v>
      </c>
      <c r="E403" s="101">
        <v>40969.0</v>
      </c>
      <c r="F403" s="26" t="s">
        <v>1531</v>
      </c>
      <c r="G403" s="130" t="s">
        <v>28</v>
      </c>
      <c r="H403" s="130" t="s">
        <v>23</v>
      </c>
      <c r="I403" s="28"/>
      <c r="J403" s="154">
        <v>1.0</v>
      </c>
      <c r="K403" s="57"/>
      <c r="L403" s="28"/>
      <c r="M403" s="105" t="s">
        <v>571</v>
      </c>
      <c r="N403" s="106" t="s">
        <v>1532</v>
      </c>
      <c r="O403" s="113"/>
      <c r="P403" s="32">
        <v>121.0</v>
      </c>
      <c r="Q403" s="32"/>
      <c r="R403" s="32"/>
      <c r="S403" s="32"/>
      <c r="T403" s="32"/>
      <c r="U403" s="32"/>
      <c r="V403" s="32"/>
      <c r="W403" s="32"/>
      <c r="X403" s="32"/>
      <c r="Y403" s="32"/>
      <c r="Z403" s="32"/>
    </row>
    <row r="404">
      <c r="A404" s="165" t="s">
        <v>1533</v>
      </c>
      <c r="B404" s="130" t="s">
        <v>1534</v>
      </c>
      <c r="C404" s="22">
        <v>1500000.0</v>
      </c>
      <c r="D404" s="23">
        <v>2012.0</v>
      </c>
      <c r="E404" s="101">
        <v>41000.0</v>
      </c>
      <c r="F404" s="26" t="s">
        <v>1535</v>
      </c>
      <c r="G404" s="26" t="s">
        <v>58</v>
      </c>
      <c r="H404" s="130" t="s">
        <v>23</v>
      </c>
      <c r="I404" s="28"/>
      <c r="J404" s="23">
        <v>3.0</v>
      </c>
      <c r="K404" s="57"/>
      <c r="L404" s="28"/>
      <c r="M404" s="34" t="s">
        <v>710</v>
      </c>
      <c r="N404" s="106" t="s">
        <v>1536</v>
      </c>
      <c r="O404" s="113"/>
      <c r="P404" s="32">
        <v>120.0</v>
      </c>
      <c r="Q404" s="32"/>
      <c r="R404" s="32"/>
      <c r="S404" s="32"/>
      <c r="T404" s="32"/>
      <c r="U404" s="32"/>
      <c r="V404" s="32"/>
      <c r="W404" s="32"/>
      <c r="X404" s="32"/>
      <c r="Y404" s="32"/>
      <c r="Z404" s="32"/>
    </row>
    <row r="405">
      <c r="A405" s="114" t="s">
        <v>1537</v>
      </c>
      <c r="B405" s="115" t="s">
        <v>1538</v>
      </c>
      <c r="C405" s="22">
        <v>228000.0</v>
      </c>
      <c r="D405" s="23">
        <v>2012.0</v>
      </c>
      <c r="E405" s="101">
        <v>41000.0</v>
      </c>
      <c r="F405" s="26" t="s">
        <v>1539</v>
      </c>
      <c r="G405" s="26" t="s">
        <v>258</v>
      </c>
      <c r="H405" s="130" t="s">
        <v>59</v>
      </c>
      <c r="I405" s="28"/>
      <c r="J405" s="23">
        <v>4.0</v>
      </c>
      <c r="K405" s="57"/>
      <c r="L405" s="53"/>
      <c r="M405" s="34" t="s">
        <v>1540</v>
      </c>
      <c r="N405" s="135" t="s">
        <v>1541</v>
      </c>
      <c r="O405" s="136"/>
      <c r="P405" s="32">
        <v>119.0</v>
      </c>
      <c r="Q405" s="32"/>
      <c r="R405" s="32"/>
      <c r="S405" s="32"/>
      <c r="T405" s="32"/>
      <c r="U405" s="32"/>
      <c r="V405" s="32"/>
      <c r="W405" s="32"/>
      <c r="X405" s="32"/>
      <c r="Y405" s="32"/>
      <c r="Z405" s="32"/>
    </row>
    <row r="406">
      <c r="A406" s="165" t="s">
        <v>1542</v>
      </c>
      <c r="B406" s="130" t="s">
        <v>1543</v>
      </c>
      <c r="C406" s="22">
        <v>3000000.0</v>
      </c>
      <c r="D406" s="23">
        <v>2012.0</v>
      </c>
      <c r="E406" s="101">
        <v>41000.0</v>
      </c>
      <c r="F406" s="26" t="s">
        <v>1544</v>
      </c>
      <c r="G406" s="26" t="s">
        <v>58</v>
      </c>
      <c r="H406" s="130" t="s">
        <v>23</v>
      </c>
      <c r="I406" s="130" t="s">
        <v>29</v>
      </c>
      <c r="J406" s="23">
        <v>5.0</v>
      </c>
      <c r="K406" s="57"/>
      <c r="L406" s="28"/>
      <c r="M406" s="53" t="s">
        <v>608</v>
      </c>
      <c r="N406" s="106" t="s">
        <v>1545</v>
      </c>
      <c r="O406" s="113"/>
      <c r="P406" s="32">
        <v>118.0</v>
      </c>
      <c r="Q406" s="32"/>
      <c r="R406" s="32"/>
      <c r="S406" s="32"/>
      <c r="T406" s="32"/>
      <c r="U406" s="32"/>
      <c r="V406" s="32"/>
      <c r="W406" s="32"/>
      <c r="X406" s="32"/>
      <c r="Y406" s="32"/>
      <c r="Z406" s="32"/>
    </row>
    <row r="407">
      <c r="A407" s="165" t="s">
        <v>1546</v>
      </c>
      <c r="B407" s="28"/>
      <c r="C407" s="22">
        <v>800000.0</v>
      </c>
      <c r="D407" s="23">
        <v>2012.0</v>
      </c>
      <c r="E407" s="101">
        <v>41000.0</v>
      </c>
      <c r="F407" s="26" t="s">
        <v>1547</v>
      </c>
      <c r="G407" s="130" t="s">
        <v>64</v>
      </c>
      <c r="H407" s="26" t="s">
        <v>1034</v>
      </c>
      <c r="I407" s="28"/>
      <c r="J407" s="23">
        <v>2.0</v>
      </c>
      <c r="K407" s="57"/>
      <c r="L407" s="28"/>
      <c r="M407" s="105" t="s">
        <v>591</v>
      </c>
      <c r="N407" s="106" t="s">
        <v>1548</v>
      </c>
      <c r="O407" s="117"/>
      <c r="P407" s="32">
        <v>117.0</v>
      </c>
      <c r="Q407" s="32"/>
      <c r="R407" s="32"/>
      <c r="S407" s="32"/>
      <c r="T407" s="32"/>
      <c r="U407" s="32"/>
      <c r="V407" s="32"/>
      <c r="W407" s="32"/>
      <c r="X407" s="32"/>
      <c r="Y407" s="32"/>
      <c r="Z407" s="32"/>
    </row>
    <row r="408">
      <c r="A408" s="114" t="s">
        <v>1549</v>
      </c>
      <c r="B408" s="130" t="s">
        <v>1550</v>
      </c>
      <c r="C408" s="22">
        <v>315000.0</v>
      </c>
      <c r="D408" s="23">
        <v>2012.0</v>
      </c>
      <c r="E408" s="101">
        <v>41000.0</v>
      </c>
      <c r="F408" s="26" t="s">
        <v>1551</v>
      </c>
      <c r="G408" s="26" t="s">
        <v>258</v>
      </c>
      <c r="H408" s="26" t="s">
        <v>1034</v>
      </c>
      <c r="I408" s="28"/>
      <c r="J408" s="23">
        <v>4.0</v>
      </c>
      <c r="K408" s="57"/>
      <c r="L408" s="53"/>
      <c r="M408" s="34" t="s">
        <v>1552</v>
      </c>
      <c r="N408" s="135" t="s">
        <v>1553</v>
      </c>
      <c r="O408" s="19"/>
      <c r="P408" s="32">
        <v>116.0</v>
      </c>
      <c r="Q408" s="32"/>
      <c r="R408" s="32"/>
      <c r="S408" s="32"/>
      <c r="T408" s="32"/>
      <c r="U408" s="32"/>
      <c r="V408" s="32"/>
      <c r="W408" s="32"/>
      <c r="X408" s="32"/>
      <c r="Y408" s="32"/>
      <c r="Z408" s="32"/>
    </row>
    <row r="409">
      <c r="A409" s="165" t="s">
        <v>1554</v>
      </c>
      <c r="B409" s="53"/>
      <c r="C409" s="22">
        <v>6500000.0</v>
      </c>
      <c r="D409" s="23">
        <v>2012.0</v>
      </c>
      <c r="E409" s="101">
        <v>41000.0</v>
      </c>
      <c r="F409" s="26" t="s">
        <v>1555</v>
      </c>
      <c r="G409" s="115" t="s">
        <v>64</v>
      </c>
      <c r="H409" s="105" t="s">
        <v>142</v>
      </c>
      <c r="I409" s="28"/>
      <c r="J409" s="23">
        <v>2.0</v>
      </c>
      <c r="K409" s="57"/>
      <c r="L409" s="28"/>
      <c r="M409" s="53" t="s">
        <v>1556</v>
      </c>
      <c r="N409" s="106" t="s">
        <v>1557</v>
      </c>
      <c r="O409" s="113"/>
      <c r="P409" s="32">
        <v>115.0</v>
      </c>
      <c r="Q409" s="32"/>
      <c r="R409" s="32"/>
      <c r="S409" s="32"/>
      <c r="T409" s="32"/>
      <c r="U409" s="32"/>
      <c r="V409" s="32"/>
      <c r="W409" s="32"/>
      <c r="X409" s="32"/>
      <c r="Y409" s="32"/>
      <c r="Z409" s="32"/>
    </row>
    <row r="410">
      <c r="A410" s="165" t="s">
        <v>1558</v>
      </c>
      <c r="B410" s="130" t="s">
        <v>1559</v>
      </c>
      <c r="C410" s="22">
        <v>780000.0</v>
      </c>
      <c r="D410" s="23">
        <v>2012.0</v>
      </c>
      <c r="E410" s="101">
        <v>41000.0</v>
      </c>
      <c r="F410" s="26" t="s">
        <v>1560</v>
      </c>
      <c r="G410" s="26" t="s">
        <v>1561</v>
      </c>
      <c r="H410" s="130" t="s">
        <v>23</v>
      </c>
      <c r="I410" s="130" t="s">
        <v>29</v>
      </c>
      <c r="J410" s="182" t="s">
        <v>1562</v>
      </c>
      <c r="K410" s="57"/>
      <c r="L410" s="28"/>
      <c r="M410" s="105" t="s">
        <v>286</v>
      </c>
      <c r="N410" s="106" t="s">
        <v>1563</v>
      </c>
      <c r="O410" s="113"/>
      <c r="P410" s="32">
        <v>114.0</v>
      </c>
      <c r="Q410" s="32"/>
      <c r="R410" s="32"/>
      <c r="S410" s="32"/>
      <c r="T410" s="32"/>
      <c r="U410" s="32"/>
      <c r="V410" s="32"/>
      <c r="W410" s="32"/>
      <c r="X410" s="32"/>
      <c r="Y410" s="32"/>
      <c r="Z410" s="32"/>
    </row>
    <row r="411">
      <c r="A411" s="114" t="s">
        <v>1564</v>
      </c>
      <c r="B411" s="115" t="s">
        <v>1565</v>
      </c>
      <c r="C411" s="22">
        <v>1.4E7</v>
      </c>
      <c r="D411" s="23">
        <v>2012.0</v>
      </c>
      <c r="E411" s="101">
        <v>41122.0</v>
      </c>
      <c r="F411" s="34" t="s">
        <v>1566</v>
      </c>
      <c r="G411" s="115" t="s">
        <v>236</v>
      </c>
      <c r="H411" s="115" t="s">
        <v>23</v>
      </c>
      <c r="I411" s="53"/>
      <c r="J411" s="23">
        <v>2.0</v>
      </c>
      <c r="K411" s="57"/>
      <c r="L411" s="53"/>
      <c r="M411" s="34" t="s">
        <v>278</v>
      </c>
      <c r="N411" s="135" t="s">
        <v>1567</v>
      </c>
      <c r="O411" s="19"/>
      <c r="P411" s="32">
        <v>113.0</v>
      </c>
      <c r="Q411" s="32"/>
      <c r="R411" s="32"/>
      <c r="S411" s="32"/>
      <c r="T411" s="32"/>
      <c r="U411" s="32"/>
      <c r="V411" s="32"/>
      <c r="W411" s="32"/>
      <c r="X411" s="32"/>
      <c r="Y411" s="32"/>
      <c r="Z411" s="32"/>
    </row>
    <row r="412">
      <c r="A412" s="165" t="s">
        <v>1568</v>
      </c>
      <c r="B412" s="28"/>
      <c r="C412" s="22">
        <v>1800000.0</v>
      </c>
      <c r="D412" s="23">
        <v>2012.0</v>
      </c>
      <c r="E412" s="101">
        <v>40909.0</v>
      </c>
      <c r="F412" s="26" t="s">
        <v>1569</v>
      </c>
      <c r="G412" s="26" t="s">
        <v>38</v>
      </c>
      <c r="H412" s="130" t="s">
        <v>59</v>
      </c>
      <c r="I412" s="28"/>
      <c r="J412" s="23">
        <v>2.0</v>
      </c>
      <c r="K412" s="57"/>
      <c r="L412" s="28"/>
      <c r="M412" s="105" t="s">
        <v>1026</v>
      </c>
      <c r="N412" s="146" t="s">
        <v>1570</v>
      </c>
      <c r="O412" s="113"/>
      <c r="P412" s="32">
        <v>112.0</v>
      </c>
      <c r="Q412" s="32"/>
      <c r="R412" s="32"/>
      <c r="S412" s="32"/>
      <c r="T412" s="32"/>
      <c r="U412" s="32"/>
      <c r="V412" s="32"/>
      <c r="W412" s="32"/>
      <c r="X412" s="32"/>
      <c r="Y412" s="32"/>
      <c r="Z412" s="32"/>
    </row>
    <row r="413">
      <c r="A413" s="114" t="s">
        <v>1571</v>
      </c>
      <c r="B413" s="130" t="s">
        <v>1572</v>
      </c>
      <c r="C413" s="22">
        <v>102153.0</v>
      </c>
      <c r="D413" s="23">
        <v>2012.0</v>
      </c>
      <c r="E413" s="101">
        <v>41000.0</v>
      </c>
      <c r="F413" s="26" t="s">
        <v>1573</v>
      </c>
      <c r="G413" s="26" t="s">
        <v>258</v>
      </c>
      <c r="H413" s="26" t="s">
        <v>1034</v>
      </c>
      <c r="I413" s="28"/>
      <c r="J413" s="23">
        <v>2.0</v>
      </c>
      <c r="K413" s="57"/>
      <c r="L413" s="28"/>
      <c r="M413" s="34" t="s">
        <v>1574</v>
      </c>
      <c r="N413" s="135" t="s">
        <v>1575</v>
      </c>
      <c r="O413" s="136"/>
      <c r="P413" s="32">
        <v>111.0</v>
      </c>
      <c r="Q413" s="32"/>
      <c r="R413" s="32"/>
      <c r="S413" s="32"/>
      <c r="T413" s="32"/>
      <c r="U413" s="32"/>
      <c r="V413" s="32"/>
      <c r="W413" s="32"/>
      <c r="X413" s="32"/>
      <c r="Y413" s="32"/>
      <c r="Z413" s="32"/>
    </row>
    <row r="414">
      <c r="A414" s="165" t="s">
        <v>1576</v>
      </c>
      <c r="B414" s="28"/>
      <c r="C414" s="22">
        <v>2.4E7</v>
      </c>
      <c r="D414" s="23">
        <v>2012.0</v>
      </c>
      <c r="E414" s="101">
        <v>40909.0</v>
      </c>
      <c r="F414" s="111" t="s">
        <v>1577</v>
      </c>
      <c r="G414" s="130" t="s">
        <v>28</v>
      </c>
      <c r="H414" s="130" t="s">
        <v>23</v>
      </c>
      <c r="I414" s="28"/>
      <c r="J414" s="23">
        <v>2.0</v>
      </c>
      <c r="K414" s="57"/>
      <c r="L414" s="28"/>
      <c r="M414" s="53" t="s">
        <v>278</v>
      </c>
      <c r="N414" s="106" t="s">
        <v>1578</v>
      </c>
      <c r="O414" s="113"/>
      <c r="P414" s="32">
        <v>110.0</v>
      </c>
      <c r="Q414" s="32"/>
      <c r="R414" s="32"/>
      <c r="S414" s="32"/>
      <c r="T414" s="32"/>
      <c r="U414" s="32"/>
      <c r="V414" s="32"/>
      <c r="W414" s="32"/>
      <c r="X414" s="32"/>
      <c r="Y414" s="32"/>
      <c r="Z414" s="32"/>
    </row>
    <row r="415">
      <c r="A415" s="114" t="s">
        <v>1579</v>
      </c>
      <c r="B415" s="115" t="s">
        <v>1580</v>
      </c>
      <c r="C415" s="22">
        <v>420000.0</v>
      </c>
      <c r="D415" s="23">
        <v>2012.0</v>
      </c>
      <c r="E415" s="101">
        <v>41091.0</v>
      </c>
      <c r="F415" s="34" t="s">
        <v>1581</v>
      </c>
      <c r="G415" s="115" t="s">
        <v>28</v>
      </c>
      <c r="H415" s="26" t="s">
        <v>23</v>
      </c>
      <c r="I415" s="154" t="s">
        <v>29</v>
      </c>
      <c r="J415" s="23">
        <v>1.0</v>
      </c>
      <c r="K415" s="57"/>
      <c r="L415" s="53"/>
      <c r="M415" s="53" t="s">
        <v>998</v>
      </c>
      <c r="N415" s="135" t="s">
        <v>1582</v>
      </c>
      <c r="O415" s="19"/>
      <c r="P415" s="32">
        <v>109.0</v>
      </c>
      <c r="Q415" s="32"/>
      <c r="R415" s="32"/>
      <c r="S415" s="32"/>
      <c r="T415" s="32"/>
      <c r="U415" s="32"/>
      <c r="V415" s="32"/>
      <c r="W415" s="32"/>
      <c r="X415" s="32"/>
      <c r="Y415" s="32"/>
      <c r="Z415" s="32"/>
    </row>
    <row r="416">
      <c r="A416" s="114" t="s">
        <v>1583</v>
      </c>
      <c r="B416" s="115" t="s">
        <v>1584</v>
      </c>
      <c r="C416" s="22">
        <v>8700000.0</v>
      </c>
      <c r="D416" s="23">
        <v>2012.0</v>
      </c>
      <c r="E416" s="101">
        <v>41091.0</v>
      </c>
      <c r="F416" s="34" t="s">
        <v>1585</v>
      </c>
      <c r="G416" s="130" t="s">
        <v>129</v>
      </c>
      <c r="H416" s="115" t="s">
        <v>23</v>
      </c>
      <c r="I416" s="53"/>
      <c r="J416" s="23">
        <v>2.0</v>
      </c>
      <c r="K416" s="57"/>
      <c r="L416" s="53"/>
      <c r="M416" s="34" t="s">
        <v>1586</v>
      </c>
      <c r="N416" s="135" t="s">
        <v>1587</v>
      </c>
      <c r="O416" s="116" t="s">
        <v>1588</v>
      </c>
      <c r="P416" s="32">
        <v>108.0</v>
      </c>
      <c r="Q416" s="32"/>
      <c r="R416" s="32"/>
      <c r="S416" s="32"/>
      <c r="T416" s="32"/>
      <c r="U416" s="32"/>
      <c r="V416" s="32"/>
      <c r="W416" s="32"/>
      <c r="X416" s="32"/>
      <c r="Y416" s="32"/>
      <c r="Z416" s="32"/>
    </row>
    <row r="417">
      <c r="A417" s="165" t="s">
        <v>1589</v>
      </c>
      <c r="B417" s="28"/>
      <c r="C417" s="22">
        <v>450000.0</v>
      </c>
      <c r="D417" s="23">
        <v>2012.0</v>
      </c>
      <c r="E417" s="101">
        <v>41091.0</v>
      </c>
      <c r="F417" s="26" t="s">
        <v>1590</v>
      </c>
      <c r="G417" s="130" t="s">
        <v>1227</v>
      </c>
      <c r="H417" s="130" t="s">
        <v>23</v>
      </c>
      <c r="I417" s="28"/>
      <c r="J417" s="154">
        <v>1.0</v>
      </c>
      <c r="K417" s="57"/>
      <c r="L417" s="28"/>
      <c r="M417" s="53" t="s">
        <v>152</v>
      </c>
      <c r="N417" s="106" t="s">
        <v>1591</v>
      </c>
      <c r="O417" s="109"/>
      <c r="P417" s="32">
        <v>107.0</v>
      </c>
      <c r="Q417" s="32"/>
      <c r="R417" s="32"/>
      <c r="S417" s="32"/>
      <c r="T417" s="32"/>
      <c r="U417" s="32"/>
      <c r="V417" s="32"/>
      <c r="W417" s="32"/>
      <c r="X417" s="32"/>
      <c r="Y417" s="32"/>
      <c r="Z417" s="32"/>
    </row>
    <row r="418">
      <c r="A418" s="44" t="s">
        <v>1592</v>
      </c>
      <c r="B418" s="26" t="s">
        <v>1593</v>
      </c>
      <c r="C418" s="22">
        <v>4.35E7</v>
      </c>
      <c r="D418" s="23">
        <v>2012.0</v>
      </c>
      <c r="E418" s="101">
        <v>42614.0</v>
      </c>
      <c r="F418" s="26" t="s">
        <v>1594</v>
      </c>
      <c r="G418" s="26" t="s">
        <v>28</v>
      </c>
      <c r="H418" s="26" t="s">
        <v>23</v>
      </c>
      <c r="I418" s="28"/>
      <c r="J418" s="23">
        <v>1.0</v>
      </c>
      <c r="K418" s="57"/>
      <c r="L418" s="28"/>
      <c r="M418" s="53" t="s">
        <v>608</v>
      </c>
      <c r="N418" s="106" t="s">
        <v>1595</v>
      </c>
      <c r="O418" s="106" t="s">
        <v>1596</v>
      </c>
      <c r="P418" s="32">
        <v>106.0</v>
      </c>
      <c r="Q418" s="32"/>
      <c r="R418" s="32"/>
      <c r="S418" s="32"/>
      <c r="T418" s="32"/>
      <c r="U418" s="32"/>
      <c r="V418" s="32"/>
      <c r="W418" s="32"/>
      <c r="X418" s="32"/>
      <c r="Y418" s="32"/>
      <c r="Z418" s="32"/>
    </row>
    <row r="419">
      <c r="A419" s="114" t="s">
        <v>1597</v>
      </c>
      <c r="B419" s="53"/>
      <c r="C419" s="22">
        <v>8000000.0</v>
      </c>
      <c r="D419" s="23">
        <v>2012.0</v>
      </c>
      <c r="E419" s="101">
        <v>41061.0</v>
      </c>
      <c r="F419" s="34" t="s">
        <v>1598</v>
      </c>
      <c r="G419" s="130" t="s">
        <v>28</v>
      </c>
      <c r="H419" s="26" t="s">
        <v>23</v>
      </c>
      <c r="I419" s="53"/>
      <c r="J419" s="23">
        <v>1.0</v>
      </c>
      <c r="K419" s="57"/>
      <c r="L419" s="53"/>
      <c r="M419" s="53" t="s">
        <v>1599</v>
      </c>
      <c r="N419" s="135" t="s">
        <v>1600</v>
      </c>
      <c r="O419" s="136"/>
      <c r="P419" s="32">
        <v>105.0</v>
      </c>
      <c r="Q419" s="32"/>
      <c r="R419" s="32"/>
      <c r="S419" s="32"/>
      <c r="T419" s="32"/>
      <c r="U419" s="32"/>
      <c r="V419" s="32"/>
      <c r="W419" s="32"/>
      <c r="X419" s="32"/>
      <c r="Y419" s="32"/>
      <c r="Z419" s="32"/>
    </row>
    <row r="420">
      <c r="A420" s="165" t="s">
        <v>1601</v>
      </c>
      <c r="B420" s="28"/>
      <c r="C420" s="22">
        <v>8000000.0</v>
      </c>
      <c r="D420" s="23">
        <v>2012.0</v>
      </c>
      <c r="E420" s="101">
        <v>41091.0</v>
      </c>
      <c r="F420" s="26" t="s">
        <v>1602</v>
      </c>
      <c r="G420" s="130" t="s">
        <v>28</v>
      </c>
      <c r="H420" s="130" t="s">
        <v>23</v>
      </c>
      <c r="I420" s="28"/>
      <c r="J420" s="154">
        <v>1.0</v>
      </c>
      <c r="K420" s="57"/>
      <c r="L420" s="28"/>
      <c r="M420" s="53" t="s">
        <v>278</v>
      </c>
      <c r="N420" s="106" t="s">
        <v>1603</v>
      </c>
      <c r="O420" s="113"/>
      <c r="P420" s="32">
        <v>104.0</v>
      </c>
      <c r="Q420" s="32"/>
      <c r="R420" s="32"/>
      <c r="S420" s="32"/>
      <c r="T420" s="32"/>
      <c r="U420" s="32"/>
      <c r="V420" s="32"/>
      <c r="W420" s="32"/>
      <c r="X420" s="32"/>
      <c r="Y420" s="32"/>
      <c r="Z420" s="32"/>
    </row>
    <row r="421">
      <c r="A421" s="181" t="s">
        <v>1604</v>
      </c>
      <c r="B421" s="130" t="s">
        <v>1605</v>
      </c>
      <c r="C421" s="22">
        <v>163792.0</v>
      </c>
      <c r="D421" s="23">
        <v>2012.0</v>
      </c>
      <c r="E421" s="101">
        <v>40969.0</v>
      </c>
      <c r="F421" s="26" t="s">
        <v>1606</v>
      </c>
      <c r="G421" s="130" t="s">
        <v>1607</v>
      </c>
      <c r="H421" s="26" t="s">
        <v>23</v>
      </c>
      <c r="I421" s="28"/>
      <c r="J421" s="23">
        <v>1.0</v>
      </c>
      <c r="K421" s="57"/>
      <c r="L421" s="28"/>
      <c r="M421" s="53" t="s">
        <v>1608</v>
      </c>
      <c r="N421" s="106" t="s">
        <v>1609</v>
      </c>
      <c r="O421" s="113"/>
      <c r="P421" s="32">
        <v>103.0</v>
      </c>
      <c r="Q421" s="32"/>
      <c r="R421" s="32"/>
      <c r="S421" s="32"/>
      <c r="T421" s="32"/>
      <c r="U421" s="32"/>
      <c r="V421" s="32"/>
      <c r="W421" s="32"/>
      <c r="X421" s="32"/>
      <c r="Y421" s="32"/>
      <c r="Z421" s="32"/>
    </row>
    <row r="422">
      <c r="A422" s="114" t="s">
        <v>1610</v>
      </c>
      <c r="B422" s="53"/>
      <c r="C422" s="22">
        <v>1.2367232E7</v>
      </c>
      <c r="D422" s="23">
        <v>2012.0</v>
      </c>
      <c r="E422" s="101">
        <v>40969.0</v>
      </c>
      <c r="F422" s="34" t="s">
        <v>1611</v>
      </c>
      <c r="G422" s="130" t="s">
        <v>1612</v>
      </c>
      <c r="H422" s="105" t="s">
        <v>142</v>
      </c>
      <c r="I422" s="115" t="s">
        <v>29</v>
      </c>
      <c r="J422" s="23">
        <v>2.0</v>
      </c>
      <c r="K422" s="57"/>
      <c r="L422" s="53"/>
      <c r="M422" s="53" t="s">
        <v>1613</v>
      </c>
      <c r="N422" s="135" t="s">
        <v>1614</v>
      </c>
      <c r="O422" s="116" t="s">
        <v>1615</v>
      </c>
      <c r="P422" s="32">
        <v>102.0</v>
      </c>
      <c r="Q422" s="32"/>
      <c r="R422" s="32"/>
      <c r="S422" s="32"/>
      <c r="T422" s="32"/>
      <c r="U422" s="32"/>
      <c r="V422" s="32"/>
      <c r="W422" s="32"/>
      <c r="X422" s="32"/>
      <c r="Y422" s="32"/>
      <c r="Z422" s="32"/>
    </row>
    <row r="423">
      <c r="A423" s="165" t="s">
        <v>1616</v>
      </c>
      <c r="B423" s="53"/>
      <c r="C423" s="22">
        <v>9000000.0</v>
      </c>
      <c r="D423" s="23">
        <v>2012.0</v>
      </c>
      <c r="E423" s="101">
        <v>41214.0</v>
      </c>
      <c r="F423" s="26" t="s">
        <v>1617</v>
      </c>
      <c r="G423" s="130" t="s">
        <v>64</v>
      </c>
      <c r="H423" s="130" t="s">
        <v>23</v>
      </c>
      <c r="I423" s="28"/>
      <c r="J423" s="23">
        <v>2.0</v>
      </c>
      <c r="K423" s="57"/>
      <c r="L423" s="28"/>
      <c r="M423" s="53" t="s">
        <v>410</v>
      </c>
      <c r="N423" s="106" t="s">
        <v>1618</v>
      </c>
      <c r="O423" s="113"/>
      <c r="P423" s="32">
        <v>101.0</v>
      </c>
      <c r="Q423" s="32"/>
      <c r="R423" s="32"/>
      <c r="S423" s="32"/>
      <c r="T423" s="32"/>
      <c r="U423" s="32"/>
      <c r="V423" s="32"/>
      <c r="W423" s="32"/>
      <c r="X423" s="32"/>
      <c r="Y423" s="32"/>
      <c r="Z423" s="32"/>
    </row>
    <row r="424">
      <c r="A424" s="20" t="s">
        <v>1619</v>
      </c>
      <c r="B424" s="138"/>
      <c r="C424" s="22">
        <v>3600000.0</v>
      </c>
      <c r="D424" s="23">
        <v>2012.0</v>
      </c>
      <c r="E424" s="101">
        <v>41183.0</v>
      </c>
      <c r="F424" s="26" t="s">
        <v>1620</v>
      </c>
      <c r="G424" s="26" t="s">
        <v>64</v>
      </c>
      <c r="H424" s="26" t="s">
        <v>23</v>
      </c>
      <c r="I424" s="28"/>
      <c r="J424" s="23">
        <v>1.0</v>
      </c>
      <c r="K424" s="57"/>
      <c r="L424" s="28"/>
      <c r="M424" s="53" t="s">
        <v>1621</v>
      </c>
      <c r="N424" s="106" t="s">
        <v>1622</v>
      </c>
      <c r="O424" s="113"/>
      <c r="P424" s="32">
        <v>100.0</v>
      </c>
      <c r="Q424" s="32"/>
      <c r="R424" s="32"/>
      <c r="S424" s="32"/>
      <c r="T424" s="32"/>
      <c r="U424" s="32"/>
      <c r="V424" s="32"/>
      <c r="W424" s="32"/>
      <c r="X424" s="32"/>
      <c r="Y424" s="32"/>
      <c r="Z424" s="32"/>
    </row>
    <row r="425">
      <c r="A425" s="20" t="s">
        <v>214</v>
      </c>
      <c r="B425" s="28"/>
      <c r="C425" s="22">
        <v>6.87E7</v>
      </c>
      <c r="D425" s="23">
        <v>2012.0</v>
      </c>
      <c r="E425" s="101">
        <v>42583.0</v>
      </c>
      <c r="F425" s="26" t="s">
        <v>1623</v>
      </c>
      <c r="G425" s="26" t="s">
        <v>28</v>
      </c>
      <c r="H425" s="26" t="s">
        <v>23</v>
      </c>
      <c r="I425" s="28"/>
      <c r="J425" s="23">
        <v>1.0</v>
      </c>
      <c r="K425" s="27" t="s">
        <v>1624</v>
      </c>
      <c r="L425" s="28"/>
      <c r="M425" s="53" t="s">
        <v>1625</v>
      </c>
      <c r="N425" s="106" t="s">
        <v>1626</v>
      </c>
      <c r="O425" s="113"/>
      <c r="P425" s="32">
        <v>99.0</v>
      </c>
      <c r="Q425" s="32"/>
      <c r="R425" s="32"/>
      <c r="S425" s="32"/>
      <c r="T425" s="32"/>
      <c r="U425" s="32"/>
      <c r="V425" s="32"/>
      <c r="W425" s="32"/>
      <c r="X425" s="32"/>
      <c r="Y425" s="32"/>
      <c r="Z425" s="32"/>
    </row>
    <row r="426">
      <c r="A426" s="114" t="s">
        <v>1627</v>
      </c>
      <c r="B426" s="130" t="s">
        <v>1628</v>
      </c>
      <c r="C426" s="22">
        <v>1700000.0</v>
      </c>
      <c r="D426" s="23">
        <v>2011.0</v>
      </c>
      <c r="E426" s="101">
        <v>40575.0</v>
      </c>
      <c r="F426" s="26" t="s">
        <v>1629</v>
      </c>
      <c r="G426" s="26" t="s">
        <v>258</v>
      </c>
      <c r="H426" s="26" t="s">
        <v>1034</v>
      </c>
      <c r="I426" s="28"/>
      <c r="J426" s="23">
        <v>4.0</v>
      </c>
      <c r="K426" s="57"/>
      <c r="L426" s="53"/>
      <c r="M426" s="34" t="s">
        <v>1630</v>
      </c>
      <c r="N426" s="135" t="s">
        <v>1631</v>
      </c>
      <c r="O426" s="19"/>
      <c r="P426" s="32">
        <v>98.0</v>
      </c>
      <c r="Q426" s="32"/>
      <c r="R426" s="32"/>
      <c r="S426" s="32"/>
      <c r="T426" s="32"/>
      <c r="U426" s="32"/>
      <c r="V426" s="32"/>
      <c r="W426" s="32"/>
      <c r="X426" s="32"/>
      <c r="Y426" s="32"/>
      <c r="Z426" s="32"/>
    </row>
    <row r="427">
      <c r="A427" s="114" t="s">
        <v>1632</v>
      </c>
      <c r="B427" s="28"/>
      <c r="C427" s="22">
        <v>231400.0</v>
      </c>
      <c r="D427" s="23">
        <v>2011.0</v>
      </c>
      <c r="E427" s="101">
        <v>40544.0</v>
      </c>
      <c r="F427" s="111" t="s">
        <v>1633</v>
      </c>
      <c r="G427" s="26" t="s">
        <v>258</v>
      </c>
      <c r="H427" s="130" t="s">
        <v>23</v>
      </c>
      <c r="I427" s="130" t="s">
        <v>29</v>
      </c>
      <c r="J427" s="23">
        <v>2.0</v>
      </c>
      <c r="K427" s="57"/>
      <c r="L427" s="53"/>
      <c r="M427" s="34" t="s">
        <v>1634</v>
      </c>
      <c r="N427" s="135" t="s">
        <v>1635</v>
      </c>
      <c r="O427" s="136"/>
      <c r="P427" s="32">
        <v>97.0</v>
      </c>
      <c r="Q427" s="32"/>
      <c r="R427" s="32"/>
      <c r="S427" s="32"/>
      <c r="T427" s="32"/>
      <c r="U427" s="32"/>
      <c r="V427" s="32"/>
      <c r="W427" s="32"/>
      <c r="X427" s="32"/>
      <c r="Y427" s="32"/>
      <c r="Z427" s="32"/>
    </row>
    <row r="428">
      <c r="A428" s="165" t="s">
        <v>1636</v>
      </c>
      <c r="B428" s="28"/>
      <c r="C428" s="22">
        <v>800000.0</v>
      </c>
      <c r="D428" s="23">
        <v>2011.0</v>
      </c>
      <c r="E428" s="101">
        <v>40787.0</v>
      </c>
      <c r="F428" s="26" t="s">
        <v>1637</v>
      </c>
      <c r="G428" s="26" t="s">
        <v>258</v>
      </c>
      <c r="H428" s="26" t="s">
        <v>1034</v>
      </c>
      <c r="I428" s="28"/>
      <c r="J428" s="23">
        <v>5.0</v>
      </c>
      <c r="K428" s="57"/>
      <c r="L428" s="28"/>
      <c r="M428" s="105" t="s">
        <v>1638</v>
      </c>
      <c r="N428" s="106" t="s">
        <v>1639</v>
      </c>
      <c r="O428" s="113"/>
      <c r="P428" s="32">
        <v>96.0</v>
      </c>
      <c r="Q428" s="32"/>
      <c r="R428" s="32"/>
      <c r="S428" s="32"/>
      <c r="T428" s="32"/>
      <c r="U428" s="32"/>
      <c r="V428" s="32"/>
      <c r="W428" s="32"/>
      <c r="X428" s="32"/>
      <c r="Y428" s="32"/>
      <c r="Z428" s="32"/>
    </row>
    <row r="429">
      <c r="A429" s="165" t="s">
        <v>1640</v>
      </c>
      <c r="B429" s="130" t="s">
        <v>1641</v>
      </c>
      <c r="C429" s="22">
        <v>2300000.0</v>
      </c>
      <c r="D429" s="23">
        <v>2011.0</v>
      </c>
      <c r="E429" s="101">
        <v>40664.0</v>
      </c>
      <c r="F429" s="26" t="s">
        <v>1642</v>
      </c>
      <c r="G429" s="130" t="s">
        <v>28</v>
      </c>
      <c r="H429" s="130" t="s">
        <v>23</v>
      </c>
      <c r="I429" s="28"/>
      <c r="J429" s="23">
        <v>3.0</v>
      </c>
      <c r="K429" s="57"/>
      <c r="L429" s="28"/>
      <c r="M429" s="34" t="s">
        <v>1643</v>
      </c>
      <c r="N429" s="106" t="s">
        <v>1644</v>
      </c>
      <c r="O429" s="113"/>
      <c r="P429" s="32">
        <v>95.0</v>
      </c>
      <c r="Q429" s="32"/>
      <c r="R429" s="32"/>
      <c r="S429" s="32"/>
      <c r="T429" s="32"/>
      <c r="U429" s="32"/>
      <c r="V429" s="32"/>
      <c r="W429" s="32"/>
      <c r="X429" s="32"/>
      <c r="Y429" s="32"/>
      <c r="Z429" s="32"/>
    </row>
    <row r="430">
      <c r="A430" s="114" t="s">
        <v>1645</v>
      </c>
      <c r="B430" s="28"/>
      <c r="C430" s="22">
        <v>156000.0</v>
      </c>
      <c r="D430" s="23">
        <v>2011.0</v>
      </c>
      <c r="E430" s="101">
        <v>40544.0</v>
      </c>
      <c r="F430" s="26" t="s">
        <v>1646</v>
      </c>
      <c r="G430" s="26" t="s">
        <v>258</v>
      </c>
      <c r="H430" s="130" t="s">
        <v>23</v>
      </c>
      <c r="I430" s="28"/>
      <c r="J430" s="23">
        <v>4.0</v>
      </c>
      <c r="K430" s="57"/>
      <c r="L430" s="28"/>
      <c r="M430" s="34" t="s">
        <v>1647</v>
      </c>
      <c r="N430" s="135" t="s">
        <v>1648</v>
      </c>
      <c r="O430" s="136"/>
      <c r="P430" s="32">
        <v>94.0</v>
      </c>
      <c r="Q430" s="32"/>
      <c r="R430" s="32"/>
      <c r="S430" s="32"/>
      <c r="T430" s="32"/>
      <c r="U430" s="32"/>
      <c r="V430" s="32"/>
      <c r="W430" s="32"/>
      <c r="X430" s="32"/>
      <c r="Y430" s="32"/>
      <c r="Z430" s="32"/>
    </row>
    <row r="431">
      <c r="A431" s="165" t="s">
        <v>1649</v>
      </c>
      <c r="B431" s="28"/>
      <c r="C431" s="22">
        <v>43000.0</v>
      </c>
      <c r="D431" s="23">
        <v>2011.0</v>
      </c>
      <c r="E431" s="101">
        <v>40756.0</v>
      </c>
      <c r="F431" s="26" t="s">
        <v>1650</v>
      </c>
      <c r="G431" s="26" t="s">
        <v>110</v>
      </c>
      <c r="H431" s="105" t="s">
        <v>142</v>
      </c>
      <c r="I431" s="28"/>
      <c r="J431" s="23">
        <v>2.0</v>
      </c>
      <c r="K431" s="57"/>
      <c r="L431" s="28"/>
      <c r="M431" s="34" t="s">
        <v>918</v>
      </c>
      <c r="N431" s="106" t="s">
        <v>1651</v>
      </c>
      <c r="O431" s="113"/>
      <c r="P431" s="32">
        <v>93.0</v>
      </c>
      <c r="Q431" s="32"/>
      <c r="R431" s="32"/>
      <c r="S431" s="32"/>
      <c r="T431" s="32"/>
      <c r="U431" s="32"/>
      <c r="V431" s="32"/>
      <c r="W431" s="32"/>
      <c r="X431" s="32"/>
      <c r="Y431" s="32"/>
      <c r="Z431" s="32"/>
    </row>
    <row r="432">
      <c r="A432" s="165" t="s">
        <v>1652</v>
      </c>
      <c r="B432" s="28"/>
      <c r="C432" s="22">
        <v>34000.0</v>
      </c>
      <c r="D432" s="23">
        <v>2011.0</v>
      </c>
      <c r="E432" s="101">
        <v>40725.0</v>
      </c>
      <c r="F432" s="26" t="s">
        <v>1653</v>
      </c>
      <c r="G432" s="26" t="s">
        <v>58</v>
      </c>
      <c r="H432" s="26" t="s">
        <v>1034</v>
      </c>
      <c r="I432" s="130" t="s">
        <v>29</v>
      </c>
      <c r="J432" s="23">
        <v>3.0</v>
      </c>
      <c r="K432" s="57"/>
      <c r="L432" s="28"/>
      <c r="M432" s="34" t="s">
        <v>829</v>
      </c>
      <c r="N432" s="106" t="s">
        <v>1654</v>
      </c>
      <c r="O432" s="113"/>
      <c r="P432" s="32">
        <v>92.0</v>
      </c>
      <c r="Q432" s="32"/>
      <c r="R432" s="32"/>
      <c r="S432" s="32"/>
      <c r="T432" s="32"/>
      <c r="U432" s="32"/>
      <c r="V432" s="32"/>
      <c r="W432" s="32"/>
      <c r="X432" s="32"/>
      <c r="Y432" s="32"/>
      <c r="Z432" s="32"/>
    </row>
    <row r="433">
      <c r="A433" s="165" t="s">
        <v>1655</v>
      </c>
      <c r="B433" s="28"/>
      <c r="C433" s="22">
        <v>3500000.0</v>
      </c>
      <c r="D433" s="23">
        <v>2011.0</v>
      </c>
      <c r="E433" s="101">
        <v>40634.0</v>
      </c>
      <c r="F433" s="26" t="s">
        <v>1656</v>
      </c>
      <c r="G433" s="130" t="s">
        <v>64</v>
      </c>
      <c r="H433" s="105" t="s">
        <v>142</v>
      </c>
      <c r="I433" s="28"/>
      <c r="J433" s="23">
        <v>2.0</v>
      </c>
      <c r="K433" s="57"/>
      <c r="L433" s="28"/>
      <c r="M433" s="34" t="s">
        <v>1657</v>
      </c>
      <c r="N433" s="106" t="s">
        <v>1658</v>
      </c>
      <c r="O433" s="113"/>
      <c r="P433" s="32">
        <v>91.0</v>
      </c>
      <c r="Q433" s="32"/>
      <c r="R433" s="32"/>
      <c r="S433" s="32"/>
      <c r="T433" s="32"/>
      <c r="U433" s="32"/>
      <c r="V433" s="32"/>
      <c r="W433" s="32"/>
      <c r="X433" s="32"/>
      <c r="Y433" s="32"/>
      <c r="Z433" s="32"/>
    </row>
    <row r="434">
      <c r="A434" s="20" t="s">
        <v>1659</v>
      </c>
      <c r="B434" s="26" t="s">
        <v>1660</v>
      </c>
      <c r="C434" s="22">
        <v>3000000.0</v>
      </c>
      <c r="D434" s="23">
        <v>2011.0</v>
      </c>
      <c r="E434" s="101">
        <v>40634.0</v>
      </c>
      <c r="F434" s="26" t="s">
        <v>1661</v>
      </c>
      <c r="G434" s="26" t="s">
        <v>28</v>
      </c>
      <c r="H434" s="26" t="s">
        <v>23</v>
      </c>
      <c r="I434" s="28"/>
      <c r="J434" s="23">
        <v>1.0</v>
      </c>
      <c r="K434" s="57"/>
      <c r="L434" s="110"/>
      <c r="M434" s="34" t="s">
        <v>507</v>
      </c>
      <c r="N434" s="106" t="s">
        <v>1662</v>
      </c>
      <c r="O434" s="113"/>
      <c r="P434" s="32">
        <v>90.0</v>
      </c>
      <c r="Q434" s="32"/>
      <c r="R434" s="32"/>
      <c r="S434" s="32"/>
      <c r="T434" s="32"/>
      <c r="U434" s="32"/>
      <c r="V434" s="32"/>
      <c r="W434" s="32"/>
      <c r="X434" s="32"/>
      <c r="Y434" s="32"/>
      <c r="Z434" s="32"/>
    </row>
    <row r="435">
      <c r="A435" s="165" t="s">
        <v>1663</v>
      </c>
      <c r="B435" s="28"/>
      <c r="C435" s="22">
        <v>7.7E7</v>
      </c>
      <c r="D435" s="23">
        <v>2011.0</v>
      </c>
      <c r="E435" s="101">
        <v>40634.0</v>
      </c>
      <c r="F435" s="26" t="s">
        <v>1664</v>
      </c>
      <c r="G435" s="130" t="s">
        <v>236</v>
      </c>
      <c r="H435" s="130" t="s">
        <v>23</v>
      </c>
      <c r="I435" s="130" t="s">
        <v>29</v>
      </c>
      <c r="J435" s="154">
        <v>1.0</v>
      </c>
      <c r="K435" s="57"/>
      <c r="L435" s="28"/>
      <c r="M435" s="34" t="s">
        <v>1665</v>
      </c>
      <c r="N435" s="106" t="s">
        <v>1666</v>
      </c>
      <c r="O435" s="113"/>
      <c r="P435" s="32">
        <v>89.0</v>
      </c>
      <c r="Q435" s="32"/>
      <c r="R435" s="32"/>
      <c r="S435" s="32"/>
      <c r="T435" s="32"/>
      <c r="U435" s="32"/>
      <c r="V435" s="32"/>
      <c r="W435" s="32"/>
      <c r="X435" s="32"/>
      <c r="Y435" s="32"/>
      <c r="Z435" s="32"/>
    </row>
    <row r="436">
      <c r="A436" s="165" t="s">
        <v>1667</v>
      </c>
      <c r="B436" s="28"/>
      <c r="C436" s="22">
        <v>123461.0</v>
      </c>
      <c r="D436" s="23">
        <v>2011.0</v>
      </c>
      <c r="E436" s="101">
        <v>40756.0</v>
      </c>
      <c r="F436" s="26" t="s">
        <v>1668</v>
      </c>
      <c r="G436" s="130" t="s">
        <v>64</v>
      </c>
      <c r="H436" s="26" t="s">
        <v>23</v>
      </c>
      <c r="I436" s="28"/>
      <c r="J436" s="23">
        <v>3.0</v>
      </c>
      <c r="K436" s="57"/>
      <c r="L436" s="28"/>
      <c r="M436" s="53" t="s">
        <v>1608</v>
      </c>
      <c r="N436" s="106" t="s">
        <v>1669</v>
      </c>
      <c r="O436" s="113"/>
      <c r="P436" s="32">
        <v>88.0</v>
      </c>
      <c r="Q436" s="32"/>
      <c r="R436" s="32"/>
      <c r="S436" s="32"/>
      <c r="T436" s="32"/>
      <c r="U436" s="32"/>
      <c r="V436" s="32"/>
      <c r="W436" s="32"/>
      <c r="X436" s="32"/>
      <c r="Y436" s="32"/>
      <c r="Z436" s="32"/>
    </row>
    <row r="437">
      <c r="A437" s="114" t="s">
        <v>1670</v>
      </c>
      <c r="B437" s="28"/>
      <c r="C437" s="22">
        <v>73000.0</v>
      </c>
      <c r="D437" s="23">
        <v>2011.0</v>
      </c>
      <c r="E437" s="183">
        <v>40756.0</v>
      </c>
      <c r="F437" s="184" t="s">
        <v>1671</v>
      </c>
      <c r="G437" s="26" t="s">
        <v>110</v>
      </c>
      <c r="H437" s="130" t="s">
        <v>23</v>
      </c>
      <c r="I437" s="28"/>
      <c r="J437" s="23">
        <v>2.0</v>
      </c>
      <c r="K437" s="57"/>
      <c r="L437" s="28"/>
      <c r="M437" s="34" t="s">
        <v>571</v>
      </c>
      <c r="N437" s="106" t="s">
        <v>1672</v>
      </c>
      <c r="O437" s="113"/>
      <c r="P437" s="32">
        <v>87.0</v>
      </c>
      <c r="Q437" s="32"/>
      <c r="R437" s="32"/>
      <c r="S437" s="32"/>
      <c r="T437" s="32"/>
      <c r="U437" s="32"/>
      <c r="V437" s="32"/>
      <c r="W437" s="32"/>
      <c r="X437" s="32"/>
      <c r="Y437" s="32"/>
      <c r="Z437" s="32"/>
    </row>
    <row r="438">
      <c r="A438" s="165" t="s">
        <v>1673</v>
      </c>
      <c r="B438" s="26" t="s">
        <v>1674</v>
      </c>
      <c r="C438" s="22">
        <v>935000.0</v>
      </c>
      <c r="D438" s="23">
        <v>2011.0</v>
      </c>
      <c r="E438" s="101">
        <v>40878.0</v>
      </c>
      <c r="F438" s="26" t="s">
        <v>1675</v>
      </c>
      <c r="G438" s="130" t="s">
        <v>1676</v>
      </c>
      <c r="H438" s="26" t="s">
        <v>23</v>
      </c>
      <c r="I438" s="28"/>
      <c r="J438" s="182" t="s">
        <v>1677</v>
      </c>
      <c r="K438" s="57"/>
      <c r="L438" s="28"/>
      <c r="M438" s="105" t="s">
        <v>688</v>
      </c>
      <c r="N438" s="106" t="s">
        <v>1678</v>
      </c>
      <c r="O438" s="113"/>
      <c r="P438" s="32">
        <v>86.0</v>
      </c>
      <c r="Q438" s="32"/>
      <c r="R438" s="32"/>
      <c r="S438" s="32"/>
      <c r="T438" s="32"/>
      <c r="U438" s="32"/>
      <c r="V438" s="32"/>
      <c r="W438" s="32"/>
      <c r="X438" s="32"/>
      <c r="Y438" s="32"/>
      <c r="Z438" s="32"/>
    </row>
    <row r="439">
      <c r="A439" s="20" t="s">
        <v>1679</v>
      </c>
      <c r="B439" s="28"/>
      <c r="C439" s="22">
        <v>1.0E7</v>
      </c>
      <c r="D439" s="23">
        <v>2011.0</v>
      </c>
      <c r="E439" s="101">
        <v>40878.0</v>
      </c>
      <c r="F439" s="26" t="s">
        <v>1680</v>
      </c>
      <c r="G439" s="130" t="s">
        <v>28</v>
      </c>
      <c r="H439" s="130" t="s">
        <v>23</v>
      </c>
      <c r="I439" s="28"/>
      <c r="J439" s="154">
        <v>1.0</v>
      </c>
      <c r="K439" s="57"/>
      <c r="L439" s="28"/>
      <c r="M439" s="105" t="s">
        <v>1681</v>
      </c>
      <c r="N439" s="106" t="s">
        <v>1682</v>
      </c>
      <c r="O439" s="113"/>
      <c r="P439" s="32">
        <v>85.0</v>
      </c>
      <c r="Q439" s="32"/>
      <c r="R439" s="32"/>
      <c r="S439" s="32"/>
      <c r="T439" s="32"/>
      <c r="U439" s="32"/>
      <c r="V439" s="32"/>
      <c r="W439" s="32"/>
      <c r="X439" s="32"/>
      <c r="Y439" s="32"/>
      <c r="Z439" s="32"/>
    </row>
    <row r="440">
      <c r="A440" s="114" t="s">
        <v>1683</v>
      </c>
      <c r="B440" s="28"/>
      <c r="C440" s="22">
        <v>300000.0</v>
      </c>
      <c r="D440" s="23">
        <v>2011.0</v>
      </c>
      <c r="E440" s="101">
        <v>40695.0</v>
      </c>
      <c r="F440" s="26" t="s">
        <v>1684</v>
      </c>
      <c r="G440" s="26" t="s">
        <v>258</v>
      </c>
      <c r="H440" s="130" t="s">
        <v>23</v>
      </c>
      <c r="I440" s="28"/>
      <c r="J440" s="23">
        <v>2.0</v>
      </c>
      <c r="K440" s="57"/>
      <c r="L440" s="28"/>
      <c r="M440" s="105" t="s">
        <v>1026</v>
      </c>
      <c r="N440" s="106" t="s">
        <v>1685</v>
      </c>
      <c r="O440" s="113"/>
      <c r="P440" s="32">
        <v>84.0</v>
      </c>
      <c r="Q440" s="32"/>
      <c r="R440" s="32"/>
      <c r="S440" s="32"/>
      <c r="T440" s="32"/>
      <c r="U440" s="32"/>
      <c r="V440" s="32"/>
      <c r="W440" s="32"/>
      <c r="X440" s="32"/>
      <c r="Y440" s="32"/>
      <c r="Z440" s="32"/>
    </row>
    <row r="441">
      <c r="A441" s="185" t="s">
        <v>1686</v>
      </c>
      <c r="B441" s="130" t="s">
        <v>1687</v>
      </c>
      <c r="C441" s="22">
        <v>62000.0</v>
      </c>
      <c r="D441" s="23">
        <v>2011.0</v>
      </c>
      <c r="E441" s="101">
        <v>40695.0</v>
      </c>
      <c r="F441" s="26" t="s">
        <v>1688</v>
      </c>
      <c r="G441" s="130" t="s">
        <v>28</v>
      </c>
      <c r="H441" s="130" t="s">
        <v>23</v>
      </c>
      <c r="I441" s="28"/>
      <c r="J441" s="154">
        <v>1.0</v>
      </c>
      <c r="K441" s="57"/>
      <c r="L441" s="28"/>
      <c r="M441" s="120" t="s">
        <v>629</v>
      </c>
      <c r="N441" s="135" t="s">
        <v>1689</v>
      </c>
      <c r="O441" s="113"/>
      <c r="P441" s="32">
        <v>83.0</v>
      </c>
      <c r="Q441" s="32"/>
      <c r="R441" s="32"/>
      <c r="S441" s="32"/>
      <c r="T441" s="32"/>
      <c r="U441" s="32"/>
      <c r="V441" s="32"/>
      <c r="W441" s="32"/>
      <c r="X441" s="32"/>
      <c r="Y441" s="32"/>
      <c r="Z441" s="32"/>
    </row>
    <row r="442">
      <c r="A442" s="165" t="s">
        <v>1690</v>
      </c>
      <c r="B442" s="130" t="s">
        <v>1691</v>
      </c>
      <c r="C442" s="22">
        <v>200000.0</v>
      </c>
      <c r="D442" s="23">
        <v>2011.0</v>
      </c>
      <c r="E442" s="101">
        <v>40695.0</v>
      </c>
      <c r="F442" s="26" t="s">
        <v>1692</v>
      </c>
      <c r="G442" s="130" t="s">
        <v>236</v>
      </c>
      <c r="H442" s="130" t="s">
        <v>23</v>
      </c>
      <c r="I442" s="28"/>
      <c r="J442" s="154">
        <v>1.0</v>
      </c>
      <c r="K442" s="57"/>
      <c r="L442" s="28"/>
      <c r="M442" s="53" t="s">
        <v>1608</v>
      </c>
      <c r="N442" s="106" t="s">
        <v>1693</v>
      </c>
      <c r="O442" s="113"/>
      <c r="P442" s="32">
        <v>82.0</v>
      </c>
      <c r="Q442" s="32"/>
      <c r="R442" s="32"/>
      <c r="S442" s="32"/>
      <c r="T442" s="32"/>
      <c r="U442" s="32"/>
      <c r="V442" s="32"/>
      <c r="W442" s="32"/>
      <c r="X442" s="32"/>
      <c r="Y442" s="32"/>
      <c r="Z442" s="32"/>
    </row>
    <row r="443">
      <c r="A443" s="165" t="s">
        <v>1694</v>
      </c>
      <c r="B443" s="28"/>
      <c r="C443" s="22">
        <v>1290755.0</v>
      </c>
      <c r="D443" s="23">
        <v>2011.0</v>
      </c>
      <c r="E443" s="101">
        <v>40695.0</v>
      </c>
      <c r="F443" s="26" t="s">
        <v>1695</v>
      </c>
      <c r="G443" s="130" t="s">
        <v>236</v>
      </c>
      <c r="H443" s="130" t="s">
        <v>23</v>
      </c>
      <c r="I443" s="28"/>
      <c r="J443" s="23">
        <v>2.0</v>
      </c>
      <c r="K443" s="57"/>
      <c r="L443" s="28"/>
      <c r="M443" s="34" t="s">
        <v>571</v>
      </c>
      <c r="N443" s="106" t="s">
        <v>1696</v>
      </c>
      <c r="O443" s="113"/>
      <c r="P443" s="32">
        <v>81.0</v>
      </c>
      <c r="Q443" s="32"/>
      <c r="R443" s="32"/>
      <c r="S443" s="32"/>
      <c r="T443" s="32"/>
      <c r="U443" s="32"/>
      <c r="V443" s="32"/>
      <c r="W443" s="32"/>
      <c r="X443" s="32"/>
      <c r="Y443" s="32"/>
      <c r="Z443" s="32"/>
    </row>
    <row r="444">
      <c r="A444" s="165" t="s">
        <v>1400</v>
      </c>
      <c r="B444" s="28"/>
      <c r="C444" s="22">
        <v>210000.0</v>
      </c>
      <c r="D444" s="23">
        <v>2011.0</v>
      </c>
      <c r="E444" s="101">
        <v>40695.0</v>
      </c>
      <c r="F444" s="26" t="s">
        <v>1697</v>
      </c>
      <c r="G444" s="26" t="s">
        <v>58</v>
      </c>
      <c r="H444" s="130" t="s">
        <v>23</v>
      </c>
      <c r="I444" s="28"/>
      <c r="J444" s="23">
        <v>3.0</v>
      </c>
      <c r="K444" s="57"/>
      <c r="L444" s="28"/>
      <c r="M444" s="34" t="s">
        <v>1608</v>
      </c>
      <c r="N444" s="106" t="s">
        <v>1698</v>
      </c>
      <c r="O444" s="113"/>
      <c r="P444" s="32">
        <v>80.0</v>
      </c>
      <c r="Q444" s="32"/>
      <c r="R444" s="32"/>
      <c r="S444" s="32"/>
      <c r="T444" s="32"/>
      <c r="U444" s="32"/>
      <c r="V444" s="32"/>
      <c r="W444" s="32"/>
      <c r="X444" s="32"/>
      <c r="Y444" s="32"/>
      <c r="Z444" s="32"/>
    </row>
    <row r="445">
      <c r="A445" s="165" t="s">
        <v>1334</v>
      </c>
      <c r="B445" s="28"/>
      <c r="C445" s="22">
        <v>1000000.0</v>
      </c>
      <c r="D445" s="23">
        <v>2011.0</v>
      </c>
      <c r="E445" s="101">
        <v>40695.0</v>
      </c>
      <c r="F445" s="26" t="s">
        <v>1699</v>
      </c>
      <c r="G445" s="130" t="s">
        <v>28</v>
      </c>
      <c r="H445" s="130" t="s">
        <v>23</v>
      </c>
      <c r="I445" s="130" t="s">
        <v>29</v>
      </c>
      <c r="J445" s="154">
        <v>1.0</v>
      </c>
      <c r="K445" s="57"/>
      <c r="L445" s="28"/>
      <c r="M445" s="34" t="s">
        <v>1665</v>
      </c>
      <c r="N445" s="106" t="s">
        <v>1700</v>
      </c>
      <c r="O445" s="113"/>
      <c r="P445" s="32">
        <v>79.0</v>
      </c>
      <c r="Q445" s="32"/>
      <c r="R445" s="32"/>
      <c r="S445" s="32"/>
      <c r="T445" s="32"/>
      <c r="U445" s="32"/>
      <c r="V445" s="32"/>
      <c r="W445" s="32"/>
      <c r="X445" s="32"/>
      <c r="Y445" s="32"/>
      <c r="Z445" s="32"/>
    </row>
    <row r="446">
      <c r="A446" s="114" t="s">
        <v>1701</v>
      </c>
      <c r="B446" s="28"/>
      <c r="C446" s="22">
        <v>175350.0</v>
      </c>
      <c r="D446" s="23">
        <v>2011.0</v>
      </c>
      <c r="E446" s="101">
        <v>40695.0</v>
      </c>
      <c r="F446" s="26" t="s">
        <v>1702</v>
      </c>
      <c r="G446" s="26" t="s">
        <v>258</v>
      </c>
      <c r="H446" s="130" t="s">
        <v>51</v>
      </c>
      <c r="I446" s="28"/>
      <c r="J446" s="23">
        <v>2.0</v>
      </c>
      <c r="K446" s="57"/>
      <c r="L446" s="28"/>
      <c r="M446" s="105" t="s">
        <v>1026</v>
      </c>
      <c r="N446" s="106" t="s">
        <v>1703</v>
      </c>
      <c r="O446" s="136"/>
      <c r="P446" s="32">
        <v>78.0</v>
      </c>
      <c r="Q446" s="32"/>
      <c r="R446" s="32"/>
      <c r="S446" s="32"/>
      <c r="T446" s="32"/>
      <c r="U446" s="32"/>
      <c r="V446" s="32"/>
      <c r="W446" s="32"/>
      <c r="X446" s="32"/>
      <c r="Y446" s="32"/>
      <c r="Z446" s="32"/>
    </row>
    <row r="447">
      <c r="A447" s="165" t="s">
        <v>710</v>
      </c>
      <c r="B447" s="28"/>
      <c r="C447" s="22">
        <v>1270000.0</v>
      </c>
      <c r="D447" s="23">
        <v>2011.0</v>
      </c>
      <c r="E447" s="101">
        <v>40725.0</v>
      </c>
      <c r="F447" s="26" t="s">
        <v>1704</v>
      </c>
      <c r="G447" s="26" t="s">
        <v>38</v>
      </c>
      <c r="H447" s="130" t="s">
        <v>23</v>
      </c>
      <c r="I447" s="28"/>
      <c r="J447" s="23">
        <v>2.0</v>
      </c>
      <c r="K447" s="57"/>
      <c r="L447" s="28"/>
      <c r="M447" s="34" t="s">
        <v>629</v>
      </c>
      <c r="N447" s="106" t="s">
        <v>1705</v>
      </c>
      <c r="O447" s="113"/>
      <c r="P447" s="32">
        <v>77.0</v>
      </c>
      <c r="Q447" s="32"/>
      <c r="R447" s="32"/>
      <c r="S447" s="32"/>
      <c r="T447" s="32"/>
      <c r="U447" s="32"/>
      <c r="V447" s="32"/>
      <c r="W447" s="32"/>
      <c r="X447" s="32"/>
      <c r="Y447" s="32"/>
      <c r="Z447" s="32"/>
    </row>
    <row r="448">
      <c r="A448" s="165" t="s">
        <v>1706</v>
      </c>
      <c r="B448" s="115" t="s">
        <v>1707</v>
      </c>
      <c r="C448" s="22">
        <v>1900000.0</v>
      </c>
      <c r="D448" s="23">
        <v>2011.0</v>
      </c>
      <c r="E448" s="101">
        <v>40603.0</v>
      </c>
      <c r="F448" s="26" t="s">
        <v>1708</v>
      </c>
      <c r="G448" s="26" t="s">
        <v>258</v>
      </c>
      <c r="H448" s="26" t="s">
        <v>1034</v>
      </c>
      <c r="I448" s="28"/>
      <c r="J448" s="182" t="s">
        <v>1677</v>
      </c>
      <c r="K448" s="57"/>
      <c r="L448" s="28"/>
      <c r="M448" s="34" t="s">
        <v>1709</v>
      </c>
      <c r="N448" s="106" t="s">
        <v>1710</v>
      </c>
      <c r="O448" s="109"/>
      <c r="P448" s="32">
        <v>76.0</v>
      </c>
      <c r="Q448" s="32"/>
      <c r="R448" s="32"/>
      <c r="S448" s="32"/>
      <c r="T448" s="32"/>
      <c r="U448" s="32"/>
      <c r="V448" s="32"/>
      <c r="W448" s="32"/>
      <c r="X448" s="32"/>
      <c r="Y448" s="32"/>
      <c r="Z448" s="32"/>
    </row>
    <row r="449">
      <c r="A449" s="114" t="s">
        <v>1711</v>
      </c>
      <c r="B449" s="130" t="s">
        <v>1712</v>
      </c>
      <c r="C449" s="22">
        <v>514330.0</v>
      </c>
      <c r="D449" s="23">
        <v>2011.0</v>
      </c>
      <c r="E449" s="101">
        <v>40634.0</v>
      </c>
      <c r="F449" s="111" t="s">
        <v>1713</v>
      </c>
      <c r="G449" s="26" t="s">
        <v>258</v>
      </c>
      <c r="H449" s="26" t="s">
        <v>1034</v>
      </c>
      <c r="I449" s="28"/>
      <c r="J449" s="23">
        <v>4.0</v>
      </c>
      <c r="K449" s="57"/>
      <c r="L449" s="53"/>
      <c r="M449" s="34" t="s">
        <v>1714</v>
      </c>
      <c r="N449" s="135" t="s">
        <v>1715</v>
      </c>
      <c r="O449" s="136"/>
      <c r="P449" s="32">
        <v>75.0</v>
      </c>
      <c r="Q449" s="32"/>
      <c r="R449" s="32"/>
      <c r="S449" s="32"/>
      <c r="T449" s="32"/>
      <c r="U449" s="32"/>
      <c r="V449" s="32"/>
      <c r="W449" s="32"/>
      <c r="X449" s="32"/>
      <c r="Y449" s="32"/>
      <c r="Z449" s="32"/>
    </row>
    <row r="450">
      <c r="A450" s="114" t="s">
        <v>1716</v>
      </c>
      <c r="B450" s="28"/>
      <c r="C450" s="22">
        <v>400000.0</v>
      </c>
      <c r="D450" s="23">
        <v>2011.0</v>
      </c>
      <c r="E450" s="101">
        <v>40664.0</v>
      </c>
      <c r="F450" s="26" t="s">
        <v>1717</v>
      </c>
      <c r="G450" s="26" t="s">
        <v>258</v>
      </c>
      <c r="H450" s="26" t="s">
        <v>1034</v>
      </c>
      <c r="I450" s="28"/>
      <c r="J450" s="23">
        <v>4.0</v>
      </c>
      <c r="K450" s="57"/>
      <c r="L450" s="53"/>
      <c r="M450" s="34" t="s">
        <v>1718</v>
      </c>
      <c r="N450" s="135" t="s">
        <v>1719</v>
      </c>
      <c r="O450" s="136"/>
      <c r="P450" s="32">
        <v>74.0</v>
      </c>
      <c r="Q450" s="32"/>
      <c r="R450" s="32"/>
      <c r="S450" s="32"/>
      <c r="T450" s="32"/>
      <c r="U450" s="32"/>
      <c r="V450" s="32"/>
      <c r="W450" s="32"/>
      <c r="X450" s="32"/>
      <c r="Y450" s="32"/>
      <c r="Z450" s="32"/>
    </row>
    <row r="451">
      <c r="A451" s="165" t="s">
        <v>1720</v>
      </c>
      <c r="B451" s="130" t="s">
        <v>1721</v>
      </c>
      <c r="C451" s="22">
        <v>8600000.0</v>
      </c>
      <c r="D451" s="23">
        <v>2011.0</v>
      </c>
      <c r="E451" s="101">
        <v>40695.0</v>
      </c>
      <c r="F451" s="26" t="s">
        <v>1722</v>
      </c>
      <c r="G451" s="26" t="s">
        <v>258</v>
      </c>
      <c r="H451" s="26" t="s">
        <v>1034</v>
      </c>
      <c r="I451" s="130" t="s">
        <v>29</v>
      </c>
      <c r="J451" s="23">
        <v>4.0</v>
      </c>
      <c r="K451" s="57"/>
      <c r="L451" s="28"/>
      <c r="M451" s="105" t="s">
        <v>1723</v>
      </c>
      <c r="N451" s="106" t="s">
        <v>1724</v>
      </c>
      <c r="O451" s="113"/>
      <c r="P451" s="32">
        <v>73.0</v>
      </c>
      <c r="Q451" s="32"/>
      <c r="R451" s="32"/>
      <c r="S451" s="32"/>
      <c r="T451" s="32"/>
      <c r="U451" s="32"/>
      <c r="V451" s="32"/>
      <c r="W451" s="32"/>
      <c r="X451" s="32"/>
      <c r="Y451" s="32"/>
      <c r="Z451" s="32"/>
    </row>
    <row r="452">
      <c r="A452" s="114" t="s">
        <v>1725</v>
      </c>
      <c r="B452" s="28"/>
      <c r="C452" s="22">
        <v>180000.0</v>
      </c>
      <c r="D452" s="23">
        <v>2011.0</v>
      </c>
      <c r="E452" s="101">
        <v>40695.0</v>
      </c>
      <c r="F452" s="26" t="s">
        <v>1726</v>
      </c>
      <c r="G452" s="130" t="s">
        <v>64</v>
      </c>
      <c r="H452" s="130" t="s">
        <v>23</v>
      </c>
      <c r="I452" s="28"/>
      <c r="J452" s="154">
        <v>1.0</v>
      </c>
      <c r="K452" s="57"/>
      <c r="L452" s="28"/>
      <c r="M452" s="53" t="s">
        <v>1613</v>
      </c>
      <c r="N452" s="106" t="s">
        <v>1727</v>
      </c>
      <c r="O452" s="113"/>
      <c r="P452" s="32">
        <v>72.0</v>
      </c>
      <c r="Q452" s="32"/>
      <c r="R452" s="32"/>
      <c r="S452" s="32"/>
      <c r="T452" s="32"/>
      <c r="U452" s="32"/>
      <c r="V452" s="32"/>
      <c r="W452" s="32"/>
      <c r="X452" s="32"/>
      <c r="Y452" s="32"/>
      <c r="Z452" s="32"/>
    </row>
    <row r="453">
      <c r="A453" s="165" t="s">
        <v>1728</v>
      </c>
      <c r="B453" s="28"/>
      <c r="C453" s="22">
        <v>2.46E7</v>
      </c>
      <c r="D453" s="23">
        <v>2011.0</v>
      </c>
      <c r="E453" s="101">
        <v>40664.0</v>
      </c>
      <c r="F453" s="26" t="s">
        <v>1729</v>
      </c>
      <c r="G453" s="130" t="s">
        <v>236</v>
      </c>
      <c r="H453" s="130" t="s">
        <v>23</v>
      </c>
      <c r="I453" s="28"/>
      <c r="J453" s="23">
        <v>3.0</v>
      </c>
      <c r="K453" s="57"/>
      <c r="L453" s="28"/>
      <c r="M453" s="34" t="s">
        <v>1224</v>
      </c>
      <c r="N453" s="106" t="s">
        <v>1730</v>
      </c>
      <c r="O453" s="113"/>
      <c r="P453" s="32">
        <v>71.0</v>
      </c>
      <c r="Q453" s="32"/>
      <c r="R453" s="32"/>
      <c r="S453" s="32"/>
      <c r="T453" s="32"/>
      <c r="U453" s="32"/>
      <c r="V453" s="32"/>
      <c r="W453" s="32"/>
      <c r="X453" s="32"/>
      <c r="Y453" s="32"/>
      <c r="Z453" s="32"/>
    </row>
    <row r="454">
      <c r="A454" s="165" t="s">
        <v>1731</v>
      </c>
      <c r="B454" s="53"/>
      <c r="C454" s="22">
        <v>283000.0</v>
      </c>
      <c r="D454" s="23">
        <v>2011.0</v>
      </c>
      <c r="E454" s="101">
        <v>40664.0</v>
      </c>
      <c r="F454" s="26" t="s">
        <v>1732</v>
      </c>
      <c r="G454" s="130" t="s">
        <v>43</v>
      </c>
      <c r="H454" s="26" t="s">
        <v>23</v>
      </c>
      <c r="I454" s="130" t="s">
        <v>29</v>
      </c>
      <c r="J454" s="23">
        <v>2.0</v>
      </c>
      <c r="K454" s="57"/>
      <c r="L454" s="28"/>
      <c r="M454" s="34" t="s">
        <v>1733</v>
      </c>
      <c r="N454" s="106" t="s">
        <v>1734</v>
      </c>
      <c r="O454" s="113"/>
      <c r="P454" s="32">
        <v>70.0</v>
      </c>
      <c r="Q454" s="32"/>
      <c r="R454" s="32"/>
      <c r="S454" s="32"/>
      <c r="T454" s="32"/>
      <c r="U454" s="32"/>
      <c r="V454" s="32"/>
      <c r="W454" s="32"/>
      <c r="X454" s="32"/>
      <c r="Y454" s="32"/>
      <c r="Z454" s="32"/>
    </row>
    <row r="455">
      <c r="A455" s="165" t="s">
        <v>1735</v>
      </c>
      <c r="B455" s="130" t="s">
        <v>1736</v>
      </c>
      <c r="C455" s="22">
        <v>210000.0</v>
      </c>
      <c r="D455" s="23">
        <v>2011.0</v>
      </c>
      <c r="E455" s="101">
        <v>40664.0</v>
      </c>
      <c r="F455" s="26" t="s">
        <v>1737</v>
      </c>
      <c r="G455" s="130" t="s">
        <v>64</v>
      </c>
      <c r="H455" s="26" t="s">
        <v>23</v>
      </c>
      <c r="I455" s="130" t="s">
        <v>29</v>
      </c>
      <c r="J455" s="23">
        <v>5.0</v>
      </c>
      <c r="K455" s="57"/>
      <c r="L455" s="28"/>
      <c r="M455" s="105" t="s">
        <v>918</v>
      </c>
      <c r="N455" s="106" t="s">
        <v>1738</v>
      </c>
      <c r="O455" s="113"/>
      <c r="P455" s="32">
        <v>69.0</v>
      </c>
      <c r="Q455" s="32"/>
      <c r="R455" s="32"/>
      <c r="S455" s="32"/>
      <c r="T455" s="32"/>
      <c r="U455" s="32"/>
      <c r="V455" s="32"/>
      <c r="W455" s="32"/>
      <c r="X455" s="32"/>
      <c r="Y455" s="32"/>
      <c r="Z455" s="32"/>
    </row>
    <row r="456">
      <c r="A456" s="165" t="s">
        <v>1739</v>
      </c>
      <c r="B456" s="28"/>
      <c r="C456" s="22">
        <v>1000000.0</v>
      </c>
      <c r="D456" s="23">
        <v>2011.0</v>
      </c>
      <c r="E456" s="101">
        <v>40664.0</v>
      </c>
      <c r="F456" s="26" t="s">
        <v>1740</v>
      </c>
      <c r="G456" s="130" t="s">
        <v>64</v>
      </c>
      <c r="H456" s="26" t="s">
        <v>23</v>
      </c>
      <c r="I456" s="28"/>
      <c r="J456" s="23">
        <v>2.0</v>
      </c>
      <c r="K456" s="57"/>
      <c r="L456" s="28"/>
      <c r="M456" s="34" t="s">
        <v>1026</v>
      </c>
      <c r="N456" s="106" t="s">
        <v>1741</v>
      </c>
      <c r="O456" s="113"/>
      <c r="P456" s="32">
        <v>68.0</v>
      </c>
      <c r="Q456" s="32"/>
      <c r="R456" s="32"/>
      <c r="S456" s="32"/>
      <c r="T456" s="32"/>
      <c r="U456" s="32"/>
      <c r="V456" s="32"/>
      <c r="W456" s="32"/>
      <c r="X456" s="32"/>
      <c r="Y456" s="32"/>
      <c r="Z456" s="32"/>
    </row>
    <row r="457">
      <c r="A457" s="165" t="s">
        <v>1742</v>
      </c>
      <c r="B457" s="105" t="s">
        <v>1743</v>
      </c>
      <c r="C457" s="22">
        <v>3.5E7</v>
      </c>
      <c r="D457" s="23">
        <v>2011.0</v>
      </c>
      <c r="E457" s="101">
        <v>40848.0</v>
      </c>
      <c r="F457" s="26" t="s">
        <v>1744</v>
      </c>
      <c r="G457" s="130" t="s">
        <v>28</v>
      </c>
      <c r="H457" s="130" t="s">
        <v>23</v>
      </c>
      <c r="I457" s="28"/>
      <c r="J457" s="23">
        <v>3.0</v>
      </c>
      <c r="K457" s="57"/>
      <c r="L457" s="28"/>
      <c r="M457" s="53" t="s">
        <v>1745</v>
      </c>
      <c r="N457" s="106" t="s">
        <v>1746</v>
      </c>
      <c r="O457" s="113"/>
      <c r="P457" s="32">
        <v>67.0</v>
      </c>
      <c r="Q457" s="32"/>
      <c r="R457" s="32"/>
      <c r="S457" s="32"/>
      <c r="T457" s="32"/>
      <c r="U457" s="32"/>
      <c r="V457" s="32"/>
      <c r="W457" s="32"/>
      <c r="X457" s="32"/>
      <c r="Y457" s="32"/>
      <c r="Z457" s="32"/>
    </row>
    <row r="458">
      <c r="A458" s="165" t="s">
        <v>1747</v>
      </c>
      <c r="B458" s="130" t="s">
        <v>1748</v>
      </c>
      <c r="C458" s="22">
        <v>200000.0</v>
      </c>
      <c r="D458" s="23">
        <v>2011.0</v>
      </c>
      <c r="E458" s="101">
        <v>40848.0</v>
      </c>
      <c r="F458" s="26" t="s">
        <v>1749</v>
      </c>
      <c r="G458" s="130" t="s">
        <v>43</v>
      </c>
      <c r="H458" s="130" t="s">
        <v>23</v>
      </c>
      <c r="I458" s="28"/>
      <c r="J458" s="23">
        <v>3.0</v>
      </c>
      <c r="K458" s="57"/>
      <c r="L458" s="28"/>
      <c r="M458" s="105" t="s">
        <v>918</v>
      </c>
      <c r="N458" s="106" t="s">
        <v>1750</v>
      </c>
      <c r="O458" s="113"/>
      <c r="P458" s="32">
        <v>66.0</v>
      </c>
      <c r="Q458" s="32"/>
      <c r="R458" s="32"/>
      <c r="S458" s="32"/>
      <c r="T458" s="32"/>
      <c r="U458" s="32"/>
      <c r="V458" s="32"/>
      <c r="W458" s="32"/>
      <c r="X458" s="32"/>
      <c r="Y458" s="32"/>
      <c r="Z458" s="32"/>
    </row>
    <row r="459">
      <c r="A459" s="165" t="s">
        <v>1751</v>
      </c>
      <c r="B459" s="105" t="s">
        <v>1752</v>
      </c>
      <c r="C459" s="22">
        <v>1.32E7</v>
      </c>
      <c r="D459" s="23">
        <v>2011.0</v>
      </c>
      <c r="E459" s="101">
        <v>40848.0</v>
      </c>
      <c r="F459" s="26" t="s">
        <v>1753</v>
      </c>
      <c r="G459" s="130" t="s">
        <v>28</v>
      </c>
      <c r="H459" s="130" t="s">
        <v>23</v>
      </c>
      <c r="I459" s="28"/>
      <c r="J459" s="23">
        <v>2.0</v>
      </c>
      <c r="K459" s="57"/>
      <c r="L459" s="28"/>
      <c r="M459" s="34" t="s">
        <v>286</v>
      </c>
      <c r="N459" s="106" t="s">
        <v>1754</v>
      </c>
      <c r="O459" s="113"/>
      <c r="P459" s="32">
        <v>65.0</v>
      </c>
      <c r="Q459" s="32"/>
      <c r="R459" s="32"/>
      <c r="S459" s="32"/>
      <c r="T459" s="32"/>
      <c r="U459" s="32"/>
      <c r="V459" s="32"/>
      <c r="W459" s="32"/>
      <c r="X459" s="32"/>
      <c r="Y459" s="32"/>
      <c r="Z459" s="32"/>
    </row>
    <row r="460">
      <c r="A460" s="114" t="s">
        <v>1755</v>
      </c>
      <c r="B460" s="130" t="s">
        <v>1756</v>
      </c>
      <c r="C460" s="22">
        <v>1600000.0</v>
      </c>
      <c r="D460" s="23">
        <v>2011.0</v>
      </c>
      <c r="E460" s="101">
        <v>40817.0</v>
      </c>
      <c r="F460" s="26" t="s">
        <v>1757</v>
      </c>
      <c r="G460" s="26" t="s">
        <v>258</v>
      </c>
      <c r="H460" s="26" t="s">
        <v>1034</v>
      </c>
      <c r="I460" s="28"/>
      <c r="J460" s="23">
        <v>4.0</v>
      </c>
      <c r="K460" s="57"/>
      <c r="L460" s="53"/>
      <c r="M460" s="34" t="s">
        <v>1758</v>
      </c>
      <c r="N460" s="135" t="s">
        <v>1759</v>
      </c>
      <c r="O460" s="136"/>
      <c r="P460" s="32">
        <v>64.0</v>
      </c>
      <c r="Q460" s="32"/>
      <c r="R460" s="32"/>
      <c r="S460" s="32"/>
      <c r="T460" s="32"/>
      <c r="U460" s="32"/>
      <c r="V460" s="32"/>
      <c r="W460" s="32"/>
      <c r="X460" s="32"/>
      <c r="Y460" s="32"/>
      <c r="Z460" s="32"/>
    </row>
    <row r="461">
      <c r="A461" s="114" t="s">
        <v>1760</v>
      </c>
      <c r="B461" s="28"/>
      <c r="C461" s="22">
        <v>4243434.0</v>
      </c>
      <c r="D461" s="23">
        <v>2011.0</v>
      </c>
      <c r="E461" s="101">
        <v>40848.0</v>
      </c>
      <c r="F461" s="26" t="s">
        <v>1761</v>
      </c>
      <c r="G461" s="26" t="s">
        <v>258</v>
      </c>
      <c r="H461" s="26" t="s">
        <v>1034</v>
      </c>
      <c r="I461" s="28"/>
      <c r="J461" s="23">
        <v>2.0</v>
      </c>
      <c r="K461" s="57"/>
      <c r="L461" s="53"/>
      <c r="M461" s="105" t="s">
        <v>1106</v>
      </c>
      <c r="N461" s="135" t="s">
        <v>1762</v>
      </c>
      <c r="O461" s="136"/>
      <c r="P461" s="32">
        <v>63.0</v>
      </c>
      <c r="Q461" s="32"/>
      <c r="R461" s="32"/>
      <c r="S461" s="32"/>
      <c r="T461" s="32"/>
      <c r="U461" s="32"/>
      <c r="V461" s="32"/>
      <c r="W461" s="32"/>
      <c r="X461" s="32"/>
      <c r="Y461" s="32"/>
      <c r="Z461" s="32"/>
    </row>
    <row r="462">
      <c r="A462" s="165" t="s">
        <v>1763</v>
      </c>
      <c r="B462" s="130" t="s">
        <v>1764</v>
      </c>
      <c r="C462" s="22">
        <v>4901432.0</v>
      </c>
      <c r="D462" s="23">
        <v>2011.0</v>
      </c>
      <c r="E462" s="101">
        <v>40787.0</v>
      </c>
      <c r="F462" s="26" t="s">
        <v>1765</v>
      </c>
      <c r="G462" s="26" t="s">
        <v>1766</v>
      </c>
      <c r="H462" s="26" t="s">
        <v>1034</v>
      </c>
      <c r="I462" s="28"/>
      <c r="J462" s="23">
        <v>4.0</v>
      </c>
      <c r="K462" s="57"/>
      <c r="L462" s="28"/>
      <c r="M462" s="34" t="s">
        <v>286</v>
      </c>
      <c r="N462" s="106" t="s">
        <v>1767</v>
      </c>
      <c r="O462" s="113"/>
      <c r="P462" s="32">
        <v>62.0</v>
      </c>
      <c r="Q462" s="32"/>
      <c r="R462" s="32"/>
      <c r="S462" s="32"/>
      <c r="T462" s="32"/>
      <c r="U462" s="32"/>
      <c r="V462" s="32"/>
      <c r="W462" s="32"/>
      <c r="X462" s="32"/>
      <c r="Y462" s="32"/>
      <c r="Z462" s="32"/>
    </row>
    <row r="463">
      <c r="A463" s="114" t="s">
        <v>1768</v>
      </c>
      <c r="B463" s="28"/>
      <c r="C463" s="22">
        <v>1220000.0</v>
      </c>
      <c r="D463" s="23">
        <v>2010.0</v>
      </c>
      <c r="E463" s="101">
        <v>40210.0</v>
      </c>
      <c r="F463" s="26" t="s">
        <v>1769</v>
      </c>
      <c r="G463" s="26" t="s">
        <v>258</v>
      </c>
      <c r="H463" s="26" t="s">
        <v>1034</v>
      </c>
      <c r="I463" s="28"/>
      <c r="J463" s="182" t="s">
        <v>1770</v>
      </c>
      <c r="K463" s="57"/>
      <c r="L463" s="53"/>
      <c r="M463" s="34" t="s">
        <v>1771</v>
      </c>
      <c r="N463" s="135" t="s">
        <v>1772</v>
      </c>
      <c r="O463" s="117"/>
      <c r="P463" s="32">
        <v>61.0</v>
      </c>
      <c r="Q463" s="32"/>
      <c r="R463" s="32"/>
      <c r="S463" s="32"/>
      <c r="T463" s="32"/>
      <c r="U463" s="32"/>
      <c r="V463" s="32"/>
      <c r="W463" s="32"/>
      <c r="X463" s="32"/>
      <c r="Y463" s="32"/>
      <c r="Z463" s="32"/>
    </row>
    <row r="464">
      <c r="A464" s="165" t="s">
        <v>1773</v>
      </c>
      <c r="B464" s="130" t="s">
        <v>1774</v>
      </c>
      <c r="C464" s="22">
        <v>1023209.0</v>
      </c>
      <c r="D464" s="23">
        <v>2010.0</v>
      </c>
      <c r="E464" s="101">
        <v>40299.0</v>
      </c>
      <c r="F464" s="26" t="s">
        <v>1775</v>
      </c>
      <c r="G464" s="26" t="s">
        <v>258</v>
      </c>
      <c r="H464" s="26" t="s">
        <v>1034</v>
      </c>
      <c r="I464" s="130" t="s">
        <v>29</v>
      </c>
      <c r="J464" s="23">
        <v>2.0</v>
      </c>
      <c r="K464" s="57"/>
      <c r="L464" s="28"/>
      <c r="M464" s="34" t="s">
        <v>1026</v>
      </c>
      <c r="N464" s="106" t="s">
        <v>1776</v>
      </c>
      <c r="O464" s="109"/>
      <c r="P464" s="32">
        <v>60.0</v>
      </c>
      <c r="Q464" s="32"/>
      <c r="R464" s="32"/>
      <c r="S464" s="32"/>
      <c r="T464" s="32"/>
      <c r="U464" s="32"/>
      <c r="V464" s="32"/>
      <c r="W464" s="32"/>
      <c r="X464" s="32"/>
      <c r="Y464" s="32"/>
      <c r="Z464" s="32"/>
    </row>
    <row r="465">
      <c r="A465" s="165" t="s">
        <v>1777</v>
      </c>
      <c r="B465" s="115" t="s">
        <v>1778</v>
      </c>
      <c r="C465" s="22">
        <v>260000.0</v>
      </c>
      <c r="D465" s="23">
        <v>2010.0</v>
      </c>
      <c r="E465" s="101">
        <v>40483.0</v>
      </c>
      <c r="F465" s="34" t="s">
        <v>1779</v>
      </c>
      <c r="G465" s="130" t="s">
        <v>1676</v>
      </c>
      <c r="H465" s="130" t="s">
        <v>59</v>
      </c>
      <c r="I465" s="130" t="s">
        <v>29</v>
      </c>
      <c r="J465" s="23">
        <v>5.0</v>
      </c>
      <c r="K465" s="57"/>
      <c r="L465" s="28"/>
      <c r="M465" s="53" t="s">
        <v>507</v>
      </c>
      <c r="N465" s="106" t="s">
        <v>1780</v>
      </c>
      <c r="O465" s="113"/>
      <c r="P465" s="32">
        <v>59.0</v>
      </c>
      <c r="Q465" s="32"/>
      <c r="R465" s="32"/>
      <c r="S465" s="32"/>
      <c r="T465" s="32"/>
      <c r="U465" s="32"/>
      <c r="V465" s="32"/>
      <c r="W465" s="32"/>
      <c r="X465" s="32"/>
      <c r="Y465" s="32"/>
      <c r="Z465" s="32"/>
    </row>
    <row r="466">
      <c r="A466" s="181" t="s">
        <v>1781</v>
      </c>
      <c r="B466" s="130" t="s">
        <v>1782</v>
      </c>
      <c r="C466" s="22">
        <v>1500000.0</v>
      </c>
      <c r="D466" s="23">
        <v>2010.0</v>
      </c>
      <c r="E466" s="101">
        <v>40513.0</v>
      </c>
      <c r="F466" s="26" t="s">
        <v>1783</v>
      </c>
      <c r="G466" s="130" t="s">
        <v>28</v>
      </c>
      <c r="H466" s="130" t="s">
        <v>23</v>
      </c>
      <c r="I466" s="28"/>
      <c r="J466" s="23">
        <v>2.0</v>
      </c>
      <c r="K466" s="57"/>
      <c r="L466" s="28"/>
      <c r="M466" s="53" t="s">
        <v>507</v>
      </c>
      <c r="N466" s="106" t="s">
        <v>1784</v>
      </c>
      <c r="O466" s="166" t="s">
        <v>1785</v>
      </c>
      <c r="P466" s="32">
        <v>58.0</v>
      </c>
      <c r="Q466" s="32"/>
      <c r="R466" s="32"/>
      <c r="S466" s="32"/>
      <c r="T466" s="32"/>
      <c r="U466" s="32"/>
      <c r="V466" s="32"/>
      <c r="W466" s="32"/>
      <c r="X466" s="32"/>
      <c r="Y466" s="32"/>
      <c r="Z466" s="32"/>
    </row>
    <row r="467">
      <c r="A467" s="114" t="s">
        <v>1786</v>
      </c>
      <c r="B467" s="130" t="s">
        <v>1787</v>
      </c>
      <c r="C467" s="22">
        <v>398000.0</v>
      </c>
      <c r="D467" s="23">
        <v>2010.0</v>
      </c>
      <c r="E467" s="101">
        <v>40483.0</v>
      </c>
      <c r="F467" s="26" t="s">
        <v>1788</v>
      </c>
      <c r="G467" s="26" t="s">
        <v>258</v>
      </c>
      <c r="H467" s="26" t="s">
        <v>1034</v>
      </c>
      <c r="I467" s="28"/>
      <c r="J467" s="23">
        <v>4.0</v>
      </c>
      <c r="K467" s="57"/>
      <c r="L467" s="53"/>
      <c r="M467" s="53" t="s">
        <v>1026</v>
      </c>
      <c r="N467" s="135" t="s">
        <v>1789</v>
      </c>
      <c r="O467" s="19"/>
      <c r="P467" s="32">
        <v>57.0</v>
      </c>
      <c r="Q467" s="32"/>
      <c r="R467" s="32"/>
      <c r="S467" s="32"/>
      <c r="T467" s="32"/>
      <c r="U467" s="32"/>
      <c r="V467" s="32"/>
      <c r="W467" s="32"/>
      <c r="X467" s="32"/>
      <c r="Y467" s="32"/>
      <c r="Z467" s="32"/>
    </row>
    <row r="468">
      <c r="A468" s="165" t="s">
        <v>1790</v>
      </c>
      <c r="B468" s="28"/>
      <c r="C468" s="22">
        <v>760000.0</v>
      </c>
      <c r="D468" s="23">
        <v>2010.0</v>
      </c>
      <c r="E468" s="101">
        <v>40513.0</v>
      </c>
      <c r="F468" s="26" t="s">
        <v>1791</v>
      </c>
      <c r="G468" s="26" t="s">
        <v>110</v>
      </c>
      <c r="H468" s="130" t="s">
        <v>23</v>
      </c>
      <c r="I468" s="28"/>
      <c r="J468" s="23">
        <v>2.0</v>
      </c>
      <c r="K468" s="57"/>
      <c r="L468" s="28"/>
      <c r="M468" s="105" t="s">
        <v>1792</v>
      </c>
      <c r="N468" s="106" t="s">
        <v>1793</v>
      </c>
      <c r="O468" s="113"/>
      <c r="P468" s="32">
        <v>56.0</v>
      </c>
      <c r="Q468" s="32"/>
      <c r="R468" s="32"/>
      <c r="S468" s="32"/>
      <c r="T468" s="32"/>
      <c r="U468" s="32"/>
      <c r="V468" s="32"/>
      <c r="W468" s="32"/>
      <c r="X468" s="32"/>
      <c r="Y468" s="32"/>
      <c r="Z468" s="32"/>
    </row>
    <row r="469">
      <c r="A469" s="114" t="s">
        <v>1794</v>
      </c>
      <c r="B469" s="130" t="s">
        <v>1795</v>
      </c>
      <c r="C469" s="22">
        <v>180111.0</v>
      </c>
      <c r="D469" s="23">
        <v>2010.0</v>
      </c>
      <c r="E469" s="101">
        <v>40299.0</v>
      </c>
      <c r="F469" s="26" t="s">
        <v>1796</v>
      </c>
      <c r="G469" s="26" t="s">
        <v>258</v>
      </c>
      <c r="H469" s="26" t="s">
        <v>1034</v>
      </c>
      <c r="I469" s="28"/>
      <c r="J469" s="23">
        <v>4.0</v>
      </c>
      <c r="K469" s="57"/>
      <c r="L469" s="53"/>
      <c r="M469" s="34" t="s">
        <v>1797</v>
      </c>
      <c r="N469" s="135" t="s">
        <v>1798</v>
      </c>
      <c r="O469" s="136"/>
      <c r="P469" s="32">
        <v>55.0</v>
      </c>
      <c r="Q469" s="32"/>
      <c r="R469" s="32"/>
      <c r="S469" s="32"/>
      <c r="T469" s="32"/>
      <c r="U469" s="32"/>
      <c r="V469" s="32"/>
      <c r="W469" s="32"/>
      <c r="X469" s="32"/>
      <c r="Y469" s="32"/>
      <c r="Z469" s="32"/>
    </row>
    <row r="470">
      <c r="A470" s="114" t="s">
        <v>1799</v>
      </c>
      <c r="B470" s="115" t="s">
        <v>1800</v>
      </c>
      <c r="C470" s="22">
        <v>105470.0</v>
      </c>
      <c r="D470" s="23">
        <v>2010.0</v>
      </c>
      <c r="E470" s="101">
        <v>40360.0</v>
      </c>
      <c r="F470" s="26" t="s">
        <v>1801</v>
      </c>
      <c r="G470" s="26" t="s">
        <v>258</v>
      </c>
      <c r="H470" s="26" t="s">
        <v>1034</v>
      </c>
      <c r="I470" s="28"/>
      <c r="J470" s="23">
        <v>2.0</v>
      </c>
      <c r="K470" s="57"/>
      <c r="L470" s="28"/>
      <c r="M470" s="34" t="s">
        <v>1026</v>
      </c>
      <c r="N470" s="135" t="s">
        <v>1802</v>
      </c>
      <c r="O470" s="136"/>
      <c r="P470" s="32">
        <v>54.0</v>
      </c>
      <c r="Q470" s="32"/>
      <c r="R470" s="32"/>
      <c r="S470" s="32"/>
      <c r="T470" s="32"/>
      <c r="U470" s="32"/>
      <c r="V470" s="32"/>
      <c r="W470" s="32"/>
      <c r="X470" s="32"/>
      <c r="Y470" s="32"/>
      <c r="Z470" s="32"/>
    </row>
    <row r="471">
      <c r="A471" s="165" t="s">
        <v>244</v>
      </c>
      <c r="B471" s="130" t="s">
        <v>1803</v>
      </c>
      <c r="C471" s="22">
        <v>114000.0</v>
      </c>
      <c r="D471" s="23">
        <v>2010.0</v>
      </c>
      <c r="E471" s="101">
        <v>40330.0</v>
      </c>
      <c r="F471" s="26" t="s">
        <v>1804</v>
      </c>
      <c r="G471" s="130" t="s">
        <v>129</v>
      </c>
      <c r="H471" s="130" t="s">
        <v>23</v>
      </c>
      <c r="I471" s="130" t="s">
        <v>29</v>
      </c>
      <c r="J471" s="154">
        <v>1.0</v>
      </c>
      <c r="K471" s="57"/>
      <c r="L471" s="28"/>
      <c r="M471" s="53" t="s">
        <v>507</v>
      </c>
      <c r="N471" s="106" t="s">
        <v>1805</v>
      </c>
      <c r="O471" s="113"/>
      <c r="P471" s="32">
        <v>53.0</v>
      </c>
      <c r="Q471" s="32"/>
      <c r="R471" s="32"/>
      <c r="S471" s="32"/>
      <c r="T471" s="32"/>
      <c r="U471" s="32"/>
      <c r="V471" s="32"/>
      <c r="W471" s="32"/>
      <c r="X471" s="32"/>
      <c r="Y471" s="32"/>
      <c r="Z471" s="32"/>
    </row>
    <row r="472">
      <c r="A472" s="114" t="s">
        <v>1806</v>
      </c>
      <c r="B472" s="28"/>
      <c r="C472" s="22">
        <v>130495.0</v>
      </c>
      <c r="D472" s="23">
        <v>2010.0</v>
      </c>
      <c r="E472" s="101">
        <v>40330.0</v>
      </c>
      <c r="F472" s="26" t="s">
        <v>1807</v>
      </c>
      <c r="G472" s="26" t="s">
        <v>258</v>
      </c>
      <c r="H472" s="26" t="s">
        <v>1034</v>
      </c>
      <c r="I472" s="28"/>
      <c r="J472" s="23">
        <v>4.0</v>
      </c>
      <c r="K472" s="57"/>
      <c r="L472" s="28"/>
      <c r="M472" s="34" t="s">
        <v>1808</v>
      </c>
      <c r="N472" s="135" t="s">
        <v>1809</v>
      </c>
      <c r="O472" s="136"/>
      <c r="P472" s="32">
        <v>52.0</v>
      </c>
      <c r="Q472" s="32"/>
      <c r="R472" s="32"/>
      <c r="S472" s="32"/>
      <c r="T472" s="32"/>
      <c r="U472" s="32"/>
      <c r="V472" s="32"/>
      <c r="W472" s="32"/>
      <c r="X472" s="32"/>
      <c r="Y472" s="32"/>
      <c r="Z472" s="32"/>
    </row>
    <row r="473">
      <c r="A473" s="165" t="s">
        <v>1810</v>
      </c>
      <c r="B473" s="130" t="s">
        <v>1811</v>
      </c>
      <c r="C473" s="22">
        <v>3300000.0</v>
      </c>
      <c r="D473" s="23">
        <v>2010.0</v>
      </c>
      <c r="E473" s="101">
        <v>40238.0</v>
      </c>
      <c r="F473" s="26" t="s">
        <v>1812</v>
      </c>
      <c r="G473" s="26" t="s">
        <v>58</v>
      </c>
      <c r="H473" s="26" t="s">
        <v>1034</v>
      </c>
      <c r="I473" s="130" t="s">
        <v>29</v>
      </c>
      <c r="J473" s="23">
        <v>2.0</v>
      </c>
      <c r="K473" s="57"/>
      <c r="L473" s="28"/>
      <c r="M473" s="105" t="s">
        <v>1813</v>
      </c>
      <c r="N473" s="135" t="s">
        <v>1814</v>
      </c>
      <c r="O473" s="113"/>
      <c r="P473" s="32">
        <v>51.0</v>
      </c>
      <c r="Q473" s="32"/>
      <c r="R473" s="32"/>
      <c r="S473" s="32"/>
      <c r="T473" s="32"/>
      <c r="U473" s="32"/>
      <c r="V473" s="32"/>
      <c r="W473" s="32"/>
      <c r="X473" s="32"/>
      <c r="Y473" s="32"/>
      <c r="Z473" s="32"/>
    </row>
    <row r="474">
      <c r="A474" s="165" t="s">
        <v>1815</v>
      </c>
      <c r="B474" s="28"/>
      <c r="C474" s="22">
        <v>400000.0</v>
      </c>
      <c r="D474" s="23">
        <v>2010.0</v>
      </c>
      <c r="E474" s="101">
        <v>40483.0</v>
      </c>
      <c r="F474" s="26" t="s">
        <v>1816</v>
      </c>
      <c r="G474" s="26" t="s">
        <v>58</v>
      </c>
      <c r="H474" s="130" t="s">
        <v>23</v>
      </c>
      <c r="I474" s="28"/>
      <c r="J474" s="23">
        <v>3.0</v>
      </c>
      <c r="K474" s="57"/>
      <c r="L474" s="28"/>
      <c r="M474" s="34" t="s">
        <v>1817</v>
      </c>
      <c r="N474" s="106" t="s">
        <v>1818</v>
      </c>
      <c r="O474" s="113"/>
      <c r="P474" s="32">
        <v>50.0</v>
      </c>
      <c r="Q474" s="32"/>
      <c r="R474" s="32"/>
      <c r="S474" s="32"/>
      <c r="T474" s="32"/>
      <c r="U474" s="32"/>
      <c r="V474" s="32"/>
      <c r="W474" s="32"/>
      <c r="X474" s="32"/>
      <c r="Y474" s="32"/>
      <c r="Z474" s="32"/>
    </row>
    <row r="475">
      <c r="A475" s="165" t="s">
        <v>1819</v>
      </c>
      <c r="B475" s="28"/>
      <c r="C475" s="22">
        <v>392000.0</v>
      </c>
      <c r="D475" s="23">
        <v>2010.0</v>
      </c>
      <c r="E475" s="101">
        <v>40452.0</v>
      </c>
      <c r="F475" s="111" t="s">
        <v>1820</v>
      </c>
      <c r="G475" s="130" t="s">
        <v>64</v>
      </c>
      <c r="H475" s="130" t="s">
        <v>59</v>
      </c>
      <c r="I475" s="28"/>
      <c r="J475" s="23">
        <v>2.0</v>
      </c>
      <c r="K475" s="57"/>
      <c r="L475" s="28"/>
      <c r="M475" s="53" t="s">
        <v>278</v>
      </c>
      <c r="N475" s="106" t="s">
        <v>1821</v>
      </c>
      <c r="O475" s="113"/>
      <c r="P475" s="32">
        <v>49.0</v>
      </c>
      <c r="Q475" s="32"/>
      <c r="R475" s="32"/>
      <c r="S475" s="32"/>
      <c r="T475" s="32"/>
      <c r="U475" s="32"/>
      <c r="V475" s="32"/>
      <c r="W475" s="32"/>
      <c r="X475" s="32"/>
      <c r="Y475" s="32"/>
      <c r="Z475" s="32"/>
    </row>
    <row r="476">
      <c r="A476" s="165" t="s">
        <v>1822</v>
      </c>
      <c r="B476" s="130" t="s">
        <v>1823</v>
      </c>
      <c r="C476" s="22">
        <v>1.3E8</v>
      </c>
      <c r="D476" s="23">
        <v>2009.0</v>
      </c>
      <c r="E476" s="101">
        <v>39814.0</v>
      </c>
      <c r="F476" s="26" t="s">
        <v>1824</v>
      </c>
      <c r="G476" s="26" t="s">
        <v>58</v>
      </c>
      <c r="H476" s="130" t="s">
        <v>23</v>
      </c>
      <c r="I476" s="130" t="s">
        <v>29</v>
      </c>
      <c r="J476" s="23">
        <v>3.0</v>
      </c>
      <c r="K476" s="27" t="s">
        <v>1825</v>
      </c>
      <c r="L476" s="28"/>
      <c r="M476" s="105" t="s">
        <v>1826</v>
      </c>
      <c r="N476" s="106" t="s">
        <v>1827</v>
      </c>
      <c r="O476" s="109"/>
      <c r="P476" s="32">
        <v>48.0</v>
      </c>
      <c r="Q476" s="32"/>
      <c r="R476" s="32"/>
      <c r="S476" s="32"/>
      <c r="T476" s="32"/>
      <c r="U476" s="32"/>
      <c r="V476" s="32"/>
      <c r="W476" s="32"/>
      <c r="X476" s="32"/>
      <c r="Y476" s="32"/>
      <c r="Z476" s="32"/>
    </row>
    <row r="477" ht="17.25" customHeight="1">
      <c r="A477" s="165" t="s">
        <v>1828</v>
      </c>
      <c r="B477" s="28"/>
      <c r="C477" s="22">
        <v>131000.0</v>
      </c>
      <c r="D477" s="23">
        <v>2009.0</v>
      </c>
      <c r="E477" s="101">
        <v>40148.0</v>
      </c>
      <c r="F477" s="26" t="s">
        <v>1829</v>
      </c>
      <c r="G477" s="130" t="s">
        <v>1676</v>
      </c>
      <c r="H477" s="26" t="s">
        <v>1034</v>
      </c>
      <c r="I477" s="130" t="s">
        <v>29</v>
      </c>
      <c r="J477" s="23">
        <v>2.0</v>
      </c>
      <c r="K477" s="57"/>
      <c r="L477" s="28"/>
      <c r="M477" s="105" t="s">
        <v>1088</v>
      </c>
      <c r="N477" s="106" t="s">
        <v>1830</v>
      </c>
      <c r="O477" s="113"/>
      <c r="P477" s="32">
        <v>47.0</v>
      </c>
      <c r="Q477" s="32"/>
      <c r="R477" s="32"/>
      <c r="S477" s="32"/>
      <c r="T477" s="32"/>
      <c r="U477" s="32"/>
      <c r="V477" s="32"/>
      <c r="W477" s="32"/>
      <c r="X477" s="32"/>
      <c r="Y477" s="32"/>
      <c r="Z477" s="32"/>
    </row>
    <row r="478">
      <c r="A478" s="165" t="s">
        <v>1831</v>
      </c>
      <c r="B478" s="130" t="s">
        <v>1832</v>
      </c>
      <c r="C478" s="22">
        <v>3.2E7</v>
      </c>
      <c r="D478" s="23">
        <v>2009.0</v>
      </c>
      <c r="E478" s="101">
        <v>40148.0</v>
      </c>
      <c r="F478" s="26" t="s">
        <v>1833</v>
      </c>
      <c r="G478" s="130" t="s">
        <v>1834</v>
      </c>
      <c r="H478" s="130" t="s">
        <v>23</v>
      </c>
      <c r="I478" s="130" t="s">
        <v>29</v>
      </c>
      <c r="J478" s="23">
        <v>1.0</v>
      </c>
      <c r="K478" s="57"/>
      <c r="L478" s="28"/>
      <c r="M478" s="120" t="s">
        <v>34</v>
      </c>
      <c r="N478" s="106" t="s">
        <v>1835</v>
      </c>
      <c r="O478" s="113"/>
      <c r="P478" s="32">
        <v>46.0</v>
      </c>
      <c r="Q478" s="32"/>
      <c r="R478" s="32"/>
      <c r="S478" s="32"/>
      <c r="T478" s="32"/>
      <c r="U478" s="32"/>
      <c r="V478" s="32"/>
      <c r="W478" s="32"/>
      <c r="X478" s="32"/>
      <c r="Y478" s="32"/>
      <c r="Z478" s="32"/>
    </row>
    <row r="479">
      <c r="A479" s="165" t="s">
        <v>1836</v>
      </c>
      <c r="B479" s="130" t="s">
        <v>1837</v>
      </c>
      <c r="C479" s="22">
        <v>5000000.0</v>
      </c>
      <c r="D479" s="23">
        <v>2009.0</v>
      </c>
      <c r="E479" s="101">
        <v>39814.0</v>
      </c>
      <c r="F479" s="26" t="s">
        <v>1838</v>
      </c>
      <c r="G479" s="26" t="s">
        <v>58</v>
      </c>
      <c r="H479" s="130" t="s">
        <v>23</v>
      </c>
      <c r="I479" s="130" t="s">
        <v>29</v>
      </c>
      <c r="J479" s="154">
        <v>1.0</v>
      </c>
      <c r="K479" s="57"/>
      <c r="L479" s="28"/>
      <c r="M479" s="120" t="s">
        <v>1839</v>
      </c>
      <c r="N479" s="106" t="s">
        <v>1840</v>
      </c>
      <c r="O479" s="113"/>
      <c r="P479" s="32">
        <v>45.0</v>
      </c>
      <c r="Q479" s="32"/>
      <c r="R479" s="32"/>
      <c r="S479" s="32"/>
      <c r="T479" s="32"/>
      <c r="U479" s="32"/>
      <c r="V479" s="32"/>
      <c r="W479" s="32"/>
      <c r="X479" s="32"/>
      <c r="Y479" s="32"/>
      <c r="Z479" s="32"/>
    </row>
    <row r="480">
      <c r="A480" s="165" t="s">
        <v>1841</v>
      </c>
      <c r="B480" s="130" t="s">
        <v>1842</v>
      </c>
      <c r="C480" s="22">
        <v>573000.0</v>
      </c>
      <c r="D480" s="23">
        <v>2009.0</v>
      </c>
      <c r="E480" s="101">
        <v>39995.0</v>
      </c>
      <c r="F480" s="26" t="s">
        <v>1843</v>
      </c>
      <c r="G480" s="26" t="s">
        <v>28</v>
      </c>
      <c r="H480" s="130" t="s">
        <v>23</v>
      </c>
      <c r="I480" s="28"/>
      <c r="J480" s="23">
        <v>3.0</v>
      </c>
      <c r="K480" s="57"/>
      <c r="L480" s="28"/>
      <c r="M480" s="34" t="s">
        <v>710</v>
      </c>
      <c r="N480" s="106" t="s">
        <v>1844</v>
      </c>
      <c r="O480" s="117"/>
      <c r="P480" s="32">
        <v>44.0</v>
      </c>
      <c r="Q480" s="32"/>
      <c r="R480" s="32"/>
      <c r="S480" s="32"/>
      <c r="T480" s="32"/>
      <c r="U480" s="32"/>
      <c r="V480" s="32"/>
      <c r="W480" s="32"/>
      <c r="X480" s="32"/>
      <c r="Y480" s="32"/>
      <c r="Z480" s="32"/>
    </row>
    <row r="481">
      <c r="A481" s="165" t="s">
        <v>1845</v>
      </c>
      <c r="B481" s="28"/>
      <c r="C481" s="22">
        <v>531400.0</v>
      </c>
      <c r="D481" s="23">
        <v>2009.0</v>
      </c>
      <c r="E481" s="101">
        <v>39934.0</v>
      </c>
      <c r="F481" s="26" t="s">
        <v>1846</v>
      </c>
      <c r="G481" s="26" t="s">
        <v>258</v>
      </c>
      <c r="H481" s="130" t="s">
        <v>23</v>
      </c>
      <c r="I481" s="130" t="s">
        <v>29</v>
      </c>
      <c r="J481" s="23">
        <v>2.0</v>
      </c>
      <c r="K481" s="57"/>
      <c r="L481" s="28"/>
      <c r="M481" s="34" t="s">
        <v>1847</v>
      </c>
      <c r="N481" s="106" t="s">
        <v>1848</v>
      </c>
      <c r="O481" s="113"/>
      <c r="P481" s="32">
        <v>43.0</v>
      </c>
      <c r="Q481" s="32"/>
      <c r="R481" s="32"/>
      <c r="S481" s="32"/>
      <c r="T481" s="32"/>
      <c r="U481" s="32"/>
      <c r="V481" s="32"/>
      <c r="W481" s="32"/>
      <c r="X481" s="32"/>
      <c r="Y481" s="32"/>
      <c r="Z481" s="32"/>
    </row>
    <row r="482">
      <c r="A482" s="165" t="s">
        <v>1849</v>
      </c>
      <c r="B482" s="130" t="s">
        <v>1850</v>
      </c>
      <c r="C482" s="22">
        <v>160000.0</v>
      </c>
      <c r="D482" s="23">
        <v>2009.0</v>
      </c>
      <c r="E482" s="101">
        <v>39934.0</v>
      </c>
      <c r="F482" s="26" t="s">
        <v>1851</v>
      </c>
      <c r="G482" s="26" t="s">
        <v>110</v>
      </c>
      <c r="H482" s="130" t="s">
        <v>23</v>
      </c>
      <c r="I482" s="28"/>
      <c r="J482" s="23">
        <v>3.0</v>
      </c>
      <c r="K482" s="57"/>
      <c r="L482" s="28"/>
      <c r="M482" s="105" t="s">
        <v>1599</v>
      </c>
      <c r="N482" s="106" t="s">
        <v>1852</v>
      </c>
      <c r="O482" s="113"/>
      <c r="P482" s="32">
        <v>42.0</v>
      </c>
      <c r="Q482" s="32"/>
      <c r="R482" s="32"/>
      <c r="S482" s="32"/>
      <c r="T482" s="32"/>
      <c r="U482" s="32"/>
      <c r="V482" s="32"/>
      <c r="W482" s="32"/>
      <c r="X482" s="32"/>
      <c r="Y482" s="32"/>
      <c r="Z482" s="32"/>
    </row>
    <row r="483">
      <c r="A483" s="165" t="s">
        <v>1853</v>
      </c>
      <c r="B483" s="130" t="s">
        <v>1854</v>
      </c>
      <c r="C483" s="22">
        <v>1500000.0</v>
      </c>
      <c r="D483" s="23">
        <v>2009.0</v>
      </c>
      <c r="E483" s="101">
        <v>40118.0</v>
      </c>
      <c r="F483" s="26" t="s">
        <v>1855</v>
      </c>
      <c r="G483" s="26" t="s">
        <v>258</v>
      </c>
      <c r="H483" s="26" t="s">
        <v>1034</v>
      </c>
      <c r="I483" s="130" t="s">
        <v>29</v>
      </c>
      <c r="J483" s="23">
        <v>4.0</v>
      </c>
      <c r="K483" s="57"/>
      <c r="L483" s="28"/>
      <c r="M483" s="120" t="s">
        <v>1839</v>
      </c>
      <c r="N483" s="106" t="s">
        <v>1856</v>
      </c>
      <c r="O483" s="113"/>
      <c r="P483" s="32">
        <v>41.0</v>
      </c>
      <c r="Q483" s="32"/>
      <c r="R483" s="32"/>
      <c r="S483" s="32"/>
      <c r="T483" s="32"/>
      <c r="U483" s="32"/>
      <c r="V483" s="32"/>
      <c r="W483" s="32"/>
      <c r="X483" s="32"/>
      <c r="Y483" s="32"/>
      <c r="Z483" s="32"/>
    </row>
    <row r="484">
      <c r="A484" s="165" t="s">
        <v>1777</v>
      </c>
      <c r="B484" s="28"/>
      <c r="C484" s="22">
        <v>7.6E7</v>
      </c>
      <c r="D484" s="23">
        <v>2009.0</v>
      </c>
      <c r="E484" s="101">
        <v>40087.0</v>
      </c>
      <c r="F484" s="26" t="s">
        <v>1857</v>
      </c>
      <c r="G484" s="130" t="s">
        <v>1676</v>
      </c>
      <c r="H484" s="26" t="s">
        <v>1034</v>
      </c>
      <c r="I484" s="130" t="s">
        <v>29</v>
      </c>
      <c r="J484" s="23">
        <v>2.0</v>
      </c>
      <c r="K484" s="57"/>
      <c r="L484" s="28"/>
      <c r="M484" s="105" t="s">
        <v>410</v>
      </c>
      <c r="N484" s="106" t="s">
        <v>1858</v>
      </c>
      <c r="O484" s="113"/>
      <c r="P484" s="32">
        <v>40.0</v>
      </c>
      <c r="Q484" s="32"/>
      <c r="R484" s="32"/>
      <c r="S484" s="32"/>
      <c r="T484" s="32"/>
      <c r="U484" s="32"/>
      <c r="V484" s="32"/>
      <c r="W484" s="32"/>
      <c r="X484" s="32"/>
      <c r="Y484" s="32"/>
      <c r="Z484" s="32"/>
    </row>
    <row r="485">
      <c r="A485" s="165" t="s">
        <v>1859</v>
      </c>
      <c r="B485" s="28"/>
      <c r="C485" s="22">
        <v>1000000.0</v>
      </c>
      <c r="D485" s="23">
        <v>2008.0</v>
      </c>
      <c r="E485" s="101">
        <v>39508.0</v>
      </c>
      <c r="F485" s="26" t="s">
        <v>1860</v>
      </c>
      <c r="G485" s="26" t="s">
        <v>58</v>
      </c>
      <c r="H485" s="130" t="s">
        <v>59</v>
      </c>
      <c r="I485" s="130" t="s">
        <v>29</v>
      </c>
      <c r="J485" s="23">
        <v>3.0</v>
      </c>
      <c r="K485" s="57"/>
      <c r="L485" s="28"/>
      <c r="M485" s="34" t="s">
        <v>1224</v>
      </c>
      <c r="N485" s="106" t="s">
        <v>1861</v>
      </c>
      <c r="O485" s="117"/>
      <c r="P485" s="32">
        <v>39.0</v>
      </c>
      <c r="Q485" s="32"/>
      <c r="R485" s="32"/>
      <c r="S485" s="32"/>
      <c r="T485" s="32"/>
      <c r="U485" s="32"/>
      <c r="V485" s="32"/>
      <c r="W485" s="32"/>
      <c r="X485" s="32"/>
      <c r="Y485" s="32"/>
      <c r="Z485" s="32"/>
    </row>
    <row r="486">
      <c r="A486" s="165" t="s">
        <v>1862</v>
      </c>
      <c r="B486" s="130" t="s">
        <v>1863</v>
      </c>
      <c r="C486" s="22">
        <v>4200000.0</v>
      </c>
      <c r="D486" s="23">
        <v>2008.0</v>
      </c>
      <c r="E486" s="101">
        <v>39508.0</v>
      </c>
      <c r="F486" s="34" t="s">
        <v>1864</v>
      </c>
      <c r="G486" s="130" t="s">
        <v>43</v>
      </c>
      <c r="H486" s="130" t="s">
        <v>23</v>
      </c>
      <c r="I486" s="28"/>
      <c r="J486" s="23">
        <v>3.0</v>
      </c>
      <c r="K486" s="57"/>
      <c r="L486" s="28"/>
      <c r="M486" s="34" t="s">
        <v>1865</v>
      </c>
      <c r="N486" s="106" t="s">
        <v>1866</v>
      </c>
      <c r="O486" s="113"/>
      <c r="P486" s="32">
        <v>38.0</v>
      </c>
      <c r="Q486" s="32"/>
      <c r="R486" s="32"/>
      <c r="S486" s="32"/>
      <c r="T486" s="32"/>
      <c r="U486" s="32"/>
      <c r="V486" s="32"/>
      <c r="W486" s="32"/>
      <c r="X486" s="32"/>
      <c r="Y486" s="32"/>
      <c r="Z486" s="32"/>
    </row>
    <row r="487">
      <c r="A487" s="165" t="s">
        <v>1867</v>
      </c>
      <c r="B487" s="28"/>
      <c r="C487" s="22">
        <v>2100000.0</v>
      </c>
      <c r="D487" s="23">
        <v>2008.0</v>
      </c>
      <c r="E487" s="101">
        <v>39539.0</v>
      </c>
      <c r="F487" s="26" t="s">
        <v>1868</v>
      </c>
      <c r="G487" s="26" t="s">
        <v>110</v>
      </c>
      <c r="H487" s="26" t="s">
        <v>1034</v>
      </c>
      <c r="I487" s="28"/>
      <c r="J487" s="23">
        <v>3.0</v>
      </c>
      <c r="K487" s="57"/>
      <c r="L487" s="28"/>
      <c r="M487" s="105" t="s">
        <v>1869</v>
      </c>
      <c r="N487" s="106" t="s">
        <v>1870</v>
      </c>
      <c r="O487" s="113"/>
      <c r="P487" s="32">
        <v>37.0</v>
      </c>
      <c r="Q487" s="32"/>
      <c r="R487" s="32"/>
      <c r="S487" s="32"/>
      <c r="T487" s="32"/>
      <c r="U487" s="32"/>
      <c r="V487" s="32"/>
      <c r="W487" s="32"/>
      <c r="X487" s="32"/>
      <c r="Y487" s="32"/>
      <c r="Z487" s="32"/>
    </row>
    <row r="488">
      <c r="A488" s="165" t="s">
        <v>1871</v>
      </c>
      <c r="B488" s="130" t="s">
        <v>1872</v>
      </c>
      <c r="C488" s="22">
        <v>4500000.0</v>
      </c>
      <c r="D488" s="23">
        <v>2008.0</v>
      </c>
      <c r="E488" s="101">
        <v>39569.0</v>
      </c>
      <c r="F488" s="26" t="s">
        <v>1873</v>
      </c>
      <c r="G488" s="26" t="s">
        <v>58</v>
      </c>
      <c r="H488" s="26" t="s">
        <v>1034</v>
      </c>
      <c r="I488" s="28"/>
      <c r="J488" s="154">
        <v>1.0</v>
      </c>
      <c r="K488" s="57"/>
      <c r="L488" s="28"/>
      <c r="M488" s="105" t="s">
        <v>286</v>
      </c>
      <c r="N488" s="106" t="s">
        <v>1874</v>
      </c>
      <c r="O488" s="113"/>
      <c r="P488" s="32">
        <v>36.0</v>
      </c>
      <c r="Q488" s="32"/>
      <c r="R488" s="32"/>
      <c r="S488" s="32"/>
      <c r="T488" s="32"/>
      <c r="U488" s="32"/>
      <c r="V488" s="32"/>
      <c r="W488" s="32"/>
      <c r="X488" s="32"/>
      <c r="Y488" s="32"/>
      <c r="Z488" s="32"/>
    </row>
    <row r="489">
      <c r="A489" s="165" t="s">
        <v>1875</v>
      </c>
      <c r="B489" s="130" t="s">
        <v>1876</v>
      </c>
      <c r="C489" s="22">
        <v>2500000.0</v>
      </c>
      <c r="D489" s="23">
        <v>2008.0</v>
      </c>
      <c r="E489" s="101">
        <v>39661.0</v>
      </c>
      <c r="F489" s="111" t="s">
        <v>1877</v>
      </c>
      <c r="G489" s="26" t="s">
        <v>58</v>
      </c>
      <c r="H489" s="130" t="s">
        <v>59</v>
      </c>
      <c r="I489" s="28"/>
      <c r="J489" s="23">
        <v>2.0</v>
      </c>
      <c r="K489" s="57"/>
      <c r="L489" s="28"/>
      <c r="M489" s="34" t="s">
        <v>1878</v>
      </c>
      <c r="N489" s="106" t="s">
        <v>1879</v>
      </c>
      <c r="O489" s="113"/>
      <c r="P489" s="32">
        <v>35.0</v>
      </c>
      <c r="Q489" s="32"/>
      <c r="R489" s="32"/>
      <c r="S489" s="32"/>
      <c r="T489" s="32"/>
      <c r="U489" s="32"/>
      <c r="V489" s="32"/>
      <c r="W489" s="32"/>
      <c r="X489" s="32"/>
      <c r="Y489" s="32"/>
      <c r="Z489" s="32"/>
    </row>
    <row r="490">
      <c r="A490" s="165" t="s">
        <v>1880</v>
      </c>
      <c r="B490" s="28"/>
      <c r="C490" s="22">
        <v>84000.0</v>
      </c>
      <c r="D490" s="23">
        <v>2008.0</v>
      </c>
      <c r="E490" s="101">
        <v>39661.0</v>
      </c>
      <c r="F490" s="111" t="s">
        <v>1881</v>
      </c>
      <c r="G490" s="130" t="s">
        <v>64</v>
      </c>
      <c r="H490" s="26" t="s">
        <v>1034</v>
      </c>
      <c r="I490" s="28"/>
      <c r="J490" s="23">
        <v>2.0</v>
      </c>
      <c r="K490" s="57"/>
      <c r="L490" s="28"/>
      <c r="M490" s="53" t="s">
        <v>1882</v>
      </c>
      <c r="N490" s="106" t="s">
        <v>1883</v>
      </c>
      <c r="O490" s="113"/>
      <c r="P490" s="32">
        <v>34.0</v>
      </c>
      <c r="Q490" s="32"/>
      <c r="R490" s="32"/>
      <c r="S490" s="32"/>
      <c r="T490" s="32"/>
      <c r="U490" s="32"/>
      <c r="V490" s="32"/>
      <c r="W490" s="32"/>
      <c r="X490" s="32"/>
      <c r="Y490" s="32"/>
      <c r="Z490" s="32"/>
    </row>
    <row r="491">
      <c r="A491" s="165" t="s">
        <v>1884</v>
      </c>
      <c r="B491" s="130" t="s">
        <v>1885</v>
      </c>
      <c r="C491" s="22">
        <v>1500000.0</v>
      </c>
      <c r="D491" s="23">
        <v>2008.0</v>
      </c>
      <c r="E491" s="101">
        <v>39783.0</v>
      </c>
      <c r="F491" s="26" t="s">
        <v>1886</v>
      </c>
      <c r="G491" s="26" t="s">
        <v>58</v>
      </c>
      <c r="H491" s="130" t="s">
        <v>23</v>
      </c>
      <c r="I491" s="28"/>
      <c r="J491" s="182" t="s">
        <v>1562</v>
      </c>
      <c r="K491" s="57"/>
      <c r="L491" s="28"/>
      <c r="M491" s="120" t="s">
        <v>227</v>
      </c>
      <c r="N491" s="106" t="s">
        <v>1887</v>
      </c>
      <c r="O491" s="113"/>
      <c r="P491" s="32">
        <v>33.0</v>
      </c>
      <c r="Q491" s="32"/>
      <c r="R491" s="32"/>
      <c r="S491" s="32"/>
      <c r="T491" s="32"/>
      <c r="U491" s="32"/>
      <c r="V491" s="32"/>
      <c r="W491" s="32"/>
      <c r="X491" s="32"/>
      <c r="Y491" s="32"/>
      <c r="Z491" s="32"/>
    </row>
    <row r="492">
      <c r="A492" s="159" t="s">
        <v>1888</v>
      </c>
      <c r="B492" s="115" t="s">
        <v>1889</v>
      </c>
      <c r="C492" s="22">
        <v>1.8E7</v>
      </c>
      <c r="D492" s="23">
        <v>2008.0</v>
      </c>
      <c r="E492" s="101">
        <v>39479.0</v>
      </c>
      <c r="F492" s="34" t="s">
        <v>1890</v>
      </c>
      <c r="G492" s="115" t="s">
        <v>28</v>
      </c>
      <c r="H492" s="115" t="s">
        <v>23</v>
      </c>
      <c r="I492" s="53"/>
      <c r="J492" s="23">
        <v>3.0</v>
      </c>
      <c r="K492" s="57"/>
      <c r="L492" s="53"/>
      <c r="M492" s="34" t="s">
        <v>1826</v>
      </c>
      <c r="N492" s="135" t="s">
        <v>1891</v>
      </c>
      <c r="O492" s="19"/>
      <c r="P492" s="32">
        <v>32.0</v>
      </c>
      <c r="Q492" s="32"/>
      <c r="R492" s="32"/>
      <c r="S492" s="32"/>
      <c r="T492" s="32"/>
      <c r="U492" s="32"/>
      <c r="V492" s="32"/>
      <c r="W492" s="32"/>
      <c r="X492" s="32"/>
      <c r="Y492" s="32"/>
      <c r="Z492" s="32"/>
    </row>
    <row r="493">
      <c r="A493" s="165" t="s">
        <v>1892</v>
      </c>
      <c r="B493" s="130" t="s">
        <v>1893</v>
      </c>
      <c r="C493" s="22">
        <v>1.11E7</v>
      </c>
      <c r="D493" s="23">
        <v>2008.0</v>
      </c>
      <c r="E493" s="101">
        <v>39692.0</v>
      </c>
      <c r="F493" s="26" t="s">
        <v>1894</v>
      </c>
      <c r="G493" s="26" t="s">
        <v>38</v>
      </c>
      <c r="H493" s="130" t="s">
        <v>59</v>
      </c>
      <c r="I493" s="28"/>
      <c r="J493" s="23">
        <v>2.0</v>
      </c>
      <c r="K493" s="57"/>
      <c r="L493" s="28"/>
      <c r="M493" s="34" t="s">
        <v>1895</v>
      </c>
      <c r="N493" s="106" t="s">
        <v>1896</v>
      </c>
      <c r="O493" s="117"/>
      <c r="P493" s="32">
        <v>31.0</v>
      </c>
      <c r="Q493" s="32"/>
      <c r="R493" s="32"/>
      <c r="S493" s="32"/>
      <c r="T493" s="32"/>
      <c r="U493" s="32"/>
      <c r="V493" s="32"/>
      <c r="W493" s="32"/>
      <c r="X493" s="32"/>
      <c r="Y493" s="32"/>
      <c r="Z493" s="32"/>
    </row>
    <row r="494">
      <c r="A494" s="165" t="s">
        <v>244</v>
      </c>
      <c r="B494" s="28"/>
      <c r="C494" s="22">
        <v>113000.0</v>
      </c>
      <c r="D494" s="23">
        <v>2008.0</v>
      </c>
      <c r="E494" s="101">
        <v>39600.0</v>
      </c>
      <c r="F494" s="26" t="s">
        <v>1897</v>
      </c>
      <c r="G494" s="130" t="s">
        <v>129</v>
      </c>
      <c r="H494" s="26" t="s">
        <v>1034</v>
      </c>
      <c r="I494" s="130" t="s">
        <v>29</v>
      </c>
      <c r="J494" s="154">
        <v>1.0</v>
      </c>
      <c r="K494" s="57"/>
      <c r="L494" s="28"/>
      <c r="M494" s="105" t="s">
        <v>1865</v>
      </c>
      <c r="N494" s="106" t="s">
        <v>1898</v>
      </c>
      <c r="O494" s="113"/>
      <c r="P494" s="32">
        <v>30.0</v>
      </c>
      <c r="Q494" s="32"/>
      <c r="R494" s="32"/>
      <c r="S494" s="32"/>
      <c r="T494" s="32"/>
      <c r="U494" s="32"/>
      <c r="V494" s="32"/>
      <c r="W494" s="32"/>
      <c r="X494" s="32"/>
      <c r="Y494" s="32"/>
      <c r="Z494" s="32"/>
    </row>
    <row r="495">
      <c r="A495" s="165" t="s">
        <v>149</v>
      </c>
      <c r="B495" s="28"/>
      <c r="C495" s="22">
        <v>72000.0</v>
      </c>
      <c r="D495" s="23">
        <v>2008.0</v>
      </c>
      <c r="E495" s="101">
        <v>39600.0</v>
      </c>
      <c r="F495" s="26" t="s">
        <v>1899</v>
      </c>
      <c r="G495" s="26" t="s">
        <v>110</v>
      </c>
      <c r="H495" s="26" t="s">
        <v>1034</v>
      </c>
      <c r="I495" s="28"/>
      <c r="J495" s="23">
        <v>2.0</v>
      </c>
      <c r="K495" s="57"/>
      <c r="L495" s="28"/>
      <c r="M495" s="105" t="s">
        <v>1900</v>
      </c>
      <c r="N495" s="106" t="s">
        <v>1901</v>
      </c>
      <c r="O495" s="117"/>
      <c r="P495" s="32">
        <v>29.0</v>
      </c>
      <c r="Q495" s="32"/>
      <c r="R495" s="32"/>
      <c r="S495" s="32"/>
      <c r="T495" s="32"/>
      <c r="U495" s="32"/>
      <c r="V495" s="32"/>
      <c r="W495" s="32"/>
      <c r="X495" s="32"/>
      <c r="Y495" s="32"/>
      <c r="Z495" s="32"/>
    </row>
    <row r="496">
      <c r="A496" s="165" t="s">
        <v>1902</v>
      </c>
      <c r="B496" s="130" t="s">
        <v>1903</v>
      </c>
      <c r="C496" s="22">
        <v>2200000.0</v>
      </c>
      <c r="D496" s="23">
        <v>2008.0</v>
      </c>
      <c r="E496" s="101">
        <v>39600.0</v>
      </c>
      <c r="F496" s="26" t="s">
        <v>1904</v>
      </c>
      <c r="G496" s="26" t="s">
        <v>110</v>
      </c>
      <c r="H496" s="26" t="s">
        <v>1034</v>
      </c>
      <c r="I496" s="130" t="s">
        <v>29</v>
      </c>
      <c r="J496" s="23">
        <v>4.0</v>
      </c>
      <c r="K496" s="57"/>
      <c r="L496" s="28"/>
      <c r="M496" s="34" t="s">
        <v>1905</v>
      </c>
      <c r="N496" s="106" t="s">
        <v>1906</v>
      </c>
      <c r="O496" s="113"/>
      <c r="P496" s="32">
        <v>28.0</v>
      </c>
      <c r="Q496" s="32"/>
      <c r="R496" s="32"/>
      <c r="S496" s="32"/>
      <c r="T496" s="32"/>
      <c r="U496" s="32"/>
      <c r="V496" s="32"/>
      <c r="W496" s="32"/>
      <c r="X496" s="32"/>
      <c r="Y496" s="32"/>
      <c r="Z496" s="32"/>
    </row>
    <row r="497">
      <c r="A497" s="165" t="s">
        <v>1907</v>
      </c>
      <c r="B497" s="28"/>
      <c r="C497" s="22">
        <v>6000000.0</v>
      </c>
      <c r="D497" s="23">
        <v>2008.0</v>
      </c>
      <c r="E497" s="101">
        <v>39569.0</v>
      </c>
      <c r="F497" s="26" t="s">
        <v>1908</v>
      </c>
      <c r="G497" s="130" t="s">
        <v>64</v>
      </c>
      <c r="H497" s="26" t="s">
        <v>23</v>
      </c>
      <c r="I497" s="28"/>
      <c r="J497" s="154">
        <v>1.0</v>
      </c>
      <c r="K497" s="57"/>
      <c r="L497" s="28"/>
      <c r="M497" s="120" t="s">
        <v>905</v>
      </c>
      <c r="N497" s="106" t="s">
        <v>1909</v>
      </c>
      <c r="O497" s="166" t="s">
        <v>1910</v>
      </c>
      <c r="P497" s="32">
        <v>27.0</v>
      </c>
      <c r="Q497" s="32"/>
      <c r="R497" s="32"/>
      <c r="S497" s="32"/>
      <c r="T497" s="32"/>
      <c r="U497" s="32"/>
      <c r="V497" s="32"/>
      <c r="W497" s="32"/>
      <c r="X497" s="32"/>
      <c r="Y497" s="32"/>
      <c r="Z497" s="32"/>
    </row>
    <row r="498">
      <c r="A498" s="165" t="s">
        <v>1911</v>
      </c>
      <c r="B498" s="28"/>
      <c r="C498" s="22">
        <v>89000.0</v>
      </c>
      <c r="D498" s="23">
        <v>2008.0</v>
      </c>
      <c r="E498" s="101">
        <v>39753.0</v>
      </c>
      <c r="F498" s="26" t="s">
        <v>1912</v>
      </c>
      <c r="G498" s="130" t="s">
        <v>64</v>
      </c>
      <c r="H498" s="130" t="s">
        <v>59</v>
      </c>
      <c r="I498" s="28"/>
      <c r="J498" s="23">
        <v>2.0</v>
      </c>
      <c r="K498" s="57"/>
      <c r="L498" s="28"/>
      <c r="M498" s="105" t="s">
        <v>1913</v>
      </c>
      <c r="N498" s="106" t="s">
        <v>1914</v>
      </c>
      <c r="O498" s="113"/>
      <c r="P498" s="32">
        <v>26.0</v>
      </c>
      <c r="Q498" s="32"/>
      <c r="R498" s="32"/>
      <c r="S498" s="32"/>
      <c r="T498" s="32"/>
      <c r="U498" s="32"/>
      <c r="V498" s="32"/>
      <c r="W498" s="32"/>
      <c r="X498" s="32"/>
      <c r="Y498" s="32"/>
      <c r="Z498" s="32"/>
    </row>
    <row r="499">
      <c r="A499" s="165" t="s">
        <v>1915</v>
      </c>
      <c r="B499" s="28"/>
      <c r="C499" s="22">
        <v>97000.0</v>
      </c>
      <c r="D499" s="23">
        <v>2008.0</v>
      </c>
      <c r="E499" s="101">
        <v>39753.0</v>
      </c>
      <c r="F499" s="26" t="s">
        <v>1916</v>
      </c>
      <c r="G499" s="130" t="s">
        <v>43</v>
      </c>
      <c r="H499" s="26" t="s">
        <v>1034</v>
      </c>
      <c r="I499" s="130" t="s">
        <v>29</v>
      </c>
      <c r="J499" s="23">
        <v>2.0</v>
      </c>
      <c r="K499" s="57"/>
      <c r="L499" s="28"/>
      <c r="M499" s="53" t="s">
        <v>1917</v>
      </c>
      <c r="N499" s="106" t="s">
        <v>1918</v>
      </c>
      <c r="O499" s="117"/>
      <c r="P499" s="32">
        <v>25.0</v>
      </c>
      <c r="Q499" s="32"/>
      <c r="R499" s="32"/>
      <c r="S499" s="32"/>
      <c r="T499" s="32"/>
      <c r="U499" s="32"/>
      <c r="V499" s="32"/>
      <c r="W499" s="32"/>
      <c r="X499" s="32"/>
      <c r="Y499" s="32"/>
      <c r="Z499" s="32"/>
    </row>
    <row r="500">
      <c r="A500" s="165" t="s">
        <v>1919</v>
      </c>
      <c r="B500" s="28"/>
      <c r="C500" s="22">
        <v>1700000.0</v>
      </c>
      <c r="D500" s="23">
        <v>2008.0</v>
      </c>
      <c r="E500" s="101">
        <v>39722.0</v>
      </c>
      <c r="F500" s="111" t="s">
        <v>1920</v>
      </c>
      <c r="G500" s="130" t="s">
        <v>64</v>
      </c>
      <c r="H500" s="26" t="s">
        <v>1034</v>
      </c>
      <c r="I500" s="130" t="s">
        <v>29</v>
      </c>
      <c r="J500" s="23">
        <v>5.0</v>
      </c>
      <c r="K500" s="57"/>
      <c r="L500" s="28"/>
      <c r="M500" s="53" t="s">
        <v>905</v>
      </c>
      <c r="N500" s="106" t="s">
        <v>1921</v>
      </c>
      <c r="O500" s="113"/>
      <c r="P500" s="32">
        <v>24.0</v>
      </c>
      <c r="Q500" s="32"/>
      <c r="R500" s="32"/>
      <c r="S500" s="32"/>
      <c r="T500" s="32"/>
      <c r="U500" s="32"/>
      <c r="V500" s="32"/>
      <c r="W500" s="32"/>
      <c r="X500" s="32"/>
      <c r="Y500" s="32"/>
      <c r="Z500" s="32"/>
    </row>
    <row r="501">
      <c r="A501" s="165" t="s">
        <v>1922</v>
      </c>
      <c r="B501" s="28"/>
      <c r="C501" s="22">
        <v>1.7E7</v>
      </c>
      <c r="D501" s="23">
        <v>2008.0</v>
      </c>
      <c r="E501" s="101">
        <v>39722.0</v>
      </c>
      <c r="F501" s="26" t="s">
        <v>1923</v>
      </c>
      <c r="G501" s="130" t="s">
        <v>129</v>
      </c>
      <c r="H501" s="26" t="s">
        <v>1034</v>
      </c>
      <c r="I501" s="28"/>
      <c r="J501" s="154">
        <v>1.0</v>
      </c>
      <c r="K501" s="57"/>
      <c r="L501" s="28"/>
      <c r="M501" s="34" t="s">
        <v>1643</v>
      </c>
      <c r="N501" s="106" t="s">
        <v>1924</v>
      </c>
      <c r="O501" s="109"/>
      <c r="P501" s="32">
        <v>23.0</v>
      </c>
      <c r="Q501" s="32"/>
      <c r="R501" s="32"/>
      <c r="S501" s="32"/>
      <c r="T501" s="32"/>
      <c r="U501" s="32"/>
      <c r="V501" s="32"/>
      <c r="W501" s="32"/>
      <c r="X501" s="32"/>
      <c r="Y501" s="32"/>
      <c r="Z501" s="32"/>
    </row>
    <row r="502">
      <c r="A502" s="165" t="s">
        <v>1925</v>
      </c>
      <c r="B502" s="28"/>
      <c r="C502" s="22">
        <v>3950000.0</v>
      </c>
      <c r="D502" s="23">
        <v>2008.0</v>
      </c>
      <c r="E502" s="101">
        <v>39692.0</v>
      </c>
      <c r="F502" s="26" t="s">
        <v>1926</v>
      </c>
      <c r="G502" s="130" t="s">
        <v>64</v>
      </c>
      <c r="H502" s="105" t="s">
        <v>142</v>
      </c>
      <c r="I502" s="130" t="s">
        <v>29</v>
      </c>
      <c r="J502" s="23">
        <v>2.0</v>
      </c>
      <c r="K502" s="57"/>
      <c r="L502" s="28"/>
      <c r="M502" s="53" t="s">
        <v>1917</v>
      </c>
      <c r="N502" s="106" t="s">
        <v>1927</v>
      </c>
      <c r="O502" s="113"/>
      <c r="P502" s="32">
        <v>22.0</v>
      </c>
      <c r="Q502" s="32"/>
      <c r="R502" s="32"/>
      <c r="S502" s="32"/>
      <c r="T502" s="32"/>
      <c r="U502" s="32"/>
      <c r="V502" s="32"/>
      <c r="W502" s="32"/>
      <c r="X502" s="32"/>
      <c r="Y502" s="32"/>
      <c r="Z502" s="32"/>
    </row>
    <row r="503">
      <c r="A503" s="165" t="s">
        <v>1928</v>
      </c>
      <c r="B503" s="53"/>
      <c r="C503" s="22">
        <v>50500.0</v>
      </c>
      <c r="D503" s="23">
        <v>2008.0</v>
      </c>
      <c r="E503" s="101">
        <v>39692.0</v>
      </c>
      <c r="F503" s="26" t="s">
        <v>1929</v>
      </c>
      <c r="G503" s="130" t="s">
        <v>64</v>
      </c>
      <c r="H503" s="26" t="s">
        <v>1034</v>
      </c>
      <c r="I503" s="28"/>
      <c r="J503" s="23">
        <v>2.0</v>
      </c>
      <c r="K503" s="57"/>
      <c r="L503" s="28"/>
      <c r="M503" s="53" t="s">
        <v>905</v>
      </c>
      <c r="N503" s="106" t="s">
        <v>1930</v>
      </c>
      <c r="O503" s="113"/>
      <c r="P503" s="32">
        <v>21.0</v>
      </c>
      <c r="Q503" s="32"/>
      <c r="R503" s="32"/>
      <c r="S503" s="32"/>
      <c r="T503" s="32"/>
      <c r="U503" s="32"/>
      <c r="V503" s="32"/>
      <c r="W503" s="32"/>
      <c r="X503" s="32"/>
      <c r="Y503" s="32"/>
      <c r="Z503" s="32"/>
    </row>
    <row r="504">
      <c r="A504" s="181" t="s">
        <v>1931</v>
      </c>
      <c r="B504" s="130" t="s">
        <v>1932</v>
      </c>
      <c r="C504" s="22">
        <v>1600000.0</v>
      </c>
      <c r="D504" s="23">
        <v>2007.0</v>
      </c>
      <c r="E504" s="101">
        <v>39295.0</v>
      </c>
      <c r="F504" s="26" t="s">
        <v>1933</v>
      </c>
      <c r="G504" s="130" t="s">
        <v>28</v>
      </c>
      <c r="H504" s="130" t="s">
        <v>23</v>
      </c>
      <c r="I504" s="130" t="s">
        <v>29</v>
      </c>
      <c r="J504" s="23">
        <v>2.0</v>
      </c>
      <c r="K504" s="57"/>
      <c r="L504" s="28"/>
      <c r="M504" s="53" t="s">
        <v>905</v>
      </c>
      <c r="N504" s="106" t="s">
        <v>1934</v>
      </c>
      <c r="O504" s="113"/>
      <c r="P504" s="32">
        <v>20.0</v>
      </c>
      <c r="Q504" s="32"/>
      <c r="R504" s="32"/>
      <c r="S504" s="32"/>
      <c r="T504" s="32"/>
      <c r="U504" s="32"/>
      <c r="V504" s="32"/>
      <c r="W504" s="32"/>
      <c r="X504" s="32"/>
      <c r="Y504" s="32"/>
      <c r="Z504" s="32"/>
    </row>
    <row r="505">
      <c r="A505" s="165" t="s">
        <v>1935</v>
      </c>
      <c r="B505" s="28"/>
      <c r="C505" s="22">
        <v>3000000.0</v>
      </c>
      <c r="D505" s="23">
        <v>2007.0</v>
      </c>
      <c r="E505" s="101">
        <v>39417.0</v>
      </c>
      <c r="F505" s="111" t="s">
        <v>1936</v>
      </c>
      <c r="G505" s="130" t="s">
        <v>64</v>
      </c>
      <c r="H505" s="26" t="s">
        <v>1034</v>
      </c>
      <c r="I505" s="28"/>
      <c r="J505" s="23">
        <v>2.0</v>
      </c>
      <c r="K505" s="57"/>
      <c r="L505" s="28"/>
      <c r="M505" s="53" t="s">
        <v>905</v>
      </c>
      <c r="N505" s="106" t="s">
        <v>1937</v>
      </c>
      <c r="O505" s="113"/>
      <c r="P505" s="32">
        <v>19.0</v>
      </c>
      <c r="Q505" s="32"/>
      <c r="R505" s="32"/>
      <c r="S505" s="32"/>
      <c r="T505" s="32"/>
      <c r="U505" s="32"/>
      <c r="V505" s="32"/>
      <c r="W505" s="32"/>
      <c r="X505" s="32"/>
      <c r="Y505" s="32"/>
      <c r="Z505" s="32"/>
    </row>
    <row r="506">
      <c r="A506" s="165" t="s">
        <v>1938</v>
      </c>
      <c r="B506" s="120"/>
      <c r="C506" s="22">
        <v>8500000.0</v>
      </c>
      <c r="D506" s="23">
        <v>2007.0</v>
      </c>
      <c r="E506" s="101">
        <v>39264.0</v>
      </c>
      <c r="F506" s="26" t="s">
        <v>1939</v>
      </c>
      <c r="G506" s="26" t="s">
        <v>58</v>
      </c>
      <c r="H506" s="130" t="s">
        <v>59</v>
      </c>
      <c r="I506" s="28"/>
      <c r="J506" s="23">
        <v>3.0</v>
      </c>
      <c r="K506" s="57"/>
      <c r="L506" s="28"/>
      <c r="M506" s="53" t="s">
        <v>1940</v>
      </c>
      <c r="N506" s="106" t="s">
        <v>1941</v>
      </c>
      <c r="O506" s="113"/>
      <c r="P506" s="32">
        <v>18.0</v>
      </c>
      <c r="Q506" s="32"/>
      <c r="R506" s="32"/>
      <c r="S506" s="32"/>
      <c r="T506" s="32"/>
      <c r="U506" s="32"/>
      <c r="V506" s="32"/>
      <c r="W506" s="32"/>
      <c r="X506" s="32"/>
      <c r="Y506" s="32"/>
      <c r="Z506" s="32"/>
    </row>
    <row r="507">
      <c r="A507" s="165" t="s">
        <v>1942</v>
      </c>
      <c r="B507" s="28"/>
      <c r="C507" s="22">
        <v>160000.0</v>
      </c>
      <c r="D507" s="23">
        <v>2007.0</v>
      </c>
      <c r="E507" s="101">
        <v>39417.0</v>
      </c>
      <c r="F507" s="111" t="s">
        <v>1943</v>
      </c>
      <c r="G507" s="130" t="s">
        <v>64</v>
      </c>
      <c r="H507" s="26" t="s">
        <v>1034</v>
      </c>
      <c r="I507" s="28"/>
      <c r="J507" s="23">
        <v>2.0</v>
      </c>
      <c r="K507" s="57"/>
      <c r="L507" s="28"/>
      <c r="M507" s="53" t="s">
        <v>1224</v>
      </c>
      <c r="N507" s="106" t="s">
        <v>1944</v>
      </c>
      <c r="O507" s="113"/>
      <c r="P507" s="32">
        <v>17.0</v>
      </c>
      <c r="Q507" s="32"/>
      <c r="R507" s="32"/>
      <c r="S507" s="32"/>
      <c r="T507" s="32"/>
      <c r="U507" s="32"/>
      <c r="V507" s="32"/>
      <c r="W507" s="32"/>
      <c r="X507" s="32"/>
      <c r="Y507" s="32"/>
      <c r="Z507" s="32"/>
    </row>
    <row r="508">
      <c r="A508" s="165" t="s">
        <v>1945</v>
      </c>
      <c r="B508" s="28"/>
      <c r="C508" s="22">
        <v>800000.0</v>
      </c>
      <c r="D508" s="23">
        <v>2007.0</v>
      </c>
      <c r="E508" s="101">
        <v>39326.0</v>
      </c>
      <c r="F508" s="26" t="s">
        <v>1946</v>
      </c>
      <c r="G508" s="130" t="s">
        <v>43</v>
      </c>
      <c r="H508" s="26" t="s">
        <v>1034</v>
      </c>
      <c r="I508" s="28"/>
      <c r="J508" s="23">
        <v>2.0</v>
      </c>
      <c r="K508" s="57"/>
      <c r="L508" s="28"/>
      <c r="M508" s="53" t="s">
        <v>1608</v>
      </c>
      <c r="N508" s="106" t="s">
        <v>1947</v>
      </c>
      <c r="O508" s="113"/>
      <c r="P508" s="32">
        <v>16.0</v>
      </c>
      <c r="Q508" s="32"/>
      <c r="R508" s="32"/>
      <c r="S508" s="32"/>
      <c r="T508" s="32"/>
      <c r="U508" s="32"/>
      <c r="V508" s="32"/>
      <c r="W508" s="32"/>
      <c r="X508" s="32"/>
      <c r="Y508" s="32"/>
      <c r="Z508" s="32"/>
    </row>
    <row r="509">
      <c r="A509" s="165" t="s">
        <v>1948</v>
      </c>
      <c r="B509" s="130" t="s">
        <v>1949</v>
      </c>
      <c r="C509" s="22">
        <v>8637405.0</v>
      </c>
      <c r="D509" s="23">
        <v>2007.0</v>
      </c>
      <c r="E509" s="101">
        <v>39142.0</v>
      </c>
      <c r="F509" s="26" t="s">
        <v>1950</v>
      </c>
      <c r="G509" s="130" t="s">
        <v>43</v>
      </c>
      <c r="H509" s="130" t="s">
        <v>59</v>
      </c>
      <c r="I509" s="28"/>
      <c r="J509" s="154">
        <v>1.0</v>
      </c>
      <c r="K509" s="57"/>
      <c r="L509" s="28"/>
      <c r="M509" s="34" t="s">
        <v>1951</v>
      </c>
      <c r="N509" s="106" t="s">
        <v>1952</v>
      </c>
      <c r="O509" s="113"/>
      <c r="P509" s="32">
        <v>15.0</v>
      </c>
      <c r="Q509" s="32"/>
      <c r="R509" s="32"/>
      <c r="S509" s="32"/>
      <c r="T509" s="32"/>
      <c r="U509" s="32"/>
      <c r="V509" s="32"/>
      <c r="W509" s="32"/>
      <c r="X509" s="32"/>
      <c r="Y509" s="32"/>
      <c r="Z509" s="32"/>
    </row>
    <row r="510">
      <c r="A510" s="165" t="s">
        <v>1953</v>
      </c>
      <c r="B510" s="130" t="s">
        <v>1954</v>
      </c>
      <c r="C510" s="22">
        <v>9.4E7</v>
      </c>
      <c r="D510" s="23">
        <v>2007.0</v>
      </c>
      <c r="E510" s="101">
        <v>39142.0</v>
      </c>
      <c r="F510" s="26" t="s">
        <v>1955</v>
      </c>
      <c r="G510" s="130" t="s">
        <v>43</v>
      </c>
      <c r="H510" s="130" t="s">
        <v>23</v>
      </c>
      <c r="I510" s="28"/>
      <c r="J510" s="23">
        <v>3.0</v>
      </c>
      <c r="K510" s="27" t="s">
        <v>1956</v>
      </c>
      <c r="L510" s="28"/>
      <c r="M510" s="120" t="s">
        <v>608</v>
      </c>
      <c r="N510" s="106" t="s">
        <v>1957</v>
      </c>
      <c r="O510" s="109"/>
      <c r="P510" s="32">
        <v>14.0</v>
      </c>
      <c r="Q510" s="32"/>
      <c r="R510" s="32"/>
      <c r="S510" s="32"/>
      <c r="T510" s="32"/>
      <c r="U510" s="32"/>
      <c r="V510" s="32"/>
      <c r="W510" s="32"/>
      <c r="X510" s="32"/>
      <c r="Y510" s="32"/>
      <c r="Z510" s="32"/>
    </row>
    <row r="511">
      <c r="A511" s="165" t="s">
        <v>1354</v>
      </c>
      <c r="B511" s="28"/>
      <c r="C511" s="22">
        <v>2600000.0</v>
      </c>
      <c r="D511" s="23">
        <v>2007.0</v>
      </c>
      <c r="E511" s="101">
        <v>39203.0</v>
      </c>
      <c r="F511" s="26" t="s">
        <v>1958</v>
      </c>
      <c r="G511" s="26" t="s">
        <v>58</v>
      </c>
      <c r="H511" s="26" t="s">
        <v>1034</v>
      </c>
      <c r="I511" s="130" t="s">
        <v>29</v>
      </c>
      <c r="J511" s="23">
        <v>3.0</v>
      </c>
      <c r="K511" s="57"/>
      <c r="L511" s="28"/>
      <c r="M511" s="105" t="s">
        <v>1608</v>
      </c>
      <c r="N511" s="106" t="s">
        <v>1959</v>
      </c>
      <c r="O511" s="113"/>
      <c r="P511" s="32">
        <v>13.0</v>
      </c>
      <c r="Q511" s="32"/>
      <c r="R511" s="32"/>
      <c r="S511" s="32"/>
      <c r="T511" s="32"/>
      <c r="U511" s="32"/>
      <c r="V511" s="32"/>
      <c r="W511" s="32"/>
      <c r="X511" s="32"/>
      <c r="Y511" s="32"/>
      <c r="Z511" s="32"/>
    </row>
    <row r="512">
      <c r="A512" s="165" t="s">
        <v>1960</v>
      </c>
      <c r="B512" s="130" t="s">
        <v>1961</v>
      </c>
      <c r="C512" s="22">
        <v>2.5E7</v>
      </c>
      <c r="D512" s="23">
        <v>2007.0</v>
      </c>
      <c r="E512" s="101">
        <v>39387.0</v>
      </c>
      <c r="F512" s="26" t="s">
        <v>1962</v>
      </c>
      <c r="G512" s="130" t="s">
        <v>64</v>
      </c>
      <c r="H512" s="26" t="s">
        <v>1034</v>
      </c>
      <c r="I512" s="28"/>
      <c r="J512" s="154">
        <v>1.0</v>
      </c>
      <c r="K512" s="57"/>
      <c r="L512" s="28"/>
      <c r="M512" s="53" t="s">
        <v>905</v>
      </c>
      <c r="N512" s="106" t="s">
        <v>1963</v>
      </c>
      <c r="O512" s="113"/>
      <c r="P512" s="32">
        <v>12.0</v>
      </c>
      <c r="Q512" s="32"/>
      <c r="R512" s="32"/>
      <c r="S512" s="32"/>
      <c r="T512" s="32"/>
      <c r="U512" s="32"/>
      <c r="V512" s="32"/>
      <c r="W512" s="32"/>
      <c r="X512" s="32"/>
      <c r="Y512" s="32"/>
      <c r="Z512" s="32"/>
    </row>
    <row r="513">
      <c r="A513" s="165" t="s">
        <v>1964</v>
      </c>
      <c r="B513" s="130" t="s">
        <v>1965</v>
      </c>
      <c r="C513" s="22">
        <v>6300000.0</v>
      </c>
      <c r="D513" s="23">
        <v>2007.0</v>
      </c>
      <c r="E513" s="101">
        <v>39326.0</v>
      </c>
      <c r="F513" s="26" t="s">
        <v>1966</v>
      </c>
      <c r="G513" s="26" t="s">
        <v>58</v>
      </c>
      <c r="H513" s="130" t="s">
        <v>23</v>
      </c>
      <c r="I513" s="28"/>
      <c r="J513" s="154">
        <v>1.0</v>
      </c>
      <c r="K513" s="57"/>
      <c r="L513" s="28"/>
      <c r="M513" s="105" t="s">
        <v>1967</v>
      </c>
      <c r="N513" s="106" t="s">
        <v>1968</v>
      </c>
      <c r="O513" s="106" t="s">
        <v>1969</v>
      </c>
      <c r="P513" s="32">
        <v>11.0</v>
      </c>
      <c r="Q513" s="32"/>
      <c r="R513" s="32"/>
      <c r="S513" s="32"/>
      <c r="T513" s="32"/>
      <c r="U513" s="32"/>
      <c r="V513" s="32"/>
      <c r="W513" s="32"/>
      <c r="X513" s="32"/>
      <c r="Y513" s="32"/>
      <c r="Z513" s="32"/>
    </row>
    <row r="514">
      <c r="A514" s="165" t="s">
        <v>1324</v>
      </c>
      <c r="B514" s="111" t="s">
        <v>1970</v>
      </c>
      <c r="C514" s="22">
        <v>2.0E7</v>
      </c>
      <c r="D514" s="23">
        <v>2006.0</v>
      </c>
      <c r="E514" s="101">
        <v>38930.0</v>
      </c>
      <c r="F514" s="26" t="s">
        <v>1971</v>
      </c>
      <c r="G514" s="130" t="s">
        <v>28</v>
      </c>
      <c r="H514" s="105" t="s">
        <v>142</v>
      </c>
      <c r="I514" s="130" t="s">
        <v>29</v>
      </c>
      <c r="J514" s="154">
        <v>1.0</v>
      </c>
      <c r="K514" s="57"/>
      <c r="L514" s="28"/>
      <c r="M514" s="120" t="s">
        <v>34</v>
      </c>
      <c r="N514" s="106" t="s">
        <v>1972</v>
      </c>
      <c r="O514" s="113"/>
      <c r="P514" s="32">
        <v>10.0</v>
      </c>
      <c r="Q514" s="32"/>
      <c r="R514" s="32"/>
      <c r="S514" s="32"/>
      <c r="T514" s="32"/>
      <c r="U514" s="32"/>
      <c r="V514" s="32"/>
      <c r="W514" s="32"/>
      <c r="X514" s="32"/>
      <c r="Y514" s="32"/>
      <c r="Z514" s="32"/>
    </row>
    <row r="515">
      <c r="A515" s="165" t="s">
        <v>1973</v>
      </c>
      <c r="B515" s="28"/>
      <c r="C515" s="22">
        <v>2.65E7</v>
      </c>
      <c r="D515" s="23">
        <v>2006.0</v>
      </c>
      <c r="E515" s="101">
        <v>38899.0</v>
      </c>
      <c r="F515" s="26" t="s">
        <v>1974</v>
      </c>
      <c r="G515" s="130" t="s">
        <v>1975</v>
      </c>
      <c r="H515" s="26" t="s">
        <v>1034</v>
      </c>
      <c r="I515" s="28"/>
      <c r="J515" s="23">
        <v>2.0</v>
      </c>
      <c r="K515" s="57"/>
      <c r="L515" s="28"/>
      <c r="M515" s="105" t="s">
        <v>1976</v>
      </c>
      <c r="N515" s="106" t="s">
        <v>1977</v>
      </c>
      <c r="O515" s="106" t="s">
        <v>1978</v>
      </c>
      <c r="P515" s="32">
        <v>9.0</v>
      </c>
      <c r="Q515" s="32"/>
      <c r="R515" s="32"/>
      <c r="S515" s="32"/>
      <c r="T515" s="32"/>
      <c r="U515" s="32"/>
      <c r="V515" s="32"/>
      <c r="W515" s="32"/>
      <c r="X515" s="32"/>
      <c r="Y515" s="32"/>
      <c r="Z515" s="32"/>
    </row>
    <row r="516">
      <c r="A516" s="165" t="s">
        <v>1979</v>
      </c>
      <c r="B516" s="130" t="s">
        <v>1980</v>
      </c>
      <c r="C516" s="22">
        <v>125000.0</v>
      </c>
      <c r="D516" s="23">
        <v>2006.0</v>
      </c>
      <c r="E516" s="101">
        <v>38899.0</v>
      </c>
      <c r="F516" s="34" t="s">
        <v>1981</v>
      </c>
      <c r="G516" s="26" t="s">
        <v>58</v>
      </c>
      <c r="H516" s="130" t="s">
        <v>51</v>
      </c>
      <c r="I516" s="28"/>
      <c r="J516" s="23">
        <v>2.0</v>
      </c>
      <c r="K516" s="57"/>
      <c r="L516" s="28"/>
      <c r="M516" s="53" t="s">
        <v>829</v>
      </c>
      <c r="N516" s="106" t="s">
        <v>1982</v>
      </c>
      <c r="O516" s="113"/>
      <c r="P516" s="32">
        <v>8.0</v>
      </c>
      <c r="Q516" s="32"/>
      <c r="R516" s="32"/>
      <c r="S516" s="32"/>
      <c r="T516" s="32"/>
      <c r="U516" s="32"/>
      <c r="V516" s="32"/>
      <c r="W516" s="32"/>
      <c r="X516" s="32"/>
      <c r="Y516" s="32"/>
      <c r="Z516" s="32"/>
    </row>
    <row r="517">
      <c r="A517" s="165" t="s">
        <v>1983</v>
      </c>
      <c r="B517" s="130" t="s">
        <v>1984</v>
      </c>
      <c r="C517" s="22">
        <v>4000000.0</v>
      </c>
      <c r="D517" s="23">
        <v>2006.0</v>
      </c>
      <c r="E517" s="101">
        <v>38869.0</v>
      </c>
      <c r="F517" s="26" t="s">
        <v>1985</v>
      </c>
      <c r="G517" s="130" t="s">
        <v>129</v>
      </c>
      <c r="H517" s="130" t="s">
        <v>23</v>
      </c>
      <c r="I517" s="130" t="s">
        <v>29</v>
      </c>
      <c r="J517" s="154">
        <v>1.0</v>
      </c>
      <c r="K517" s="57"/>
      <c r="L517" s="28"/>
      <c r="M517" s="120" t="s">
        <v>1839</v>
      </c>
      <c r="N517" s="106" t="s">
        <v>1986</v>
      </c>
      <c r="O517" s="113"/>
      <c r="P517" s="32">
        <v>7.0</v>
      </c>
      <c r="Q517" s="32"/>
      <c r="R517" s="32"/>
      <c r="S517" s="32"/>
      <c r="T517" s="32"/>
      <c r="U517" s="32"/>
      <c r="V517" s="32"/>
      <c r="W517" s="32"/>
      <c r="X517" s="32"/>
      <c r="Y517" s="32"/>
      <c r="Z517" s="32"/>
    </row>
    <row r="518">
      <c r="A518" s="165" t="s">
        <v>1987</v>
      </c>
      <c r="B518" s="28"/>
      <c r="C518" s="22">
        <v>200000.0</v>
      </c>
      <c r="D518" s="23">
        <v>2006.0</v>
      </c>
      <c r="E518" s="101">
        <v>38777.0</v>
      </c>
      <c r="F518" s="111" t="s">
        <v>1988</v>
      </c>
      <c r="G518" s="130" t="s">
        <v>1612</v>
      </c>
      <c r="H518" s="26" t="s">
        <v>1034</v>
      </c>
      <c r="I518" s="130" t="s">
        <v>29</v>
      </c>
      <c r="J518" s="23">
        <v>2.0</v>
      </c>
      <c r="K518" s="57"/>
      <c r="L518" s="28"/>
      <c r="M518" s="34" t="s">
        <v>1224</v>
      </c>
      <c r="N518" s="106" t="s">
        <v>1989</v>
      </c>
      <c r="O518" s="113"/>
      <c r="P518" s="32">
        <v>6.0</v>
      </c>
      <c r="Q518" s="32"/>
      <c r="R518" s="32"/>
      <c r="S518" s="32"/>
      <c r="T518" s="32"/>
      <c r="U518" s="32"/>
      <c r="V518" s="32"/>
      <c r="W518" s="32"/>
      <c r="X518" s="32"/>
      <c r="Y518" s="32"/>
      <c r="Z518" s="32"/>
    </row>
    <row r="519">
      <c r="A519" s="165" t="s">
        <v>1990</v>
      </c>
      <c r="B519" s="105" t="s">
        <v>1991</v>
      </c>
      <c r="C519" s="22">
        <v>200000.0</v>
      </c>
      <c r="D519" s="23">
        <v>2005.0</v>
      </c>
      <c r="E519" s="101">
        <v>38443.0</v>
      </c>
      <c r="F519" s="26" t="s">
        <v>1992</v>
      </c>
      <c r="G519" s="26" t="s">
        <v>58</v>
      </c>
      <c r="H519" s="26" t="s">
        <v>1034</v>
      </c>
      <c r="I519" s="28"/>
      <c r="J519" s="23">
        <v>2.0</v>
      </c>
      <c r="K519" s="57"/>
      <c r="L519" s="28"/>
      <c r="M519" s="53" t="s">
        <v>1993</v>
      </c>
      <c r="N519" s="106" t="s">
        <v>1994</v>
      </c>
      <c r="O519" s="113"/>
      <c r="P519" s="32">
        <v>5.0</v>
      </c>
      <c r="Q519" s="32"/>
      <c r="R519" s="32"/>
      <c r="S519" s="32"/>
      <c r="T519" s="32"/>
      <c r="U519" s="32"/>
      <c r="V519" s="32"/>
      <c r="W519" s="32"/>
      <c r="X519" s="32"/>
      <c r="Y519" s="32"/>
      <c r="Z519" s="32"/>
    </row>
    <row r="520">
      <c r="A520" s="165" t="s">
        <v>1400</v>
      </c>
      <c r="B520" s="28"/>
      <c r="C520" s="22">
        <v>3900000.0</v>
      </c>
      <c r="D520" s="23">
        <v>2005.0</v>
      </c>
      <c r="E520" s="101">
        <v>38504.0</v>
      </c>
      <c r="F520" s="26" t="s">
        <v>1995</v>
      </c>
      <c r="G520" s="26" t="s">
        <v>58</v>
      </c>
      <c r="H520" s="26" t="s">
        <v>1034</v>
      </c>
      <c r="I520" s="130" t="s">
        <v>29</v>
      </c>
      <c r="J520" s="23">
        <v>3.0</v>
      </c>
      <c r="K520" s="57"/>
      <c r="L520" s="28"/>
      <c r="M520" s="120" t="s">
        <v>841</v>
      </c>
      <c r="N520" s="135" t="s">
        <v>1996</v>
      </c>
      <c r="O520" s="113"/>
      <c r="P520" s="32">
        <v>4.0</v>
      </c>
      <c r="Q520" s="32"/>
      <c r="R520" s="32"/>
      <c r="S520" s="32"/>
      <c r="T520" s="32"/>
      <c r="U520" s="32"/>
      <c r="V520" s="32"/>
      <c r="W520" s="32"/>
      <c r="X520" s="32"/>
      <c r="Y520" s="32"/>
      <c r="Z520" s="32"/>
    </row>
    <row r="521">
      <c r="A521" s="165" t="s">
        <v>1997</v>
      </c>
      <c r="B521" s="130" t="s">
        <v>1998</v>
      </c>
      <c r="C521" s="22">
        <v>4.0E7</v>
      </c>
      <c r="D521" s="23">
        <v>2005.0</v>
      </c>
      <c r="E521" s="101">
        <v>38504.0</v>
      </c>
      <c r="F521" s="26" t="s">
        <v>1999</v>
      </c>
      <c r="G521" s="26" t="s">
        <v>58</v>
      </c>
      <c r="H521" s="130" t="s">
        <v>23</v>
      </c>
      <c r="I521" s="130" t="s">
        <v>29</v>
      </c>
      <c r="J521" s="23">
        <v>3.0</v>
      </c>
      <c r="K521" s="57"/>
      <c r="L521" s="28"/>
      <c r="M521" s="34" t="s">
        <v>410</v>
      </c>
      <c r="N521" s="106" t="s">
        <v>2000</v>
      </c>
      <c r="O521" s="113"/>
      <c r="P521" s="32">
        <v>3.0</v>
      </c>
      <c r="Q521" s="32"/>
      <c r="R521" s="32"/>
      <c r="S521" s="32"/>
      <c r="T521" s="32"/>
      <c r="U521" s="32"/>
      <c r="V521" s="32"/>
      <c r="W521" s="32"/>
      <c r="X521" s="32"/>
      <c r="Y521" s="32"/>
      <c r="Z521" s="32"/>
    </row>
    <row r="522">
      <c r="A522" s="165" t="s">
        <v>1324</v>
      </c>
      <c r="B522" s="111" t="s">
        <v>1970</v>
      </c>
      <c r="C522" s="22">
        <v>9.2E7</v>
      </c>
      <c r="D522" s="23">
        <v>2004.0</v>
      </c>
      <c r="E522" s="101">
        <v>38139.0</v>
      </c>
      <c r="F522" s="26" t="s">
        <v>2001</v>
      </c>
      <c r="G522" s="130" t="s">
        <v>28</v>
      </c>
      <c r="H522" s="26" t="s">
        <v>59</v>
      </c>
      <c r="I522" s="28"/>
      <c r="J522" s="154">
        <v>1.0</v>
      </c>
      <c r="K522" s="27" t="s">
        <v>2002</v>
      </c>
      <c r="L522" s="28"/>
      <c r="M522" s="120" t="s">
        <v>1088</v>
      </c>
      <c r="N522" s="106" t="s">
        <v>2003</v>
      </c>
      <c r="O522" s="109"/>
      <c r="P522" s="32">
        <v>2.0</v>
      </c>
      <c r="Q522" s="32"/>
      <c r="R522" s="32"/>
      <c r="S522" s="32"/>
      <c r="T522" s="32"/>
      <c r="U522" s="32"/>
      <c r="V522" s="32"/>
      <c r="W522" s="32"/>
      <c r="X522" s="32"/>
      <c r="Y522" s="32"/>
      <c r="Z522" s="32"/>
    </row>
    <row r="523">
      <c r="A523" s="186" t="s">
        <v>2004</v>
      </c>
      <c r="B523" s="187"/>
      <c r="C523" s="188">
        <v>10000.0</v>
      </c>
      <c r="D523" s="189">
        <v>2023.0</v>
      </c>
      <c r="E523" s="190" t="s">
        <v>2005</v>
      </c>
      <c r="F523" s="191" t="s">
        <v>2006</v>
      </c>
      <c r="G523" s="191" t="s">
        <v>2007</v>
      </c>
      <c r="H523" s="191" t="s">
        <v>23</v>
      </c>
      <c r="I523" s="191" t="s">
        <v>29</v>
      </c>
      <c r="J523" s="189">
        <v>4.0</v>
      </c>
      <c r="K523" s="192"/>
      <c r="L523" s="193"/>
      <c r="M523" s="191" t="s">
        <v>247</v>
      </c>
      <c r="N523" s="194" t="s">
        <v>2008</v>
      </c>
      <c r="O523" s="193"/>
      <c r="P523" s="191">
        <v>525.0</v>
      </c>
      <c r="Q523" s="32"/>
      <c r="R523" s="32"/>
      <c r="S523" s="32"/>
      <c r="T523" s="32"/>
      <c r="U523" s="32"/>
      <c r="V523" s="32"/>
      <c r="W523" s="32"/>
      <c r="X523" s="32"/>
      <c r="Y523" s="32"/>
      <c r="Z523" s="32"/>
    </row>
    <row r="524">
      <c r="A524" s="186" t="s">
        <v>2009</v>
      </c>
      <c r="B524" s="193"/>
      <c r="C524" s="195">
        <v>19444.0</v>
      </c>
      <c r="D524" s="189">
        <v>2023.0</v>
      </c>
      <c r="E524" s="190" t="s">
        <v>2005</v>
      </c>
      <c r="F524" s="191" t="s">
        <v>2010</v>
      </c>
      <c r="G524" s="191" t="s">
        <v>236</v>
      </c>
      <c r="H524" s="191" t="s">
        <v>23</v>
      </c>
      <c r="I524" s="196" t="s">
        <v>29</v>
      </c>
      <c r="J524" s="189">
        <v>2.0</v>
      </c>
      <c r="K524" s="192"/>
      <c r="L524" s="193"/>
      <c r="M524" s="191" t="s">
        <v>2011</v>
      </c>
      <c r="N524" s="194" t="s">
        <v>2012</v>
      </c>
      <c r="O524" s="194" t="s">
        <v>2013</v>
      </c>
      <c r="P524" s="191">
        <v>526.0</v>
      </c>
      <c r="Q524" s="32"/>
      <c r="R524" s="32"/>
      <c r="S524" s="32"/>
      <c r="T524" s="32"/>
      <c r="U524" s="32"/>
      <c r="V524" s="32"/>
      <c r="W524" s="32"/>
      <c r="X524" s="32"/>
      <c r="Y524" s="32"/>
      <c r="Z524" s="32"/>
    </row>
    <row r="525">
      <c r="A525" s="186" t="s">
        <v>2014</v>
      </c>
      <c r="B525" s="187"/>
      <c r="C525" s="195">
        <v>1.0E7</v>
      </c>
      <c r="D525" s="189">
        <v>2023.0</v>
      </c>
      <c r="E525" s="190" t="s">
        <v>2015</v>
      </c>
      <c r="F525" s="191" t="s">
        <v>2016</v>
      </c>
      <c r="G525" s="191" t="s">
        <v>43</v>
      </c>
      <c r="H525" s="191" t="s">
        <v>23</v>
      </c>
      <c r="I525" s="187"/>
      <c r="J525" s="189">
        <v>2.0</v>
      </c>
      <c r="K525" s="197" t="s">
        <v>2017</v>
      </c>
      <c r="L525" s="193"/>
      <c r="M525" s="191" t="s">
        <v>152</v>
      </c>
      <c r="N525" s="194" t="s">
        <v>2018</v>
      </c>
      <c r="O525" s="193"/>
      <c r="P525" s="191">
        <v>527.0</v>
      </c>
      <c r="Q525" s="32"/>
      <c r="R525" s="32"/>
      <c r="S525" s="32"/>
      <c r="T525" s="32"/>
      <c r="U525" s="32"/>
      <c r="V525" s="32"/>
      <c r="W525" s="32"/>
      <c r="X525" s="32"/>
      <c r="Y525" s="32"/>
      <c r="Z525" s="32"/>
    </row>
    <row r="526">
      <c r="A526" s="186" t="s">
        <v>2019</v>
      </c>
      <c r="B526" s="193"/>
      <c r="C526" s="188">
        <v>10000.0</v>
      </c>
      <c r="D526" s="189">
        <v>2023.0</v>
      </c>
      <c r="E526" s="190" t="s">
        <v>2015</v>
      </c>
      <c r="F526" s="191" t="s">
        <v>2020</v>
      </c>
      <c r="G526" s="191" t="s">
        <v>50</v>
      </c>
      <c r="H526" s="191" t="s">
        <v>23</v>
      </c>
      <c r="I526" s="187"/>
      <c r="J526" s="189">
        <v>3.0</v>
      </c>
      <c r="K526" s="192"/>
      <c r="L526" s="193"/>
      <c r="M526" s="191" t="s">
        <v>880</v>
      </c>
      <c r="N526" s="194" t="s">
        <v>2021</v>
      </c>
      <c r="O526" s="193"/>
      <c r="P526" s="191">
        <v>528.0</v>
      </c>
      <c r="Q526" s="32"/>
      <c r="R526" s="32"/>
      <c r="S526" s="32"/>
      <c r="T526" s="32"/>
      <c r="U526" s="32"/>
      <c r="V526" s="32"/>
      <c r="W526" s="32"/>
      <c r="X526" s="32"/>
      <c r="Y526" s="32"/>
      <c r="Z526" s="32"/>
    </row>
    <row r="527">
      <c r="A527" s="186" t="s">
        <v>378</v>
      </c>
      <c r="B527" s="191" t="s">
        <v>2022</v>
      </c>
      <c r="C527" s="195">
        <v>2150000.0</v>
      </c>
      <c r="D527" s="189">
        <v>2023.0</v>
      </c>
      <c r="E527" s="190" t="s">
        <v>2023</v>
      </c>
      <c r="F527" s="191" t="s">
        <v>2024</v>
      </c>
      <c r="G527" s="191" t="s">
        <v>22</v>
      </c>
      <c r="H527" s="191" t="s">
        <v>142</v>
      </c>
      <c r="I527" s="191" t="s">
        <v>29</v>
      </c>
      <c r="J527" s="189">
        <v>1.0</v>
      </c>
      <c r="K527" s="192"/>
      <c r="L527" s="193"/>
      <c r="M527" s="191" t="s">
        <v>2025</v>
      </c>
      <c r="N527" s="194" t="s">
        <v>2026</v>
      </c>
      <c r="O527" s="193"/>
      <c r="P527" s="191">
        <v>529.0</v>
      </c>
      <c r="Q527" s="32"/>
      <c r="R527" s="32"/>
      <c r="S527" s="32"/>
      <c r="T527" s="32"/>
      <c r="U527" s="32"/>
      <c r="V527" s="32"/>
      <c r="W527" s="32"/>
      <c r="X527" s="32"/>
      <c r="Y527" s="32"/>
      <c r="Z527" s="32"/>
    </row>
    <row r="528">
      <c r="A528" s="186" t="s">
        <v>2027</v>
      </c>
      <c r="B528" s="193"/>
      <c r="C528" s="195">
        <v>4.0E7</v>
      </c>
      <c r="D528" s="189">
        <v>2023.0</v>
      </c>
      <c r="E528" s="190" t="s">
        <v>2028</v>
      </c>
      <c r="F528" s="191" t="s">
        <v>2029</v>
      </c>
      <c r="G528" s="191" t="s">
        <v>64</v>
      </c>
      <c r="H528" s="191" t="s">
        <v>51</v>
      </c>
      <c r="I528" s="191" t="s">
        <v>29</v>
      </c>
      <c r="J528" s="189">
        <v>2.0</v>
      </c>
      <c r="K528" s="197" t="s">
        <v>2030</v>
      </c>
      <c r="L528" s="193"/>
      <c r="M528" s="191" t="s">
        <v>325</v>
      </c>
      <c r="N528" s="194" t="s">
        <v>2031</v>
      </c>
      <c r="O528" s="193"/>
      <c r="P528" s="191">
        <v>530.0</v>
      </c>
      <c r="Q528" s="32"/>
      <c r="R528" s="32"/>
      <c r="S528" s="32"/>
      <c r="T528" s="32"/>
      <c r="U528" s="32"/>
      <c r="V528" s="32"/>
      <c r="W528" s="32"/>
      <c r="X528" s="32"/>
      <c r="Y528" s="32"/>
      <c r="Z528" s="32"/>
    </row>
    <row r="529">
      <c r="A529" s="186" t="s">
        <v>2032</v>
      </c>
      <c r="B529" s="191" t="s">
        <v>2033</v>
      </c>
      <c r="C529" s="195">
        <v>126970.0</v>
      </c>
      <c r="D529" s="189">
        <v>2023.0</v>
      </c>
      <c r="E529" s="190" t="s">
        <v>2034</v>
      </c>
      <c r="F529" s="191" t="s">
        <v>2035</v>
      </c>
      <c r="G529" s="191" t="s">
        <v>50</v>
      </c>
      <c r="H529" s="191" t="s">
        <v>51</v>
      </c>
      <c r="I529" s="187"/>
      <c r="J529" s="189">
        <v>2.0</v>
      </c>
      <c r="K529" s="192"/>
      <c r="L529" s="193"/>
      <c r="M529" s="191" t="s">
        <v>152</v>
      </c>
      <c r="N529" s="194" t="s">
        <v>2036</v>
      </c>
      <c r="O529" s="194" t="s">
        <v>2037</v>
      </c>
      <c r="P529" s="191">
        <v>531.0</v>
      </c>
      <c r="Q529" s="32"/>
      <c r="R529" s="32"/>
      <c r="S529" s="32"/>
      <c r="T529" s="32"/>
      <c r="U529" s="32"/>
      <c r="V529" s="32"/>
      <c r="W529" s="32"/>
      <c r="X529" s="32"/>
      <c r="Y529" s="32"/>
      <c r="Z529" s="32"/>
    </row>
    <row r="530">
      <c r="A530" s="198" t="s">
        <v>2038</v>
      </c>
      <c r="B530" s="191" t="s">
        <v>2039</v>
      </c>
      <c r="C530" s="188">
        <v>10000.0</v>
      </c>
      <c r="D530" s="189">
        <v>2023.0</v>
      </c>
      <c r="E530" s="190" t="s">
        <v>2040</v>
      </c>
      <c r="F530" s="191" t="s">
        <v>2041</v>
      </c>
      <c r="G530" s="191" t="s">
        <v>64</v>
      </c>
      <c r="H530" s="191" t="s">
        <v>23</v>
      </c>
      <c r="I530" s="191" t="s">
        <v>29</v>
      </c>
      <c r="J530" s="189">
        <v>3.0</v>
      </c>
      <c r="K530" s="192"/>
      <c r="L530" s="193"/>
      <c r="M530" s="191" t="s">
        <v>2042</v>
      </c>
      <c r="N530" s="194" t="s">
        <v>2043</v>
      </c>
      <c r="O530" s="193"/>
      <c r="P530" s="191">
        <v>532.0</v>
      </c>
      <c r="Q530" s="32"/>
      <c r="R530" s="32"/>
      <c r="S530" s="32"/>
      <c r="T530" s="32"/>
      <c r="U530" s="32"/>
      <c r="V530" s="32"/>
      <c r="W530" s="32"/>
      <c r="X530" s="32"/>
      <c r="Y530" s="32"/>
      <c r="Z530" s="32"/>
    </row>
    <row r="531">
      <c r="A531" s="186" t="s">
        <v>2044</v>
      </c>
      <c r="B531" s="191" t="s">
        <v>2045</v>
      </c>
      <c r="C531" s="195">
        <v>82128.0</v>
      </c>
      <c r="D531" s="189">
        <v>2023.0</v>
      </c>
      <c r="E531" s="190" t="s">
        <v>2046</v>
      </c>
      <c r="F531" s="191" t="s">
        <v>2047</v>
      </c>
      <c r="G531" s="191" t="s">
        <v>2007</v>
      </c>
      <c r="H531" s="191" t="s">
        <v>23</v>
      </c>
      <c r="I531" s="187"/>
      <c r="J531" s="189">
        <v>3.0</v>
      </c>
      <c r="K531" s="192"/>
      <c r="L531" s="193"/>
      <c r="M531" s="191" t="s">
        <v>152</v>
      </c>
      <c r="N531" s="194" t="s">
        <v>2048</v>
      </c>
      <c r="O531" s="193"/>
      <c r="P531" s="191">
        <v>534.0</v>
      </c>
      <c r="Q531" s="32"/>
      <c r="R531" s="32"/>
      <c r="S531" s="32"/>
      <c r="T531" s="32"/>
      <c r="U531" s="32"/>
      <c r="V531" s="32"/>
      <c r="W531" s="32"/>
      <c r="X531" s="32"/>
      <c r="Y531" s="32"/>
      <c r="Z531" s="32"/>
    </row>
    <row r="532">
      <c r="A532" s="186" t="s">
        <v>2049</v>
      </c>
      <c r="B532" s="191" t="s">
        <v>2050</v>
      </c>
      <c r="C532" s="188">
        <v>950000.0</v>
      </c>
      <c r="D532" s="189">
        <v>2023.0</v>
      </c>
      <c r="E532" s="190" t="s">
        <v>2046</v>
      </c>
      <c r="F532" s="191" t="s">
        <v>2051</v>
      </c>
      <c r="G532" s="191" t="s">
        <v>50</v>
      </c>
      <c r="H532" s="191" t="s">
        <v>23</v>
      </c>
      <c r="I532" s="187"/>
      <c r="J532" s="189">
        <v>2.0</v>
      </c>
      <c r="K532" s="192"/>
      <c r="L532" s="193"/>
      <c r="M532" s="191" t="s">
        <v>325</v>
      </c>
      <c r="N532" s="194" t="s">
        <v>2052</v>
      </c>
      <c r="O532" s="187"/>
      <c r="P532" s="191">
        <v>535.0</v>
      </c>
      <c r="Q532" s="32"/>
      <c r="R532" s="32"/>
      <c r="S532" s="32"/>
      <c r="T532" s="32"/>
      <c r="U532" s="32"/>
      <c r="V532" s="32"/>
      <c r="W532" s="32"/>
      <c r="X532" s="32"/>
      <c r="Y532" s="32"/>
      <c r="Z532" s="32"/>
    </row>
    <row r="533">
      <c r="A533" s="186" t="s">
        <v>2053</v>
      </c>
      <c r="B533" s="193"/>
      <c r="C533" s="195">
        <v>40000.0</v>
      </c>
      <c r="D533" s="189">
        <v>2020.0</v>
      </c>
      <c r="E533" s="190" t="s">
        <v>2054</v>
      </c>
      <c r="F533" s="191" t="s">
        <v>2055</v>
      </c>
      <c r="G533" s="191" t="s">
        <v>89</v>
      </c>
      <c r="H533" s="191" t="s">
        <v>23</v>
      </c>
      <c r="I533" s="191" t="s">
        <v>29</v>
      </c>
      <c r="J533" s="189">
        <v>5.0</v>
      </c>
      <c r="K533" s="192"/>
      <c r="L533" s="193"/>
      <c r="M533" s="191" t="s">
        <v>1882</v>
      </c>
      <c r="N533" s="194" t="s">
        <v>2056</v>
      </c>
      <c r="O533" s="187"/>
      <c r="P533" s="191">
        <v>536.0</v>
      </c>
      <c r="Q533" s="32"/>
      <c r="R533" s="32"/>
      <c r="S533" s="32"/>
      <c r="T533" s="32"/>
      <c r="U533" s="32"/>
      <c r="V533" s="32"/>
      <c r="W533" s="32"/>
      <c r="X533" s="32"/>
      <c r="Y533" s="32"/>
      <c r="Z533" s="32"/>
    </row>
    <row r="534">
      <c r="A534" s="186" t="s">
        <v>2057</v>
      </c>
      <c r="B534" s="193"/>
      <c r="C534" s="195">
        <v>6.2E7</v>
      </c>
      <c r="D534" s="189">
        <v>2025.0</v>
      </c>
      <c r="E534" s="190" t="s">
        <v>2058</v>
      </c>
      <c r="F534" s="191" t="s">
        <v>2059</v>
      </c>
      <c r="G534" s="191" t="s">
        <v>2060</v>
      </c>
      <c r="H534" s="191" t="s">
        <v>23</v>
      </c>
      <c r="I534" s="191" t="s">
        <v>29</v>
      </c>
      <c r="J534" s="189">
        <v>4.0</v>
      </c>
      <c r="K534" s="197" t="s">
        <v>2061</v>
      </c>
      <c r="L534" s="193"/>
      <c r="M534" s="191" t="s">
        <v>2062</v>
      </c>
      <c r="N534" s="194" t="s">
        <v>2063</v>
      </c>
      <c r="O534" s="194" t="s">
        <v>2064</v>
      </c>
      <c r="P534" s="191">
        <v>537.0</v>
      </c>
      <c r="Q534" s="32"/>
      <c r="R534" s="32"/>
      <c r="S534" s="32"/>
      <c r="T534" s="32"/>
      <c r="U534" s="32"/>
      <c r="V534" s="32"/>
      <c r="W534" s="32"/>
      <c r="X534" s="32"/>
      <c r="Y534" s="32"/>
      <c r="Z534" s="32"/>
    </row>
    <row r="535">
      <c r="A535" s="186" t="s">
        <v>2065</v>
      </c>
      <c r="B535" s="193"/>
      <c r="C535" s="195">
        <v>2.98E7</v>
      </c>
      <c r="D535" s="189">
        <v>2026.0</v>
      </c>
      <c r="E535" s="190" t="s">
        <v>2066</v>
      </c>
      <c r="F535" s="191" t="s">
        <v>2067</v>
      </c>
      <c r="G535" s="191" t="s">
        <v>2007</v>
      </c>
      <c r="H535" s="191" t="s">
        <v>23</v>
      </c>
      <c r="I535" s="187"/>
      <c r="J535" s="189">
        <v>1.0</v>
      </c>
      <c r="K535" s="192"/>
      <c r="L535" s="193"/>
      <c r="M535" s="191" t="s">
        <v>72</v>
      </c>
      <c r="N535" s="194" t="s">
        <v>2068</v>
      </c>
      <c r="O535" s="194" t="s">
        <v>2069</v>
      </c>
      <c r="P535" s="191">
        <v>538.0</v>
      </c>
      <c r="Q535" s="32"/>
      <c r="R535" s="32"/>
      <c r="S535" s="32"/>
      <c r="T535" s="32"/>
      <c r="U535" s="32"/>
      <c r="V535" s="32"/>
      <c r="W535" s="32"/>
      <c r="X535" s="32"/>
      <c r="Y535" s="32"/>
      <c r="Z535" s="32"/>
    </row>
    <row r="536">
      <c r="A536" s="186" t="s">
        <v>2070</v>
      </c>
      <c r="B536" s="193"/>
      <c r="C536" s="195">
        <v>3.37E7</v>
      </c>
      <c r="D536" s="189">
        <v>2025.0</v>
      </c>
      <c r="E536" s="190" t="s">
        <v>2071</v>
      </c>
      <c r="F536" s="191" t="s">
        <v>2072</v>
      </c>
      <c r="G536" s="191" t="s">
        <v>43</v>
      </c>
      <c r="H536" s="191" t="s">
        <v>59</v>
      </c>
      <c r="I536" s="191" t="s">
        <v>29</v>
      </c>
      <c r="J536" s="189">
        <v>2.0</v>
      </c>
      <c r="K536" s="192"/>
      <c r="L536" s="193"/>
      <c r="M536" s="191" t="s">
        <v>152</v>
      </c>
      <c r="N536" s="194" t="s">
        <v>2073</v>
      </c>
      <c r="O536" s="194" t="s">
        <v>2074</v>
      </c>
      <c r="P536" s="191">
        <v>539.0</v>
      </c>
      <c r="Q536" s="32"/>
      <c r="R536" s="32"/>
      <c r="S536" s="32"/>
      <c r="T536" s="32"/>
      <c r="U536" s="32"/>
      <c r="V536" s="32"/>
      <c r="W536" s="32"/>
      <c r="X536" s="32"/>
      <c r="Y536" s="32"/>
      <c r="Z536" s="32"/>
    </row>
    <row r="537">
      <c r="A537" s="186" t="s">
        <v>2075</v>
      </c>
      <c r="B537" s="191" t="s">
        <v>2076</v>
      </c>
      <c r="C537" s="195">
        <v>1.127E7</v>
      </c>
      <c r="D537" s="189">
        <v>2023.0</v>
      </c>
      <c r="E537" s="190" t="s">
        <v>2077</v>
      </c>
      <c r="F537" s="191" t="s">
        <v>2078</v>
      </c>
      <c r="G537" s="191" t="s">
        <v>89</v>
      </c>
      <c r="H537" s="191" t="s">
        <v>23</v>
      </c>
      <c r="I537" s="187"/>
      <c r="J537" s="189">
        <v>3.0</v>
      </c>
      <c r="K537" s="192"/>
      <c r="L537" s="193"/>
      <c r="M537" s="194" t="s">
        <v>2079</v>
      </c>
      <c r="N537" s="194" t="s">
        <v>2080</v>
      </c>
      <c r="O537" s="194" t="s">
        <v>2081</v>
      </c>
      <c r="P537" s="191">
        <v>540.0</v>
      </c>
      <c r="Q537" s="32"/>
      <c r="R537" s="32"/>
      <c r="S537" s="32"/>
      <c r="T537" s="32"/>
      <c r="U537" s="32"/>
      <c r="V537" s="32"/>
      <c r="W537" s="32"/>
      <c r="X537" s="32"/>
      <c r="Y537" s="32"/>
      <c r="Z537" s="32"/>
    </row>
    <row r="538">
      <c r="A538" s="186" t="s">
        <v>2082</v>
      </c>
      <c r="B538" s="191" t="s">
        <v>2083</v>
      </c>
      <c r="C538" s="195">
        <v>100000.0</v>
      </c>
      <c r="D538" s="189">
        <v>2021.0</v>
      </c>
      <c r="E538" s="190" t="s">
        <v>2084</v>
      </c>
      <c r="F538" s="191" t="s">
        <v>2085</v>
      </c>
      <c r="G538" s="191" t="s">
        <v>89</v>
      </c>
      <c r="H538" s="191" t="s">
        <v>23</v>
      </c>
      <c r="I538" s="191" t="s">
        <v>29</v>
      </c>
      <c r="J538" s="189">
        <v>5.0</v>
      </c>
      <c r="K538" s="192"/>
      <c r="L538" s="193"/>
      <c r="M538" s="191" t="s">
        <v>829</v>
      </c>
      <c r="N538" s="194" t="s">
        <v>2086</v>
      </c>
      <c r="O538" s="194" t="s">
        <v>2087</v>
      </c>
      <c r="P538" s="191">
        <v>541.0</v>
      </c>
      <c r="Q538" s="32"/>
      <c r="R538" s="32"/>
      <c r="S538" s="32"/>
      <c r="T538" s="32"/>
      <c r="U538" s="32"/>
      <c r="V538" s="32"/>
      <c r="W538" s="32"/>
      <c r="X538" s="32"/>
      <c r="Y538" s="32"/>
      <c r="Z538" s="32"/>
    </row>
    <row r="539">
      <c r="A539" s="186" t="s">
        <v>2088</v>
      </c>
      <c r="B539" s="191" t="s">
        <v>2089</v>
      </c>
      <c r="C539" s="188">
        <v>10000.0</v>
      </c>
      <c r="D539" s="189">
        <v>2023.0</v>
      </c>
      <c r="E539" s="190" t="s">
        <v>2034</v>
      </c>
      <c r="F539" s="191" t="s">
        <v>2090</v>
      </c>
      <c r="G539" s="191" t="s">
        <v>50</v>
      </c>
      <c r="H539" s="191" t="s">
        <v>23</v>
      </c>
      <c r="I539" s="191" t="s">
        <v>29</v>
      </c>
      <c r="J539" s="189">
        <v>2.0</v>
      </c>
      <c r="K539" s="192"/>
      <c r="L539" s="193"/>
      <c r="M539" s="191" t="s">
        <v>152</v>
      </c>
      <c r="N539" s="194" t="s">
        <v>2091</v>
      </c>
      <c r="O539" s="194" t="s">
        <v>2092</v>
      </c>
      <c r="P539" s="191">
        <v>542.0</v>
      </c>
      <c r="Q539" s="32"/>
      <c r="R539" s="32"/>
      <c r="S539" s="32"/>
      <c r="T539" s="32"/>
      <c r="U539" s="32"/>
      <c r="V539" s="32"/>
      <c r="W539" s="32"/>
      <c r="X539" s="32"/>
      <c r="Y539" s="32"/>
      <c r="Z539" s="32"/>
    </row>
    <row r="540">
      <c r="A540" s="186" t="s">
        <v>2093</v>
      </c>
      <c r="B540" s="191" t="s">
        <v>2094</v>
      </c>
      <c r="C540" s="195">
        <v>61000.0</v>
      </c>
      <c r="D540" s="189">
        <v>2023.0</v>
      </c>
      <c r="E540" s="190" t="s">
        <v>2095</v>
      </c>
      <c r="F540" s="191" t="s">
        <v>2096</v>
      </c>
      <c r="G540" s="191" t="s">
        <v>64</v>
      </c>
      <c r="H540" s="191" t="s">
        <v>142</v>
      </c>
      <c r="I540" s="187"/>
      <c r="J540" s="189">
        <v>2.0</v>
      </c>
      <c r="K540" s="192"/>
      <c r="L540" s="193"/>
      <c r="M540" s="191" t="s">
        <v>152</v>
      </c>
      <c r="N540" s="194" t="s">
        <v>2097</v>
      </c>
      <c r="O540" s="194" t="s">
        <v>2098</v>
      </c>
      <c r="P540" s="191">
        <v>543.0</v>
      </c>
      <c r="Q540" s="32"/>
      <c r="R540" s="32"/>
      <c r="S540" s="32"/>
      <c r="T540" s="32"/>
      <c r="U540" s="32"/>
      <c r="V540" s="32"/>
      <c r="W540" s="32"/>
      <c r="X540" s="32"/>
      <c r="Y540" s="32"/>
      <c r="Z540" s="32"/>
    </row>
    <row r="541">
      <c r="A541" s="199" t="s">
        <v>2099</v>
      </c>
      <c r="B541" s="200" t="s">
        <v>2100</v>
      </c>
      <c r="C541" s="201">
        <v>2.15E7</v>
      </c>
      <c r="D541" s="202">
        <v>2014.0</v>
      </c>
      <c r="E541" s="203" t="s">
        <v>2101</v>
      </c>
      <c r="F541" s="204" t="s">
        <v>2102</v>
      </c>
      <c r="G541" s="191" t="s">
        <v>64</v>
      </c>
      <c r="H541" s="205" t="s">
        <v>23</v>
      </c>
      <c r="I541" s="205" t="s">
        <v>29</v>
      </c>
      <c r="J541" s="202">
        <v>5.0</v>
      </c>
      <c r="K541" s="206"/>
      <c r="L541" s="207"/>
      <c r="M541" s="208" t="s">
        <v>1882</v>
      </c>
      <c r="N541" s="209" t="s">
        <v>2103</v>
      </c>
      <c r="O541" s="210"/>
      <c r="P541" s="211">
        <v>544.0</v>
      </c>
      <c r="Q541" s="32"/>
      <c r="R541" s="32"/>
      <c r="S541" s="32"/>
      <c r="T541" s="32"/>
      <c r="U541" s="32"/>
      <c r="V541" s="32"/>
      <c r="W541" s="32"/>
      <c r="X541" s="32"/>
      <c r="Y541" s="32"/>
      <c r="Z541" s="32"/>
    </row>
    <row r="542">
      <c r="A542" s="165"/>
      <c r="B542" s="51"/>
      <c r="C542" s="22"/>
      <c r="D542" s="23"/>
      <c r="E542" s="101"/>
      <c r="F542" s="26"/>
      <c r="G542" s="130"/>
      <c r="H542" s="26"/>
      <c r="I542" s="28"/>
      <c r="J542" s="154"/>
      <c r="K542" s="27"/>
      <c r="L542" s="28"/>
      <c r="M542" s="53"/>
      <c r="N542" s="31"/>
      <c r="O542" s="31"/>
      <c r="P542" s="32"/>
      <c r="Q542" s="32"/>
      <c r="R542" s="32"/>
      <c r="S542" s="32"/>
      <c r="T542" s="32"/>
      <c r="U542" s="32"/>
      <c r="V542" s="32"/>
      <c r="W542" s="32"/>
      <c r="X542" s="32"/>
      <c r="Y542" s="32"/>
      <c r="Z542" s="32"/>
    </row>
    <row r="543">
      <c r="A543" s="165"/>
      <c r="B543" s="51"/>
      <c r="C543" s="22"/>
      <c r="D543" s="23"/>
      <c r="E543" s="101"/>
      <c r="F543" s="26"/>
      <c r="G543" s="130"/>
      <c r="H543" s="26"/>
      <c r="I543" s="28"/>
      <c r="J543" s="154"/>
      <c r="K543" s="27"/>
      <c r="L543" s="28"/>
      <c r="M543" s="53"/>
      <c r="N543" s="31"/>
      <c r="O543" s="31"/>
      <c r="P543" s="32"/>
      <c r="Q543" s="32"/>
      <c r="R543" s="32"/>
      <c r="S543" s="32"/>
      <c r="T543" s="32"/>
      <c r="U543" s="32"/>
      <c r="V543" s="32"/>
      <c r="W543" s="32"/>
      <c r="X543" s="32"/>
      <c r="Y543" s="32"/>
      <c r="Z543" s="32"/>
    </row>
    <row r="544">
      <c r="A544" s="165"/>
      <c r="B544" s="51"/>
      <c r="C544" s="22"/>
      <c r="D544" s="23"/>
      <c r="E544" s="101"/>
      <c r="F544" s="26"/>
      <c r="G544" s="130"/>
      <c r="H544" s="26"/>
      <c r="I544" s="28"/>
      <c r="J544" s="154"/>
      <c r="K544" s="27"/>
      <c r="L544" s="28"/>
      <c r="M544" s="53"/>
      <c r="N544" s="31"/>
      <c r="O544" s="31"/>
      <c r="P544" s="32"/>
      <c r="Q544" s="32"/>
      <c r="R544" s="32"/>
      <c r="S544" s="32"/>
      <c r="T544" s="32"/>
      <c r="U544" s="32"/>
      <c r="V544" s="32"/>
      <c r="W544" s="32"/>
      <c r="X544" s="32"/>
      <c r="Y544" s="32"/>
      <c r="Z544" s="32"/>
    </row>
    <row r="545">
      <c r="A545" s="165"/>
      <c r="B545" s="51"/>
      <c r="C545" s="22"/>
      <c r="D545" s="23"/>
      <c r="E545" s="101"/>
      <c r="F545" s="26"/>
      <c r="G545" s="130"/>
      <c r="H545" s="26"/>
      <c r="I545" s="28"/>
      <c r="J545" s="154"/>
      <c r="K545" s="27"/>
      <c r="L545" s="28"/>
      <c r="M545" s="53"/>
      <c r="N545" s="31"/>
      <c r="O545" s="31"/>
      <c r="P545" s="32"/>
      <c r="Q545" s="32"/>
      <c r="R545" s="32"/>
      <c r="S545" s="32"/>
      <c r="T545" s="32"/>
      <c r="U545" s="32"/>
      <c r="V545" s="32"/>
      <c r="W545" s="32"/>
      <c r="X545" s="32"/>
      <c r="Y545" s="32"/>
      <c r="Z545" s="32"/>
    </row>
    <row r="546">
      <c r="A546" s="165"/>
      <c r="B546" s="51"/>
      <c r="C546" s="22"/>
      <c r="D546" s="23"/>
      <c r="E546" s="101"/>
      <c r="F546" s="26"/>
      <c r="G546" s="130"/>
      <c r="H546" s="26"/>
      <c r="I546" s="28"/>
      <c r="J546" s="154"/>
      <c r="K546" s="27"/>
      <c r="L546" s="28"/>
      <c r="M546" s="53"/>
      <c r="N546" s="31"/>
      <c r="O546" s="31"/>
      <c r="P546" s="32"/>
      <c r="Q546" s="32"/>
      <c r="R546" s="32"/>
      <c r="S546" s="32"/>
      <c r="T546" s="32"/>
      <c r="U546" s="32"/>
      <c r="V546" s="32"/>
      <c r="W546" s="32"/>
      <c r="X546" s="32"/>
      <c r="Y546" s="32"/>
      <c r="Z546" s="32"/>
    </row>
    <row r="547">
      <c r="A547" s="165"/>
      <c r="B547" s="51"/>
      <c r="C547" s="22"/>
      <c r="D547" s="23"/>
      <c r="E547" s="101"/>
      <c r="F547" s="26"/>
      <c r="G547" s="130"/>
      <c r="H547" s="26"/>
      <c r="I547" s="28"/>
      <c r="J547" s="154"/>
      <c r="K547" s="27"/>
      <c r="L547" s="28"/>
      <c r="M547" s="53"/>
      <c r="N547" s="31"/>
      <c r="O547" s="31"/>
      <c r="P547" s="32"/>
      <c r="Q547" s="32"/>
      <c r="R547" s="32"/>
      <c r="S547" s="32"/>
      <c r="T547" s="32"/>
      <c r="U547" s="32"/>
      <c r="V547" s="32"/>
      <c r="W547" s="32"/>
      <c r="X547" s="32"/>
      <c r="Y547" s="32"/>
      <c r="Z547" s="32"/>
    </row>
  </sheetData>
  <hyperlinks>
    <hyperlink r:id="rId1" ref="A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A20"/>
    <hyperlink r:id="rId20" ref="N20"/>
    <hyperlink r:id="rId21" ref="N21"/>
    <hyperlink r:id="rId22" ref="N22"/>
    <hyperlink r:id="rId23" ref="N23"/>
    <hyperlink r:id="rId24" ref="N24"/>
    <hyperlink r:id="rId25" ref="N25"/>
    <hyperlink r:id="rId26" ref="N26"/>
    <hyperlink r:id="rId27" ref="N27"/>
    <hyperlink r:id="rId28" ref="N28"/>
    <hyperlink r:id="rId29" ref="N29"/>
    <hyperlink r:id="rId30" ref="N30"/>
    <hyperlink r:id="rId31" ref="N31"/>
    <hyperlink r:id="rId32" ref="N32"/>
    <hyperlink r:id="rId33" ref="N33"/>
    <hyperlink r:id="rId34" ref="N34"/>
    <hyperlink r:id="rId35" ref="N35"/>
    <hyperlink r:id="rId36" ref="N36"/>
    <hyperlink r:id="rId37" ref="N37"/>
    <hyperlink r:id="rId38" ref="N38"/>
    <hyperlink r:id="rId39" ref="N39"/>
    <hyperlink r:id="rId40" ref="N40"/>
    <hyperlink r:id="rId41" ref="N41"/>
    <hyperlink r:id="rId42" ref="N42"/>
    <hyperlink r:id="rId43" ref="N43"/>
    <hyperlink r:id="rId44" ref="N44"/>
    <hyperlink r:id="rId45" ref="N45"/>
    <hyperlink r:id="rId46" ref="N46"/>
    <hyperlink r:id="rId47" ref="N47"/>
    <hyperlink r:id="rId48" ref="N48"/>
    <hyperlink r:id="rId49" ref="N49"/>
    <hyperlink r:id="rId50" ref="N50"/>
    <hyperlink r:id="rId51" ref="O50"/>
    <hyperlink r:id="rId52" ref="N51"/>
    <hyperlink r:id="rId53" ref="O51"/>
    <hyperlink r:id="rId54" ref="N52"/>
    <hyperlink r:id="rId55" ref="O52"/>
    <hyperlink r:id="rId56" ref="N53"/>
    <hyperlink r:id="rId57" ref="N54"/>
    <hyperlink r:id="rId58" ref="O54"/>
    <hyperlink r:id="rId59" ref="N55"/>
    <hyperlink r:id="rId60" ref="N56"/>
    <hyperlink r:id="rId61" ref="N57"/>
    <hyperlink r:id="rId62" ref="N58"/>
    <hyperlink r:id="rId63" ref="N59"/>
    <hyperlink r:id="rId64" ref="O59"/>
    <hyperlink r:id="rId65" ref="N60"/>
    <hyperlink r:id="rId66" ref="N61"/>
    <hyperlink r:id="rId67" ref="N62"/>
    <hyperlink r:id="rId68" ref="N63"/>
    <hyperlink r:id="rId69" ref="N64"/>
    <hyperlink r:id="rId70" ref="N65"/>
    <hyperlink r:id="rId71" ref="N66"/>
    <hyperlink r:id="rId72" ref="N67"/>
    <hyperlink r:id="rId73" ref="N68"/>
    <hyperlink r:id="rId74" ref="N69"/>
    <hyperlink r:id="rId75" ref="N70"/>
    <hyperlink r:id="rId76" ref="N71"/>
    <hyperlink r:id="rId77" ref="N72"/>
    <hyperlink r:id="rId78" ref="N73"/>
    <hyperlink r:id="rId79" ref="N74"/>
    <hyperlink r:id="rId80" ref="N75"/>
    <hyperlink r:id="rId81" ref="N76"/>
    <hyperlink r:id="rId82" ref="N77"/>
    <hyperlink r:id="rId83" ref="N78"/>
    <hyperlink r:id="rId84" ref="N79"/>
    <hyperlink r:id="rId85" location=":~:text=On%20Sunday%2C%20the%20SiegedSec%20crew,)%3B%20the%20Communities%20of%20Interest" ref="N80"/>
    <hyperlink r:id="rId86" ref="N81"/>
    <hyperlink r:id="rId87" ref="N82"/>
    <hyperlink r:id="rId88" ref="O82"/>
    <hyperlink r:id="rId89" ref="N83"/>
    <hyperlink r:id="rId90" ref="O83"/>
    <hyperlink r:id="rId91" ref="N84"/>
    <hyperlink r:id="rId92" ref="O84"/>
    <hyperlink r:id="rId93" ref="N85"/>
    <hyperlink r:id="rId94" ref="O85"/>
    <hyperlink r:id="rId95" ref="N86"/>
    <hyperlink r:id="rId96" ref="O86"/>
    <hyperlink r:id="rId97" ref="N87"/>
    <hyperlink r:id="rId98" ref="O87"/>
    <hyperlink r:id="rId99" ref="N88"/>
    <hyperlink r:id="rId100" ref="N89"/>
    <hyperlink r:id="rId101" ref="N90"/>
    <hyperlink r:id="rId102" ref="M91"/>
    <hyperlink r:id="rId103" location=":~:text=Teachers%20Insurance%20and%20Annuity%20Association%20of%20America%20faces%20a%20class,of%20approximately%202.3%20million%20individuals." ref="N91"/>
    <hyperlink r:id="rId104" ref="N92"/>
    <hyperlink r:id="rId105" ref="N93"/>
    <hyperlink r:id="rId106" ref="O93"/>
    <hyperlink r:id="rId107" ref="N94"/>
    <hyperlink r:id="rId108" ref="A95"/>
    <hyperlink r:id="rId109" ref="N95"/>
    <hyperlink r:id="rId110" ref="N96"/>
    <hyperlink r:id="rId111" ref="N97"/>
    <hyperlink r:id="rId112" ref="N98"/>
    <hyperlink r:id="rId113" ref="N99"/>
    <hyperlink r:id="rId114" ref="N100"/>
    <hyperlink r:id="rId115" ref="N101"/>
    <hyperlink r:id="rId116" ref="N102"/>
    <hyperlink r:id="rId117" ref="N103"/>
    <hyperlink r:id="rId118" ref="N104"/>
    <hyperlink r:id="rId119" ref="O104"/>
    <hyperlink r:id="rId120" ref="N105"/>
    <hyperlink r:id="rId121" ref="N106"/>
    <hyperlink r:id="rId122" ref="N107"/>
    <hyperlink r:id="rId123" ref="N108"/>
    <hyperlink r:id="rId124" ref="N109"/>
    <hyperlink r:id="rId125" ref="N110"/>
    <hyperlink r:id="rId126" ref="N111"/>
    <hyperlink r:id="rId127" ref="N112"/>
    <hyperlink r:id="rId128" ref="N113"/>
    <hyperlink r:id="rId129" ref="N114"/>
    <hyperlink r:id="rId130" ref="N115"/>
    <hyperlink r:id="rId131" ref="N116"/>
    <hyperlink r:id="rId132" ref="N117"/>
    <hyperlink r:id="rId133" ref="N118"/>
    <hyperlink r:id="rId134" ref="N119"/>
    <hyperlink r:id="rId135" ref="N120"/>
    <hyperlink r:id="rId136" ref="N121"/>
    <hyperlink r:id="rId137" ref="N122"/>
    <hyperlink r:id="rId138" ref="N123"/>
    <hyperlink r:id="rId139" ref="F124"/>
    <hyperlink r:id="rId140" ref="N124"/>
    <hyperlink r:id="rId141" location=":~:text=Experian%20disclosed%20the%20data%20breach,local%20businesses%20(Cimpanu%202020)." ref="N125"/>
    <hyperlink r:id="rId142" ref="N126"/>
    <hyperlink r:id="rId143" ref="O126"/>
    <hyperlink r:id="rId144" ref="N127"/>
    <hyperlink r:id="rId145" ref="O127"/>
    <hyperlink r:id="rId146" ref="N128"/>
    <hyperlink r:id="rId147" ref="N129"/>
    <hyperlink r:id="rId148" ref="N131"/>
    <hyperlink r:id="rId149" ref="N132"/>
    <hyperlink r:id="rId150" ref="N133"/>
    <hyperlink r:id="rId151" ref="N134"/>
    <hyperlink r:id="rId152" ref="N135"/>
    <hyperlink r:id="rId153" ref="N136"/>
    <hyperlink r:id="rId154" ref="N137"/>
    <hyperlink r:id="rId155" ref="N138"/>
    <hyperlink r:id="rId156" ref="N139"/>
    <hyperlink r:id="rId157" ref="N140"/>
    <hyperlink r:id="rId158" ref="N141"/>
    <hyperlink r:id="rId159" ref="N142"/>
    <hyperlink r:id="rId160" ref="N143"/>
    <hyperlink r:id="rId161" ref="N144"/>
    <hyperlink r:id="rId162" ref="N145"/>
    <hyperlink r:id="rId163" ref="N146"/>
    <hyperlink r:id="rId164" location="p3" ref="N147"/>
    <hyperlink r:id="rId165" ref="N148"/>
    <hyperlink r:id="rId166" ref="N149"/>
    <hyperlink r:id="rId167" ref="N150"/>
    <hyperlink r:id="rId168" ref="N151"/>
    <hyperlink r:id="rId169" ref="N152"/>
    <hyperlink r:id="rId170" ref="N153"/>
    <hyperlink r:id="rId171" ref="N154"/>
    <hyperlink r:id="rId172" ref="N155"/>
    <hyperlink r:id="rId173" ref="N156"/>
    <hyperlink r:id="rId174" ref="N157"/>
    <hyperlink r:id="rId175" ref="N158"/>
    <hyperlink r:id="rId176" ref="N159"/>
    <hyperlink r:id="rId177" ref="N160"/>
    <hyperlink r:id="rId178" ref="N161"/>
    <hyperlink r:id="rId179" ref="N162"/>
    <hyperlink r:id="rId180" ref="N163"/>
    <hyperlink r:id="rId181" ref="N164"/>
    <hyperlink r:id="rId182" ref="N165"/>
    <hyperlink r:id="rId183" ref="N166"/>
    <hyperlink r:id="rId184" ref="N167"/>
    <hyperlink r:id="rId185" ref="N168"/>
    <hyperlink r:id="rId186" ref="N169"/>
    <hyperlink r:id="rId187" ref="N170"/>
    <hyperlink r:id="rId188" ref="N171"/>
    <hyperlink r:id="rId189" location="91076484d1b3" ref="N172"/>
    <hyperlink r:id="rId190" ref="N173"/>
    <hyperlink r:id="rId191" ref="N174"/>
    <hyperlink r:id="rId192" ref="N175"/>
    <hyperlink r:id="rId193" ref="N176"/>
    <hyperlink r:id="rId194" ref="N177"/>
    <hyperlink r:id="rId195" ref="N178"/>
    <hyperlink r:id="rId196" ref="N179"/>
    <hyperlink r:id="rId197" ref="N180"/>
    <hyperlink r:id="rId198" ref="N181"/>
    <hyperlink r:id="rId199" ref="N182"/>
    <hyperlink r:id="rId200" ref="N183"/>
    <hyperlink r:id="rId201" ref="N184"/>
    <hyperlink r:id="rId202" ref="N185"/>
    <hyperlink r:id="rId203" ref="N186"/>
    <hyperlink r:id="rId204" ref="N187"/>
    <hyperlink r:id="rId205" ref="N188"/>
    <hyperlink r:id="rId206" ref="N189"/>
    <hyperlink r:id="rId207" ref="N190"/>
    <hyperlink r:id="rId208" ref="O190"/>
    <hyperlink r:id="rId209" ref="N191"/>
    <hyperlink r:id="rId210" ref="N192"/>
    <hyperlink r:id="rId211" ref="O192"/>
    <hyperlink r:id="rId212" ref="N193"/>
    <hyperlink r:id="rId213" ref="N194"/>
    <hyperlink r:id="rId214" ref="N195"/>
    <hyperlink r:id="rId215" ref="N196"/>
    <hyperlink r:id="rId216" ref="N197"/>
    <hyperlink r:id="rId217" ref="N198"/>
    <hyperlink r:id="rId218" ref="N199"/>
    <hyperlink r:id="rId219" ref="N200"/>
    <hyperlink r:id="rId220" ref="N201"/>
    <hyperlink r:id="rId221" ref="N202"/>
    <hyperlink r:id="rId222" ref="N203"/>
    <hyperlink r:id="rId223" ref="N204"/>
    <hyperlink r:id="rId224" ref="N205"/>
    <hyperlink r:id="rId225" ref="N206"/>
    <hyperlink r:id="rId226" ref="N207"/>
    <hyperlink r:id="rId227" ref="N208"/>
    <hyperlink r:id="rId228" ref="A209"/>
    <hyperlink r:id="rId229" ref="N209"/>
    <hyperlink r:id="rId230" ref="N210"/>
    <hyperlink r:id="rId231" ref="N211"/>
    <hyperlink r:id="rId232" ref="N212"/>
    <hyperlink r:id="rId233" ref="N213"/>
    <hyperlink r:id="rId234" ref="N214"/>
    <hyperlink r:id="rId235" ref="N215"/>
    <hyperlink r:id="rId236" ref="N216"/>
    <hyperlink r:id="rId237" ref="N217"/>
    <hyperlink r:id="rId238" ref="N218"/>
    <hyperlink r:id="rId239" location="2a5cb36b41d2" ref="N219"/>
    <hyperlink r:id="rId240" ref="N220"/>
    <hyperlink r:id="rId241" ref="N221"/>
    <hyperlink r:id="rId242" ref="N222"/>
    <hyperlink r:id="rId243" ref="N223"/>
    <hyperlink r:id="rId244" ref="N224"/>
    <hyperlink r:id="rId245" ref="N225"/>
    <hyperlink r:id="rId246" ref="N226"/>
    <hyperlink r:id="rId247" ref="A227"/>
    <hyperlink r:id="rId248" ref="N227"/>
    <hyperlink r:id="rId249" ref="N228"/>
    <hyperlink r:id="rId250" ref="N229"/>
    <hyperlink r:id="rId251" ref="N230"/>
    <hyperlink r:id="rId252" ref="N231"/>
    <hyperlink r:id="rId253" ref="N232"/>
    <hyperlink r:id="rId254" ref="O232"/>
    <hyperlink r:id="rId255" ref="N233"/>
    <hyperlink r:id="rId256" ref="N234"/>
    <hyperlink r:id="rId257" ref="N235"/>
    <hyperlink r:id="rId258" ref="O235"/>
    <hyperlink r:id="rId259" ref="N236"/>
    <hyperlink r:id="rId260" ref="N237"/>
    <hyperlink r:id="rId261" ref="N238"/>
    <hyperlink r:id="rId262" ref="N239"/>
    <hyperlink r:id="rId263" ref="N240"/>
    <hyperlink r:id="rId264" ref="N241"/>
    <hyperlink r:id="rId265" ref="N242"/>
    <hyperlink r:id="rId266" ref="N243"/>
    <hyperlink r:id="rId267" ref="N244"/>
    <hyperlink r:id="rId268" ref="N245"/>
    <hyperlink r:id="rId269" ref="N246"/>
    <hyperlink r:id="rId270" ref="N247"/>
    <hyperlink r:id="rId271" ref="N248"/>
    <hyperlink r:id="rId272" ref="N249"/>
    <hyperlink r:id="rId273" ref="N250"/>
    <hyperlink r:id="rId274" ref="N251"/>
    <hyperlink r:id="rId275" ref="N252"/>
    <hyperlink r:id="rId276" ref="N253"/>
    <hyperlink r:id="rId277" ref="N255"/>
    <hyperlink r:id="rId278" ref="N256"/>
    <hyperlink r:id="rId279" ref="N257"/>
    <hyperlink r:id="rId280" ref="N258"/>
    <hyperlink r:id="rId281" ref="N259"/>
    <hyperlink r:id="rId282" ref="N260"/>
    <hyperlink r:id="rId283" ref="N261"/>
    <hyperlink r:id="rId284" ref="N262"/>
    <hyperlink r:id="rId285" ref="N263"/>
    <hyperlink r:id="rId286" ref="O263"/>
    <hyperlink r:id="rId287" ref="N264"/>
    <hyperlink r:id="rId288" ref="N265"/>
    <hyperlink r:id="rId289" ref="N266"/>
    <hyperlink r:id="rId290" ref="N267"/>
    <hyperlink r:id="rId291" ref="N268"/>
    <hyperlink r:id="rId292" ref="N269"/>
    <hyperlink r:id="rId293" ref="N270"/>
    <hyperlink r:id="rId294" ref="N271"/>
    <hyperlink r:id="rId295" ref="N272"/>
    <hyperlink r:id="rId296" ref="N273"/>
    <hyperlink r:id="rId297" ref="N274"/>
    <hyperlink r:id="rId298" ref="N275"/>
    <hyperlink r:id="rId299" ref="N276"/>
    <hyperlink r:id="rId300" ref="N277"/>
    <hyperlink r:id="rId301" ref="N278"/>
    <hyperlink r:id="rId302" ref="N279"/>
    <hyperlink r:id="rId303" ref="N280"/>
    <hyperlink r:id="rId304" ref="N281"/>
    <hyperlink r:id="rId305" ref="N282"/>
    <hyperlink r:id="rId306" ref="N283"/>
    <hyperlink r:id="rId307" ref="N284"/>
    <hyperlink r:id="rId308" ref="N285"/>
    <hyperlink r:id="rId309" ref="N286"/>
    <hyperlink r:id="rId310" ref="N287"/>
    <hyperlink r:id="rId311" ref="N288"/>
    <hyperlink r:id="rId312" ref="N289"/>
    <hyperlink r:id="rId313" ref="N290"/>
    <hyperlink r:id="rId314" ref="N291"/>
    <hyperlink r:id="rId315" ref="N292"/>
    <hyperlink r:id="rId316" ref="O292"/>
    <hyperlink r:id="rId317" ref="N293"/>
    <hyperlink r:id="rId318" ref="N294"/>
    <hyperlink r:id="rId319" ref="N295"/>
    <hyperlink r:id="rId320" ref="N296"/>
    <hyperlink r:id="rId321" ref="N297"/>
    <hyperlink r:id="rId322" ref="N298"/>
    <hyperlink r:id="rId323" ref="N299"/>
    <hyperlink r:id="rId324" ref="N300"/>
    <hyperlink r:id="rId325" ref="N301"/>
    <hyperlink r:id="rId326" ref="N302"/>
    <hyperlink r:id="rId327" ref="A303"/>
    <hyperlink r:id="rId328" ref="N303"/>
    <hyperlink r:id="rId329" ref="N304"/>
    <hyperlink r:id="rId330" location="260a2f727bab" ref="N305"/>
    <hyperlink r:id="rId331" ref="N306"/>
    <hyperlink r:id="rId332" ref="N307"/>
    <hyperlink r:id="rId333" ref="N308"/>
    <hyperlink r:id="rId334" ref="N309"/>
    <hyperlink r:id="rId335" ref="N310"/>
    <hyperlink r:id="rId336" ref="N311"/>
    <hyperlink r:id="rId337" ref="N312"/>
    <hyperlink r:id="rId338" ref="N313"/>
    <hyperlink r:id="rId339" ref="N314"/>
    <hyperlink r:id="rId340" ref="N315"/>
    <hyperlink r:id="rId341" ref="N316"/>
    <hyperlink r:id="rId342" ref="N317"/>
    <hyperlink r:id="rId343" ref="N318"/>
    <hyperlink r:id="rId344" ref="N319"/>
    <hyperlink r:id="rId345" location="assets_129" ref="N320"/>
    <hyperlink r:id="rId346" ref="N321"/>
    <hyperlink r:id="rId347" ref="N322"/>
    <hyperlink r:id="rId348" ref="N323"/>
    <hyperlink r:id="rId349" ref="N324"/>
    <hyperlink r:id="rId350" ref="N325"/>
    <hyperlink r:id="rId351" ref="N326"/>
    <hyperlink r:id="rId352" ref="N327"/>
    <hyperlink r:id="rId353" ref="N328"/>
    <hyperlink r:id="rId354" ref="O328"/>
    <hyperlink r:id="rId355" ref="N329"/>
    <hyperlink r:id="rId356" ref="O329"/>
    <hyperlink r:id="rId357" ref="N330"/>
    <hyperlink r:id="rId358" ref="N331"/>
    <hyperlink r:id="rId359" ref="N332"/>
    <hyperlink r:id="rId360" ref="O332"/>
    <hyperlink r:id="rId361" ref="N333"/>
    <hyperlink r:id="rId362" ref="A334"/>
    <hyperlink r:id="rId363" ref="N334"/>
    <hyperlink r:id="rId364" ref="N335"/>
    <hyperlink r:id="rId365" ref="O335"/>
    <hyperlink r:id="rId366" ref="N336"/>
    <hyperlink r:id="rId367" ref="N337"/>
    <hyperlink r:id="rId368" ref="N338"/>
    <hyperlink r:id="rId369" ref="N339"/>
    <hyperlink r:id="rId370" ref="N340"/>
    <hyperlink r:id="rId371" ref="N341"/>
    <hyperlink r:id="rId372" ref="N342"/>
    <hyperlink r:id="rId373" ref="O342"/>
    <hyperlink r:id="rId374" ref="N343"/>
    <hyperlink r:id="rId375" ref="N344"/>
    <hyperlink r:id="rId376" ref="N345"/>
    <hyperlink r:id="rId377" ref="N346"/>
    <hyperlink r:id="rId378" ref="N347"/>
    <hyperlink r:id="rId379" ref="N348"/>
    <hyperlink r:id="rId380" ref="N349"/>
    <hyperlink r:id="rId381" ref="O349"/>
    <hyperlink r:id="rId382" ref="N350"/>
    <hyperlink r:id="rId383" ref="N351"/>
    <hyperlink r:id="rId384" ref="N352"/>
    <hyperlink r:id="rId385" ref="N353"/>
    <hyperlink r:id="rId386" ref="N354"/>
    <hyperlink r:id="rId387" ref="O354"/>
    <hyperlink r:id="rId388" ref="N355"/>
    <hyperlink r:id="rId389" ref="N356"/>
    <hyperlink r:id="rId390" ref="N357"/>
    <hyperlink r:id="rId391" ref="N358"/>
    <hyperlink r:id="rId392" ref="N359"/>
    <hyperlink r:id="rId393" ref="N360"/>
    <hyperlink r:id="rId394" ref="N361"/>
    <hyperlink r:id="rId395" ref="O361"/>
    <hyperlink r:id="rId396" ref="N362"/>
    <hyperlink r:id="rId397" ref="N363"/>
    <hyperlink r:id="rId398" ref="N364"/>
    <hyperlink r:id="rId399" ref="N365"/>
    <hyperlink r:id="rId400" ref="N366"/>
    <hyperlink r:id="rId401" ref="N367"/>
    <hyperlink r:id="rId402" ref="N368"/>
    <hyperlink r:id="rId403" ref="N369"/>
    <hyperlink r:id="rId404" ref="N370"/>
    <hyperlink r:id="rId405" ref="N371"/>
    <hyperlink r:id="rId406" ref="O371"/>
    <hyperlink r:id="rId407" ref="N372"/>
    <hyperlink r:id="rId408" ref="O372"/>
    <hyperlink r:id="rId409" ref="N373"/>
    <hyperlink r:id="rId410" ref="O373"/>
    <hyperlink r:id="rId411" ref="N374"/>
    <hyperlink r:id="rId412" ref="O374"/>
    <hyperlink r:id="rId413" ref="N375"/>
    <hyperlink r:id="rId414" ref="N376"/>
    <hyperlink r:id="rId415" ref="N377"/>
    <hyperlink r:id="rId416" ref="N378"/>
    <hyperlink r:id="rId417" ref="N379"/>
    <hyperlink r:id="rId418" ref="N380"/>
    <hyperlink r:id="rId419" ref="N381"/>
    <hyperlink r:id="rId420" ref="N382"/>
    <hyperlink r:id="rId421" ref="N383"/>
    <hyperlink r:id="rId422" ref="N384"/>
    <hyperlink r:id="rId423" ref="N385"/>
    <hyperlink r:id="rId424" ref="N386"/>
    <hyperlink r:id="rId425" ref="N387"/>
    <hyperlink r:id="rId426" ref="N388"/>
    <hyperlink r:id="rId427" ref="N389"/>
    <hyperlink r:id="rId428" ref="N390"/>
    <hyperlink r:id="rId429" ref="O390"/>
    <hyperlink r:id="rId430" ref="N391"/>
    <hyperlink r:id="rId431" ref="N392"/>
    <hyperlink r:id="rId432" ref="N393"/>
    <hyperlink r:id="rId433" ref="N394"/>
    <hyperlink r:id="rId434" ref="O394"/>
    <hyperlink r:id="rId435" ref="N395"/>
    <hyperlink r:id="rId436" ref="O395"/>
    <hyperlink r:id="rId437" ref="A396"/>
    <hyperlink r:id="rId438" ref="N396"/>
    <hyperlink r:id="rId439" ref="N397"/>
    <hyperlink r:id="rId440" ref="O397"/>
    <hyperlink r:id="rId441" ref="N398"/>
    <hyperlink r:id="rId442" ref="N399"/>
    <hyperlink r:id="rId443" ref="N400"/>
    <hyperlink r:id="rId444" ref="O400"/>
    <hyperlink r:id="rId445" ref="A401"/>
    <hyperlink r:id="rId446" ref="N401"/>
    <hyperlink r:id="rId447" ref="N402"/>
    <hyperlink r:id="rId448" ref="N403"/>
    <hyperlink r:id="rId449" ref="N404"/>
    <hyperlink r:id="rId450" ref="N405"/>
    <hyperlink r:id="rId451" ref="N406"/>
    <hyperlink r:id="rId452" ref="N407"/>
    <hyperlink r:id="rId453" ref="N408"/>
    <hyperlink r:id="rId454" ref="N409"/>
    <hyperlink r:id="rId455" ref="N410"/>
    <hyperlink r:id="rId456" location="6dfbcdc355d1" ref="N411"/>
    <hyperlink r:id="rId457" ref="N412"/>
    <hyperlink r:id="rId458" ref="N413"/>
    <hyperlink r:id="rId459" ref="N414"/>
    <hyperlink r:id="rId460" ref="N415"/>
    <hyperlink r:id="rId461" ref="N416"/>
    <hyperlink r:id="rId462" ref="O416"/>
    <hyperlink r:id="rId463" ref="N417"/>
    <hyperlink r:id="rId464" ref="A418"/>
    <hyperlink r:id="rId465" ref="N418"/>
    <hyperlink r:id="rId466" ref="O418"/>
    <hyperlink r:id="rId467" ref="N419"/>
    <hyperlink r:id="rId468" ref="N420"/>
    <hyperlink r:id="rId469" ref="A421"/>
    <hyperlink r:id="rId470" ref="N421"/>
    <hyperlink r:id="rId471" ref="N422"/>
    <hyperlink r:id="rId472" ref="O422"/>
    <hyperlink r:id="rId473" ref="N423"/>
    <hyperlink r:id="rId474" ref="N424"/>
    <hyperlink r:id="rId475" ref="N425"/>
    <hyperlink r:id="rId476" ref="N426"/>
    <hyperlink r:id="rId477" ref="N427"/>
    <hyperlink r:id="rId478" ref="N428"/>
    <hyperlink r:id="rId479" ref="N429"/>
    <hyperlink r:id="rId480" ref="N430"/>
    <hyperlink r:id="rId481" ref="N431"/>
    <hyperlink r:id="rId482" ref="N432"/>
    <hyperlink r:id="rId483" ref="N433"/>
    <hyperlink r:id="rId484" ref="N434"/>
    <hyperlink r:id="rId485" ref="N435"/>
    <hyperlink r:id="rId486" ref="N436"/>
    <hyperlink r:id="rId487" ref="N437"/>
    <hyperlink r:id="rId488" ref="N438"/>
    <hyperlink r:id="rId489" ref="N439"/>
    <hyperlink r:id="rId490" ref="N440"/>
    <hyperlink r:id="rId491" ref="A441"/>
    <hyperlink r:id="rId492" ref="N441"/>
    <hyperlink r:id="rId493" ref="N442"/>
    <hyperlink r:id="rId494" ref="N443"/>
    <hyperlink r:id="rId495" ref="N444"/>
    <hyperlink r:id="rId496" ref="N445"/>
    <hyperlink r:id="rId497" ref="N446"/>
    <hyperlink r:id="rId498" ref="N447"/>
    <hyperlink r:id="rId499" ref="N448"/>
    <hyperlink r:id="rId500" ref="N449"/>
    <hyperlink r:id="rId501" ref="N450"/>
    <hyperlink r:id="rId502" ref="N451"/>
    <hyperlink r:id="rId503" ref="N452"/>
    <hyperlink r:id="rId504" ref="N453"/>
    <hyperlink r:id="rId505" ref="N454"/>
    <hyperlink r:id="rId506" location=".XAfhPhP7TUI" ref="N455"/>
    <hyperlink r:id="rId507" ref="N456"/>
    <hyperlink r:id="rId508" ref="N457"/>
    <hyperlink r:id="rId509" ref="N458"/>
    <hyperlink r:id="rId510" ref="N459"/>
    <hyperlink r:id="rId511" ref="N460"/>
    <hyperlink r:id="rId512" ref="N461"/>
    <hyperlink r:id="rId513" ref="N462"/>
    <hyperlink r:id="rId514" ref="N463"/>
    <hyperlink r:id="rId515" ref="N464"/>
    <hyperlink r:id="rId516" ref="N465"/>
    <hyperlink r:id="rId517" ref="A466"/>
    <hyperlink r:id="rId518" ref="N466"/>
    <hyperlink r:id="rId519" ref="O466"/>
    <hyperlink r:id="rId520" ref="N467"/>
    <hyperlink r:id="rId521" ref="N468"/>
    <hyperlink r:id="rId522" ref="N469"/>
    <hyperlink r:id="rId523" ref="N470"/>
    <hyperlink r:id="rId524" ref="N471"/>
    <hyperlink r:id="rId525" ref="N472"/>
    <hyperlink r:id="rId526" ref="N473"/>
    <hyperlink r:id="rId527" ref="N474"/>
    <hyperlink r:id="rId528" ref="N475"/>
    <hyperlink r:id="rId529" ref="N476"/>
    <hyperlink r:id="rId530" ref="N477"/>
    <hyperlink r:id="rId531" ref="N478"/>
    <hyperlink r:id="rId532" ref="N479"/>
    <hyperlink r:id="rId533" ref="N480"/>
    <hyperlink r:id="rId534" ref="N481"/>
    <hyperlink r:id="rId535" ref="N482"/>
    <hyperlink r:id="rId536" ref="N483"/>
    <hyperlink r:id="rId537" ref="N484"/>
    <hyperlink r:id="rId538" ref="N485"/>
    <hyperlink r:id="rId539" ref="N486"/>
    <hyperlink r:id="rId540" ref="N487"/>
    <hyperlink r:id="rId541" ref="N488"/>
    <hyperlink r:id="rId542" ref="N489"/>
    <hyperlink r:id="rId543" ref="N490"/>
    <hyperlink r:id="rId544" ref="N491"/>
    <hyperlink r:id="rId545" ref="A492"/>
    <hyperlink r:id="rId546" ref="N492"/>
    <hyperlink r:id="rId547" ref="N493"/>
    <hyperlink r:id="rId548" ref="N494"/>
    <hyperlink r:id="rId549" ref="N495"/>
    <hyperlink r:id="rId550" ref="N496"/>
    <hyperlink r:id="rId551" ref="N497"/>
    <hyperlink r:id="rId552" ref="O497"/>
    <hyperlink r:id="rId553" ref="N498"/>
    <hyperlink r:id="rId554" ref="N499"/>
    <hyperlink r:id="rId555" ref="N500"/>
    <hyperlink r:id="rId556" ref="N501"/>
    <hyperlink r:id="rId557" ref="N502"/>
    <hyperlink r:id="rId558" ref="N503"/>
    <hyperlink r:id="rId559" ref="A504"/>
    <hyperlink r:id="rId560" ref="N504"/>
    <hyperlink r:id="rId561" ref="N505"/>
    <hyperlink r:id="rId562" ref="N506"/>
    <hyperlink r:id="rId563" ref="N507"/>
    <hyperlink r:id="rId564" ref="N508"/>
    <hyperlink r:id="rId565" ref="N509"/>
    <hyperlink r:id="rId566" ref="N510"/>
    <hyperlink r:id="rId567" ref="N511"/>
    <hyperlink r:id="rId568" ref="N512"/>
    <hyperlink r:id="rId569" ref="N513"/>
    <hyperlink r:id="rId570" ref="O513"/>
    <hyperlink r:id="rId571" ref="N514"/>
    <hyperlink r:id="rId572" ref="N515"/>
    <hyperlink r:id="rId573" ref="O515"/>
    <hyperlink r:id="rId574" location=".UFcROxgUwaA" ref="N516"/>
    <hyperlink r:id="rId575" ref="N517"/>
    <hyperlink r:id="rId576" ref="N518"/>
    <hyperlink r:id="rId577" ref="N519"/>
    <hyperlink r:id="rId578" ref="N520"/>
    <hyperlink r:id="rId579" ref="N521"/>
    <hyperlink r:id="rId580" ref="N522"/>
    <hyperlink r:id="rId581" ref="N523"/>
    <hyperlink r:id="rId582" ref="N524"/>
    <hyperlink r:id="rId583" ref="O524"/>
    <hyperlink r:id="rId584" ref="N525"/>
    <hyperlink r:id="rId585" ref="N526"/>
    <hyperlink r:id="rId586" ref="N527"/>
    <hyperlink r:id="rId587" ref="N528"/>
    <hyperlink r:id="rId588" ref="N529"/>
    <hyperlink r:id="rId589" ref="O529"/>
    <hyperlink r:id="rId590" ref="N530"/>
    <hyperlink r:id="rId591" ref="N531"/>
    <hyperlink r:id="rId592" ref="N532"/>
    <hyperlink r:id="rId593" ref="N533"/>
    <hyperlink r:id="rId594" ref="N534"/>
    <hyperlink r:id="rId595" ref="O534"/>
    <hyperlink r:id="rId596" ref="N535"/>
    <hyperlink r:id="rId597" ref="O535"/>
    <hyperlink r:id="rId598" ref="N536"/>
    <hyperlink r:id="rId599" ref="O536"/>
    <hyperlink r:id="rId600" ref="M537"/>
    <hyperlink r:id="rId601" ref="N537"/>
    <hyperlink r:id="rId602" ref="O537"/>
    <hyperlink r:id="rId603" ref="N538"/>
    <hyperlink r:id="rId604" ref="O538"/>
    <hyperlink r:id="rId605" ref="N539"/>
    <hyperlink r:id="rId606" ref="O539"/>
    <hyperlink r:id="rId607" ref="N540"/>
    <hyperlink r:id="rId608" ref="O540"/>
    <hyperlink r:id="rId609" ref="N541"/>
  </hyperlinks>
  <drawing r:id="rId6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2.75"/>
  <cols>
    <col customWidth="1" min="1" max="1" width="22.63"/>
    <col customWidth="1" min="2" max="2" width="16.25"/>
    <col customWidth="1" min="3" max="3" width="14.75"/>
    <col customWidth="1" min="4" max="4" width="8.75"/>
    <col customWidth="1" min="5" max="5" width="13.13"/>
    <col customWidth="1" min="6" max="6" width="30.25"/>
    <col customWidth="1" min="7" max="7" width="13.0"/>
    <col customWidth="1" min="8" max="8" width="14.88"/>
    <col customWidth="1" min="9" max="9" width="10.13"/>
    <col customWidth="1" min="10" max="10" width="12.13"/>
    <col customWidth="1" min="11" max="11" width="13.63"/>
    <col customWidth="1" min="12" max="12" width="2.0"/>
    <col customWidth="1" min="13" max="16" width="15.13"/>
    <col customWidth="1" min="17" max="17" width="22.5"/>
    <col customWidth="1" min="18" max="26" width="15.13"/>
  </cols>
  <sheetData>
    <row r="1">
      <c r="A1" s="1" t="s">
        <v>0</v>
      </c>
      <c r="B1" s="2" t="s">
        <v>1</v>
      </c>
      <c r="C1" s="3" t="s">
        <v>2</v>
      </c>
      <c r="D1" s="1" t="s">
        <v>3</v>
      </c>
      <c r="E1" s="5" t="s">
        <v>4</v>
      </c>
      <c r="F1" s="2" t="s">
        <v>5</v>
      </c>
      <c r="G1" s="6" t="s">
        <v>6</v>
      </c>
      <c r="H1" s="7" t="s">
        <v>7</v>
      </c>
      <c r="I1" s="2" t="s">
        <v>8</v>
      </c>
      <c r="J1" s="1" t="s">
        <v>9</v>
      </c>
      <c r="K1" s="4" t="s">
        <v>10</v>
      </c>
      <c r="L1" s="8"/>
      <c r="M1" s="8" t="s">
        <v>11</v>
      </c>
      <c r="N1" s="9" t="s">
        <v>12</v>
      </c>
      <c r="O1" s="9" t="s">
        <v>13</v>
      </c>
      <c r="P1" s="10" t="s">
        <v>14</v>
      </c>
      <c r="Q1" s="10"/>
      <c r="R1" s="10"/>
      <c r="S1" s="10"/>
      <c r="T1" s="10"/>
      <c r="U1" s="10"/>
      <c r="V1" s="10"/>
      <c r="W1" s="10"/>
      <c r="X1" s="10"/>
      <c r="Y1" s="10"/>
      <c r="Z1" s="10"/>
    </row>
    <row r="2">
      <c r="A2" s="114" t="s">
        <v>1610</v>
      </c>
      <c r="B2" s="53"/>
      <c r="C2" s="22">
        <v>1.2367232E7</v>
      </c>
      <c r="D2" s="26">
        <v>2012.0</v>
      </c>
      <c r="E2" s="101">
        <v>40969.0</v>
      </c>
      <c r="F2" s="34" t="s">
        <v>1611</v>
      </c>
      <c r="G2" s="130" t="s">
        <v>1612</v>
      </c>
      <c r="H2" s="105" t="s">
        <v>142</v>
      </c>
      <c r="I2" s="115" t="s">
        <v>29</v>
      </c>
      <c r="J2" s="26">
        <v>2.0</v>
      </c>
      <c r="K2" s="57"/>
      <c r="L2" s="53"/>
      <c r="M2" s="53" t="s">
        <v>1613</v>
      </c>
      <c r="N2" s="135" t="s">
        <v>1614</v>
      </c>
      <c r="O2" s="116" t="s">
        <v>1615</v>
      </c>
      <c r="P2" s="32">
        <v>102.0</v>
      </c>
      <c r="Q2" s="32"/>
      <c r="R2" s="32"/>
      <c r="S2" s="32"/>
      <c r="T2" s="32"/>
      <c r="U2" s="32"/>
      <c r="V2" s="32"/>
      <c r="W2" s="32"/>
      <c r="X2" s="32"/>
      <c r="Y2" s="32"/>
      <c r="Z2" s="32"/>
    </row>
    <row r="3">
      <c r="A3" s="52" t="s">
        <v>317</v>
      </c>
      <c r="B3" s="53"/>
      <c r="C3" s="22">
        <v>6900000.0</v>
      </c>
      <c r="D3" s="26">
        <v>2023.0</v>
      </c>
      <c r="E3" s="54">
        <v>45200.0</v>
      </c>
      <c r="F3" s="38" t="s">
        <v>318</v>
      </c>
      <c r="G3" s="26" t="s">
        <v>258</v>
      </c>
      <c r="H3" s="34" t="s">
        <v>23</v>
      </c>
      <c r="I3" s="34" t="s">
        <v>29</v>
      </c>
      <c r="J3" s="26">
        <v>4.0</v>
      </c>
      <c r="K3" s="27" t="s">
        <v>319</v>
      </c>
      <c r="L3" s="53"/>
      <c r="M3" s="34" t="s">
        <v>34</v>
      </c>
      <c r="N3" s="55" t="s">
        <v>320</v>
      </c>
      <c r="O3" s="56" t="s">
        <v>321</v>
      </c>
      <c r="P3" s="32">
        <v>444.0</v>
      </c>
      <c r="Q3" s="34"/>
      <c r="R3" s="53"/>
      <c r="S3" s="53"/>
      <c r="T3" s="53"/>
      <c r="U3" s="53"/>
      <c r="V3" s="53"/>
      <c r="W3" s="53"/>
      <c r="X3" s="53"/>
      <c r="Y3" s="53"/>
      <c r="Z3" s="53"/>
    </row>
    <row r="4">
      <c r="A4" s="103" t="s">
        <v>771</v>
      </c>
      <c r="B4" s="104"/>
      <c r="C4" s="22">
        <v>1.48E7</v>
      </c>
      <c r="D4" s="26">
        <v>2019.0</v>
      </c>
      <c r="E4" s="101">
        <v>43497.0</v>
      </c>
      <c r="F4" s="26" t="s">
        <v>772</v>
      </c>
      <c r="G4" s="26" t="s">
        <v>28</v>
      </c>
      <c r="H4" s="26" t="s">
        <v>23</v>
      </c>
      <c r="I4" s="28"/>
      <c r="J4" s="26">
        <v>2.0</v>
      </c>
      <c r="K4" s="27" t="str">
        <f t="shared" ref="K4:K5" si="1">IF(C4&gt;100000000,C4,"")</f>
        <v/>
      </c>
      <c r="L4" s="28"/>
      <c r="M4" s="105" t="s">
        <v>773</v>
      </c>
      <c r="N4" s="106" t="s">
        <v>774</v>
      </c>
      <c r="O4" s="109"/>
      <c r="P4" s="32">
        <v>311.0</v>
      </c>
      <c r="Q4" s="32"/>
      <c r="R4" s="32"/>
      <c r="S4" s="32"/>
      <c r="T4" s="32"/>
      <c r="U4" s="32"/>
      <c r="V4" s="32"/>
      <c r="W4" s="32"/>
      <c r="X4" s="32"/>
      <c r="Y4" s="32"/>
      <c r="Z4" s="32"/>
    </row>
    <row r="5">
      <c r="A5" s="103" t="s">
        <v>752</v>
      </c>
      <c r="B5" s="104"/>
      <c r="C5" s="22">
        <v>2.0E7</v>
      </c>
      <c r="D5" s="26">
        <v>2019.0</v>
      </c>
      <c r="E5" s="101">
        <v>43497.0</v>
      </c>
      <c r="F5" s="26" t="s">
        <v>745</v>
      </c>
      <c r="G5" s="26" t="s">
        <v>28</v>
      </c>
      <c r="H5" s="26" t="s">
        <v>23</v>
      </c>
      <c r="I5" s="28"/>
      <c r="J5" s="26">
        <v>1.0</v>
      </c>
      <c r="K5" s="27" t="str">
        <f t="shared" si="1"/>
        <v/>
      </c>
      <c r="L5" s="28"/>
      <c r="M5" s="105" t="s">
        <v>227</v>
      </c>
      <c r="N5" s="106" t="s">
        <v>747</v>
      </c>
      <c r="O5" s="109"/>
      <c r="P5" s="32">
        <v>327.0</v>
      </c>
      <c r="Q5" s="32"/>
      <c r="R5" s="32"/>
      <c r="S5" s="32"/>
      <c r="T5" s="32"/>
      <c r="U5" s="32"/>
      <c r="V5" s="32"/>
      <c r="W5" s="32"/>
      <c r="X5" s="32"/>
      <c r="Y5" s="32"/>
      <c r="Z5" s="32"/>
    </row>
    <row r="6">
      <c r="A6" s="20" t="s">
        <v>911</v>
      </c>
      <c r="B6" s="26" t="s">
        <v>912</v>
      </c>
      <c r="C6" s="22">
        <v>5.5E8</v>
      </c>
      <c r="D6" s="26">
        <v>2018.0</v>
      </c>
      <c r="E6" s="101">
        <v>43160.0</v>
      </c>
      <c r="F6" s="26" t="s">
        <v>913</v>
      </c>
      <c r="G6" s="26" t="s">
        <v>64</v>
      </c>
      <c r="H6" s="127" t="s">
        <v>51</v>
      </c>
      <c r="I6" s="28"/>
      <c r="J6" s="26">
        <v>4.0</v>
      </c>
      <c r="K6" s="27" t="s">
        <v>914</v>
      </c>
      <c r="L6" s="110"/>
      <c r="M6" s="26" t="s">
        <v>571</v>
      </c>
      <c r="N6" s="106" t="s">
        <v>915</v>
      </c>
      <c r="O6" s="113"/>
      <c r="P6" s="32">
        <v>276.0</v>
      </c>
      <c r="Q6" s="32"/>
      <c r="R6" s="32"/>
      <c r="S6" s="32"/>
      <c r="T6" s="32"/>
      <c r="U6" s="32"/>
      <c r="V6" s="32"/>
      <c r="W6" s="32"/>
      <c r="X6" s="32"/>
      <c r="Y6" s="32"/>
      <c r="Z6" s="32"/>
    </row>
    <row r="7">
      <c r="A7" s="114" t="s">
        <v>1701</v>
      </c>
      <c r="B7" s="28"/>
      <c r="C7" s="22">
        <v>175350.0</v>
      </c>
      <c r="D7" s="26">
        <v>2011.0</v>
      </c>
      <c r="E7" s="101">
        <v>40695.0</v>
      </c>
      <c r="F7" s="26" t="s">
        <v>1702</v>
      </c>
      <c r="G7" s="26" t="s">
        <v>258</v>
      </c>
      <c r="H7" s="130" t="s">
        <v>51</v>
      </c>
      <c r="I7" s="28"/>
      <c r="J7" s="26">
        <v>2.0</v>
      </c>
      <c r="K7" s="57"/>
      <c r="L7" s="28"/>
      <c r="M7" s="105" t="s">
        <v>1026</v>
      </c>
      <c r="N7" s="106" t="s">
        <v>1703</v>
      </c>
      <c r="O7" s="136"/>
      <c r="P7" s="32">
        <v>78.0</v>
      </c>
      <c r="Q7" s="32"/>
      <c r="R7" s="32"/>
      <c r="S7" s="32"/>
      <c r="T7" s="32"/>
      <c r="U7" s="32"/>
      <c r="V7" s="32"/>
      <c r="W7" s="32"/>
      <c r="X7" s="32"/>
      <c r="Y7" s="32"/>
      <c r="Z7" s="32"/>
    </row>
    <row r="8">
      <c r="A8" s="52" t="s">
        <v>333</v>
      </c>
      <c r="B8" s="53"/>
      <c r="C8" s="22">
        <v>1.0E7</v>
      </c>
      <c r="D8" s="26">
        <v>2023.0</v>
      </c>
      <c r="E8" s="54">
        <v>44986.0</v>
      </c>
      <c r="F8" s="38" t="s">
        <v>334</v>
      </c>
      <c r="G8" s="34" t="s">
        <v>50</v>
      </c>
      <c r="H8" s="34" t="s">
        <v>23</v>
      </c>
      <c r="I8" s="53"/>
      <c r="J8" s="34">
        <v>1.0</v>
      </c>
      <c r="K8" s="57"/>
      <c r="L8" s="53"/>
      <c r="M8" s="34" t="s">
        <v>152</v>
      </c>
      <c r="N8" s="55" t="s">
        <v>335</v>
      </c>
      <c r="O8" s="56" t="s">
        <v>336</v>
      </c>
      <c r="P8" s="32">
        <v>441.0</v>
      </c>
      <c r="Q8" s="34"/>
      <c r="R8" s="53"/>
      <c r="S8" s="53"/>
      <c r="T8" s="53"/>
      <c r="U8" s="53"/>
      <c r="V8" s="53"/>
      <c r="W8" s="53"/>
      <c r="X8" s="53"/>
      <c r="Y8" s="53"/>
      <c r="Z8" s="53"/>
    </row>
    <row r="9">
      <c r="A9" s="62" t="s">
        <v>333</v>
      </c>
      <c r="B9" s="78"/>
      <c r="C9" s="64">
        <v>3000000.0</v>
      </c>
      <c r="D9" s="68">
        <v>2021.0</v>
      </c>
      <c r="E9" s="66">
        <v>44470.0</v>
      </c>
      <c r="F9" s="68"/>
      <c r="G9" s="68" t="s">
        <v>50</v>
      </c>
      <c r="H9" s="68" t="s">
        <v>23</v>
      </c>
      <c r="I9" s="68"/>
      <c r="J9" s="68">
        <v>1.0</v>
      </c>
      <c r="K9" s="69"/>
      <c r="L9" s="70"/>
      <c r="M9" s="71" t="s">
        <v>471</v>
      </c>
      <c r="N9" s="72" t="s">
        <v>472</v>
      </c>
      <c r="O9" s="73"/>
      <c r="P9" s="74">
        <v>404.0</v>
      </c>
      <c r="Q9" s="74"/>
      <c r="R9" s="74"/>
      <c r="S9" s="74"/>
      <c r="T9" s="74"/>
      <c r="U9" s="74"/>
      <c r="V9" s="74"/>
      <c r="W9" s="74"/>
      <c r="X9" s="74"/>
      <c r="Y9" s="74"/>
      <c r="Z9" s="74"/>
    </row>
    <row r="10">
      <c r="A10" s="212" t="s">
        <v>53</v>
      </c>
      <c r="B10" s="213"/>
      <c r="C10" s="214">
        <v>100000.0</v>
      </c>
      <c r="D10" s="215">
        <v>2025.0</v>
      </c>
      <c r="E10" s="216">
        <v>45807.0</v>
      </c>
      <c r="F10" s="217" t="s">
        <v>54</v>
      </c>
      <c r="G10" s="215" t="s">
        <v>43</v>
      </c>
      <c r="H10" s="215" t="s">
        <v>23</v>
      </c>
      <c r="I10" s="215"/>
      <c r="J10" s="215">
        <v>1.0</v>
      </c>
      <c r="K10" s="218"/>
      <c r="L10" s="219"/>
      <c r="M10" s="220" t="s">
        <v>39</v>
      </c>
      <c r="N10" s="221" t="s">
        <v>55</v>
      </c>
      <c r="O10" s="222"/>
      <c r="P10" s="223">
        <v>517.0</v>
      </c>
      <c r="Q10" s="215"/>
      <c r="R10" s="224"/>
      <c r="S10" s="224"/>
      <c r="T10" s="224"/>
      <c r="U10" s="224"/>
      <c r="V10" s="224"/>
      <c r="W10" s="224"/>
      <c r="X10" s="224"/>
      <c r="Y10" s="224"/>
      <c r="Z10" s="224"/>
    </row>
    <row r="11">
      <c r="A11" s="114" t="s">
        <v>1515</v>
      </c>
      <c r="B11" s="53"/>
      <c r="C11" s="22">
        <v>3.8E7</v>
      </c>
      <c r="D11" s="26">
        <v>2013.0</v>
      </c>
      <c r="E11" s="101">
        <v>41548.0</v>
      </c>
      <c r="F11" s="34" t="s">
        <v>1516</v>
      </c>
      <c r="G11" s="115" t="s">
        <v>50</v>
      </c>
      <c r="H11" s="115" t="s">
        <v>23</v>
      </c>
      <c r="I11" s="115" t="s">
        <v>29</v>
      </c>
      <c r="J11" s="26">
        <v>3.0</v>
      </c>
      <c r="K11" s="27" t="s">
        <v>526</v>
      </c>
      <c r="L11" s="53"/>
      <c r="M11" s="53" t="s">
        <v>1515</v>
      </c>
      <c r="N11" s="135" t="s">
        <v>1517</v>
      </c>
      <c r="O11" s="136"/>
      <c r="P11" s="32">
        <v>125.0</v>
      </c>
      <c r="Q11" s="32"/>
      <c r="R11" s="32"/>
      <c r="S11" s="32"/>
      <c r="T11" s="32"/>
      <c r="U11" s="32"/>
      <c r="V11" s="32"/>
      <c r="W11" s="32"/>
      <c r="X11" s="32"/>
      <c r="Y11" s="32"/>
      <c r="Z11" s="32"/>
    </row>
    <row r="12">
      <c r="A12" s="114" t="s">
        <v>1280</v>
      </c>
      <c r="B12" s="115" t="s">
        <v>1281</v>
      </c>
      <c r="C12" s="22">
        <v>3900000.0</v>
      </c>
      <c r="D12" s="26">
        <v>2015.0</v>
      </c>
      <c r="E12" s="101">
        <v>42125.0</v>
      </c>
      <c r="F12" s="34" t="s">
        <v>1282</v>
      </c>
      <c r="G12" s="115" t="s">
        <v>28</v>
      </c>
      <c r="H12" s="115" t="s">
        <v>23</v>
      </c>
      <c r="I12" s="53"/>
      <c r="J12" s="130">
        <v>1.0</v>
      </c>
      <c r="K12" s="57"/>
      <c r="L12" s="53"/>
      <c r="M12" s="53" t="s">
        <v>1283</v>
      </c>
      <c r="N12" s="160" t="s">
        <v>1284</v>
      </c>
      <c r="O12" s="19"/>
      <c r="P12" s="32">
        <v>184.0</v>
      </c>
      <c r="Q12" s="32"/>
      <c r="R12" s="32"/>
      <c r="S12" s="32"/>
      <c r="T12" s="32"/>
      <c r="U12" s="32"/>
      <c r="V12" s="32"/>
      <c r="W12" s="32"/>
      <c r="X12" s="32"/>
      <c r="Y12" s="32"/>
      <c r="Z12" s="32"/>
    </row>
    <row r="13">
      <c r="A13" s="165" t="s">
        <v>1445</v>
      </c>
      <c r="B13" s="53"/>
      <c r="C13" s="22">
        <v>4000000.0</v>
      </c>
      <c r="D13" s="26">
        <v>2013.0</v>
      </c>
      <c r="E13" s="101">
        <v>41487.0</v>
      </c>
      <c r="F13" s="26" t="s">
        <v>1446</v>
      </c>
      <c r="G13" s="26" t="s">
        <v>258</v>
      </c>
      <c r="H13" s="26" t="s">
        <v>1034</v>
      </c>
      <c r="I13" s="130" t="s">
        <v>29</v>
      </c>
      <c r="J13" s="26">
        <v>2.0</v>
      </c>
      <c r="K13" s="57"/>
      <c r="L13" s="28"/>
      <c r="M13" s="53" t="s">
        <v>1318</v>
      </c>
      <c r="N13" s="166" t="s">
        <v>1447</v>
      </c>
      <c r="O13" s="109"/>
      <c r="P13" s="32">
        <v>143.0</v>
      </c>
      <c r="Q13" s="32"/>
      <c r="R13" s="32"/>
      <c r="S13" s="32"/>
      <c r="T13" s="32"/>
      <c r="U13" s="32"/>
      <c r="V13" s="32"/>
      <c r="W13" s="32"/>
      <c r="X13" s="32"/>
      <c r="Y13" s="32"/>
      <c r="Z13" s="32"/>
    </row>
    <row r="14">
      <c r="A14" s="114" t="s">
        <v>1396</v>
      </c>
      <c r="B14" s="28"/>
      <c r="C14" s="22">
        <v>344579.0</v>
      </c>
      <c r="D14" s="26">
        <v>2013.0</v>
      </c>
      <c r="E14" s="101">
        <v>41487.0</v>
      </c>
      <c r="F14" s="26" t="s">
        <v>1397</v>
      </c>
      <c r="G14" s="26" t="s">
        <v>258</v>
      </c>
      <c r="H14" s="26" t="s">
        <v>1034</v>
      </c>
      <c r="I14" s="130" t="s">
        <v>29</v>
      </c>
      <c r="J14" s="26">
        <v>4.0</v>
      </c>
      <c r="K14" s="57"/>
      <c r="L14" s="53"/>
      <c r="M14" s="34" t="s">
        <v>1398</v>
      </c>
      <c r="N14" s="135" t="s">
        <v>1399</v>
      </c>
      <c r="O14" s="136"/>
      <c r="P14" s="32">
        <v>155.0</v>
      </c>
      <c r="Q14" s="32"/>
      <c r="R14" s="32"/>
      <c r="S14" s="32"/>
      <c r="T14" s="32"/>
      <c r="U14" s="32"/>
      <c r="V14" s="32"/>
      <c r="W14" s="32"/>
      <c r="X14" s="32"/>
      <c r="Y14" s="32"/>
      <c r="Z14" s="32"/>
    </row>
    <row r="15">
      <c r="A15" s="62" t="s">
        <v>497</v>
      </c>
      <c r="B15" s="78"/>
      <c r="C15" s="64">
        <v>305470.0</v>
      </c>
      <c r="D15" s="68">
        <v>2019.0</v>
      </c>
      <c r="E15" s="66">
        <v>43586.0</v>
      </c>
      <c r="F15" s="81" t="s">
        <v>498</v>
      </c>
      <c r="G15" s="68" t="s">
        <v>236</v>
      </c>
      <c r="H15" s="68" t="s">
        <v>23</v>
      </c>
      <c r="I15" s="68"/>
      <c r="J15" s="68">
        <v>3.0</v>
      </c>
      <c r="K15" s="69"/>
      <c r="L15" s="70"/>
      <c r="M15" s="71" t="s">
        <v>469</v>
      </c>
      <c r="N15" s="90"/>
      <c r="O15" s="73"/>
      <c r="P15" s="74">
        <v>396.0</v>
      </c>
      <c r="Q15" s="74"/>
      <c r="R15" s="74"/>
      <c r="S15" s="74"/>
      <c r="T15" s="74"/>
      <c r="U15" s="74"/>
      <c r="V15" s="74"/>
      <c r="W15" s="74"/>
      <c r="X15" s="74"/>
      <c r="Y15" s="74"/>
      <c r="Z15" s="74"/>
    </row>
    <row r="16">
      <c r="A16" s="20" t="s">
        <v>548</v>
      </c>
      <c r="B16" s="98"/>
      <c r="C16" s="22">
        <v>4500000.0</v>
      </c>
      <c r="D16" s="26">
        <v>2021.0</v>
      </c>
      <c r="E16" s="91">
        <v>44317.0</v>
      </c>
      <c r="F16" s="67" t="s">
        <v>549</v>
      </c>
      <c r="G16" s="26" t="s">
        <v>22</v>
      </c>
      <c r="H16" s="26" t="s">
        <v>23</v>
      </c>
      <c r="I16" s="26"/>
      <c r="J16" s="26">
        <v>2.0</v>
      </c>
      <c r="K16" s="27"/>
      <c r="L16" s="28"/>
      <c r="M16" s="34" t="s">
        <v>550</v>
      </c>
      <c r="N16" s="92" t="s">
        <v>551</v>
      </c>
      <c r="O16" s="31"/>
      <c r="P16" s="32">
        <v>382.0</v>
      </c>
      <c r="Q16" s="32"/>
      <c r="R16" s="32"/>
      <c r="S16" s="32"/>
      <c r="T16" s="32"/>
      <c r="U16" s="32"/>
      <c r="V16" s="32"/>
      <c r="W16" s="32"/>
      <c r="X16" s="32"/>
      <c r="Y16" s="32"/>
      <c r="Z16" s="32"/>
    </row>
    <row r="17">
      <c r="A17" s="20" t="s">
        <v>1017</v>
      </c>
      <c r="B17" s="26"/>
      <c r="C17" s="22">
        <v>3.1E7</v>
      </c>
      <c r="D17" s="150">
        <v>2017.0</v>
      </c>
      <c r="E17" s="101">
        <v>43070.0</v>
      </c>
      <c r="F17" s="26" t="s">
        <v>1018</v>
      </c>
      <c r="G17" s="26" t="s">
        <v>28</v>
      </c>
      <c r="H17" s="127" t="s">
        <v>51</v>
      </c>
      <c r="I17" s="28"/>
      <c r="J17" s="26">
        <v>4.0</v>
      </c>
      <c r="K17" s="57"/>
      <c r="L17" s="110"/>
      <c r="M17" s="26" t="s">
        <v>571</v>
      </c>
      <c r="N17" s="106" t="s">
        <v>1019</v>
      </c>
      <c r="O17" s="113"/>
      <c r="P17" s="32">
        <v>249.0</v>
      </c>
      <c r="Q17" s="32"/>
      <c r="R17" s="32"/>
      <c r="S17" s="32"/>
      <c r="T17" s="32"/>
      <c r="U17" s="32"/>
      <c r="V17" s="32"/>
      <c r="W17" s="32"/>
      <c r="X17" s="32"/>
      <c r="Y17" s="32"/>
      <c r="Z17" s="32"/>
    </row>
    <row r="18">
      <c r="A18" s="20" t="s">
        <v>945</v>
      </c>
      <c r="B18" s="111"/>
      <c r="C18" s="22">
        <v>5000000.0</v>
      </c>
      <c r="D18" s="26">
        <v>2018.0</v>
      </c>
      <c r="E18" s="101">
        <v>43405.0</v>
      </c>
      <c r="F18" s="26" t="s">
        <v>946</v>
      </c>
      <c r="G18" s="26" t="s">
        <v>43</v>
      </c>
      <c r="H18" s="105" t="s">
        <v>142</v>
      </c>
      <c r="I18" s="28"/>
      <c r="J18" s="26">
        <v>1.0</v>
      </c>
      <c r="K18" s="27"/>
      <c r="L18" s="28"/>
      <c r="M18" s="105" t="s">
        <v>507</v>
      </c>
      <c r="N18" s="106" t="s">
        <v>947</v>
      </c>
      <c r="O18" s="109"/>
      <c r="P18" s="32">
        <v>268.0</v>
      </c>
      <c r="Q18" s="32"/>
      <c r="R18" s="32"/>
      <c r="S18" s="32"/>
      <c r="T18" s="32"/>
      <c r="U18" s="32"/>
      <c r="V18" s="32"/>
      <c r="W18" s="32"/>
      <c r="X18" s="32"/>
      <c r="Y18" s="32"/>
      <c r="Z18" s="32"/>
    </row>
    <row r="19">
      <c r="A19" s="20" t="s">
        <v>557</v>
      </c>
      <c r="B19" s="98"/>
      <c r="C19" s="22">
        <v>1.3124962E7</v>
      </c>
      <c r="D19" s="26">
        <v>2021.0</v>
      </c>
      <c r="E19" s="91">
        <v>44317.0</v>
      </c>
      <c r="F19" s="99" t="s">
        <v>558</v>
      </c>
      <c r="G19" s="26" t="s">
        <v>28</v>
      </c>
      <c r="H19" s="26" t="s">
        <v>380</v>
      </c>
      <c r="I19" s="26" t="s">
        <v>29</v>
      </c>
      <c r="J19" s="26">
        <v>2.0</v>
      </c>
      <c r="K19" s="27"/>
      <c r="L19" s="28"/>
      <c r="M19" s="34" t="s">
        <v>559</v>
      </c>
      <c r="N19" s="92" t="s">
        <v>560</v>
      </c>
      <c r="O19" s="31"/>
      <c r="P19" s="32">
        <v>380.0</v>
      </c>
      <c r="Q19" s="32"/>
      <c r="R19" s="32"/>
      <c r="S19" s="32"/>
      <c r="T19" s="32"/>
      <c r="U19" s="32"/>
      <c r="V19" s="32"/>
      <c r="W19" s="32"/>
      <c r="X19" s="32"/>
      <c r="Y19" s="32"/>
      <c r="Z19" s="32"/>
    </row>
    <row r="20">
      <c r="A20" s="165" t="s">
        <v>1990</v>
      </c>
      <c r="B20" s="105" t="s">
        <v>1991</v>
      </c>
      <c r="C20" s="22">
        <v>200000.0</v>
      </c>
      <c r="D20" s="26">
        <v>2005.0</v>
      </c>
      <c r="E20" s="101">
        <v>38443.0</v>
      </c>
      <c r="F20" s="26" t="s">
        <v>1992</v>
      </c>
      <c r="G20" s="26" t="s">
        <v>58</v>
      </c>
      <c r="H20" s="26" t="s">
        <v>1034</v>
      </c>
      <c r="I20" s="28"/>
      <c r="J20" s="26">
        <v>2.0</v>
      </c>
      <c r="K20" s="57"/>
      <c r="L20" s="28"/>
      <c r="M20" s="53" t="s">
        <v>1993</v>
      </c>
      <c r="N20" s="106" t="s">
        <v>1994</v>
      </c>
      <c r="O20" s="113"/>
      <c r="P20" s="32">
        <v>5.0</v>
      </c>
      <c r="Q20" s="32"/>
      <c r="R20" s="32"/>
      <c r="S20" s="32"/>
      <c r="T20" s="32"/>
      <c r="U20" s="32"/>
      <c r="V20" s="32"/>
      <c r="W20" s="32"/>
      <c r="X20" s="32"/>
      <c r="Y20" s="32"/>
      <c r="Z20" s="32"/>
    </row>
    <row r="21">
      <c r="A21" s="103" t="s">
        <v>750</v>
      </c>
      <c r="B21" s="104"/>
      <c r="C21" s="22">
        <v>2.5E7</v>
      </c>
      <c r="D21" s="26">
        <v>2019.0</v>
      </c>
      <c r="E21" s="101">
        <v>43497.0</v>
      </c>
      <c r="F21" s="26" t="s">
        <v>745</v>
      </c>
      <c r="G21" s="26" t="s">
        <v>28</v>
      </c>
      <c r="H21" s="26" t="s">
        <v>23</v>
      </c>
      <c r="I21" s="28"/>
      <c r="J21" s="26">
        <v>1.0</v>
      </c>
      <c r="K21" s="27" t="str">
        <f>IF(C21&gt;100000000,C21,"")</f>
        <v/>
      </c>
      <c r="L21" s="28"/>
      <c r="M21" s="105" t="s">
        <v>227</v>
      </c>
      <c r="N21" s="106" t="s">
        <v>747</v>
      </c>
      <c r="O21" s="109"/>
      <c r="P21" s="32">
        <v>329.0</v>
      </c>
      <c r="Q21" s="32"/>
      <c r="R21" s="32"/>
      <c r="S21" s="32"/>
      <c r="T21" s="32"/>
      <c r="U21" s="32"/>
      <c r="V21" s="32"/>
      <c r="W21" s="32"/>
      <c r="X21" s="32"/>
      <c r="Y21" s="32"/>
      <c r="Z21" s="32"/>
    </row>
    <row r="22">
      <c r="A22" s="114" t="s">
        <v>1645</v>
      </c>
      <c r="B22" s="28"/>
      <c r="C22" s="22">
        <v>156000.0</v>
      </c>
      <c r="D22" s="26">
        <v>2011.0</v>
      </c>
      <c r="E22" s="101">
        <v>40544.0</v>
      </c>
      <c r="F22" s="26" t="s">
        <v>1646</v>
      </c>
      <c r="G22" s="26" t="s">
        <v>258</v>
      </c>
      <c r="H22" s="130" t="s">
        <v>23</v>
      </c>
      <c r="I22" s="28"/>
      <c r="J22" s="26">
        <v>4.0</v>
      </c>
      <c r="K22" s="57"/>
      <c r="L22" s="28"/>
      <c r="M22" s="34" t="s">
        <v>1647</v>
      </c>
      <c r="N22" s="135" t="s">
        <v>1648</v>
      </c>
      <c r="O22" s="136"/>
      <c r="P22" s="32">
        <v>94.0</v>
      </c>
      <c r="Q22" s="32"/>
      <c r="R22" s="32"/>
      <c r="S22" s="32"/>
      <c r="T22" s="32"/>
      <c r="U22" s="32"/>
      <c r="V22" s="32"/>
      <c r="W22" s="32"/>
      <c r="X22" s="32"/>
      <c r="Y22" s="32"/>
      <c r="Z22" s="32"/>
    </row>
    <row r="23">
      <c r="A23" s="114" t="s">
        <v>1310</v>
      </c>
      <c r="B23" s="115" t="s">
        <v>1311</v>
      </c>
      <c r="C23" s="22">
        <v>8.0E7</v>
      </c>
      <c r="D23" s="26">
        <v>2015.0</v>
      </c>
      <c r="E23" s="101">
        <v>42036.0</v>
      </c>
      <c r="F23" s="34" t="s">
        <v>1312</v>
      </c>
      <c r="G23" s="26" t="s">
        <v>258</v>
      </c>
      <c r="H23" s="115" t="s">
        <v>23</v>
      </c>
      <c r="I23" s="115" t="s">
        <v>29</v>
      </c>
      <c r="J23" s="26">
        <v>2.0</v>
      </c>
      <c r="K23" s="27" t="s">
        <v>1313</v>
      </c>
      <c r="L23" s="53"/>
      <c r="M23" s="34" t="s">
        <v>688</v>
      </c>
      <c r="N23" s="135" t="s">
        <v>1314</v>
      </c>
      <c r="O23" s="19"/>
      <c r="P23" s="32">
        <v>177.0</v>
      </c>
      <c r="Q23" s="32"/>
      <c r="R23" s="32"/>
      <c r="S23" s="32"/>
      <c r="T23" s="32"/>
      <c r="U23" s="32"/>
      <c r="V23" s="32"/>
      <c r="W23" s="32"/>
      <c r="X23" s="32"/>
      <c r="Y23" s="32"/>
      <c r="Z23" s="32"/>
    </row>
    <row r="24">
      <c r="A24" s="165" t="s">
        <v>1324</v>
      </c>
      <c r="B24" s="28"/>
      <c r="C24" s="22">
        <v>2400000.0</v>
      </c>
      <c r="D24" s="26">
        <v>2014.0</v>
      </c>
      <c r="E24" s="101">
        <v>41730.0</v>
      </c>
      <c r="F24" s="111" t="s">
        <v>1325</v>
      </c>
      <c r="G24" s="130" t="s">
        <v>28</v>
      </c>
      <c r="H24" s="130" t="s">
        <v>23</v>
      </c>
      <c r="I24" s="28"/>
      <c r="J24" s="130">
        <v>1.0</v>
      </c>
      <c r="K24" s="57"/>
      <c r="L24" s="28"/>
      <c r="M24" s="34" t="s">
        <v>918</v>
      </c>
      <c r="N24" s="106" t="s">
        <v>1326</v>
      </c>
      <c r="O24" s="113"/>
      <c r="P24" s="32">
        <v>174.0</v>
      </c>
      <c r="Q24" s="32"/>
      <c r="R24" s="32"/>
      <c r="S24" s="32"/>
      <c r="T24" s="32"/>
      <c r="U24" s="32"/>
      <c r="V24" s="32"/>
      <c r="W24" s="32"/>
      <c r="X24" s="32"/>
      <c r="Y24" s="32"/>
      <c r="Z24" s="32"/>
    </row>
    <row r="25">
      <c r="A25" s="165" t="s">
        <v>1324</v>
      </c>
      <c r="B25" s="111" t="s">
        <v>1970</v>
      </c>
      <c r="C25" s="22">
        <v>2.0E7</v>
      </c>
      <c r="D25" s="26">
        <v>2006.0</v>
      </c>
      <c r="E25" s="101">
        <v>38930.0</v>
      </c>
      <c r="F25" s="26" t="s">
        <v>1971</v>
      </c>
      <c r="G25" s="130" t="s">
        <v>28</v>
      </c>
      <c r="H25" s="105" t="s">
        <v>142</v>
      </c>
      <c r="I25" s="130" t="s">
        <v>29</v>
      </c>
      <c r="J25" s="130">
        <v>1.0</v>
      </c>
      <c r="K25" s="57"/>
      <c r="L25" s="28"/>
      <c r="M25" s="120" t="s">
        <v>34</v>
      </c>
      <c r="N25" s="106" t="s">
        <v>1972</v>
      </c>
      <c r="O25" s="113"/>
      <c r="P25" s="32">
        <v>10.0</v>
      </c>
      <c r="Q25" s="32"/>
      <c r="R25" s="32"/>
      <c r="S25" s="32"/>
      <c r="T25" s="32"/>
      <c r="U25" s="32"/>
      <c r="V25" s="32"/>
      <c r="W25" s="32"/>
      <c r="X25" s="32"/>
      <c r="Y25" s="32"/>
      <c r="Z25" s="32"/>
    </row>
    <row r="26">
      <c r="A26" s="165" t="s">
        <v>1324</v>
      </c>
      <c r="B26" s="111" t="s">
        <v>1970</v>
      </c>
      <c r="C26" s="22">
        <v>9.2E7</v>
      </c>
      <c r="D26" s="26">
        <v>2004.0</v>
      </c>
      <c r="E26" s="101">
        <v>38139.0</v>
      </c>
      <c r="F26" s="26" t="s">
        <v>2001</v>
      </c>
      <c r="G26" s="130" t="s">
        <v>28</v>
      </c>
      <c r="H26" s="26" t="s">
        <v>59</v>
      </c>
      <c r="I26" s="28"/>
      <c r="J26" s="130">
        <v>1.0</v>
      </c>
      <c r="K26" s="27" t="s">
        <v>2002</v>
      </c>
      <c r="L26" s="28"/>
      <c r="M26" s="120" t="s">
        <v>1088</v>
      </c>
      <c r="N26" s="106" t="s">
        <v>2003</v>
      </c>
      <c r="O26" s="109"/>
      <c r="P26" s="32">
        <v>2.0</v>
      </c>
      <c r="Q26" s="32"/>
      <c r="R26" s="32"/>
      <c r="S26" s="32"/>
      <c r="T26" s="32"/>
      <c r="U26" s="32"/>
      <c r="V26" s="32"/>
      <c r="W26" s="32"/>
      <c r="X26" s="32"/>
      <c r="Y26" s="32"/>
      <c r="Z26" s="32"/>
    </row>
    <row r="27">
      <c r="A27" s="20" t="s">
        <v>985</v>
      </c>
      <c r="B27" s="98" t="s">
        <v>986</v>
      </c>
      <c r="C27" s="22">
        <v>2.0E8</v>
      </c>
      <c r="D27" s="26">
        <v>2018.0</v>
      </c>
      <c r="E27" s="101">
        <v>43221.0</v>
      </c>
      <c r="F27" s="26" t="s">
        <v>987</v>
      </c>
      <c r="G27" s="26" t="s">
        <v>50</v>
      </c>
      <c r="H27" s="26" t="s">
        <v>51</v>
      </c>
      <c r="I27" s="28"/>
      <c r="J27" s="26">
        <v>1.0</v>
      </c>
      <c r="K27" s="27" t="s">
        <v>294</v>
      </c>
      <c r="L27" s="28"/>
      <c r="M27" s="34" t="s">
        <v>410</v>
      </c>
      <c r="N27" s="102" t="s">
        <v>988</v>
      </c>
      <c r="O27" s="31"/>
      <c r="P27" s="32">
        <v>258.0</v>
      </c>
      <c r="Q27" s="32"/>
      <c r="R27" s="32"/>
      <c r="S27" s="32"/>
      <c r="T27" s="32"/>
      <c r="U27" s="32"/>
      <c r="V27" s="32"/>
      <c r="W27" s="32"/>
      <c r="X27" s="32"/>
      <c r="Y27" s="32"/>
      <c r="Z27" s="32"/>
    </row>
    <row r="28">
      <c r="A28" s="114" t="s">
        <v>1452</v>
      </c>
      <c r="B28" s="28"/>
      <c r="C28" s="22">
        <v>275000.0</v>
      </c>
      <c r="D28" s="26">
        <v>2013.0</v>
      </c>
      <c r="E28" s="101">
        <v>41456.0</v>
      </c>
      <c r="F28" s="26" t="s">
        <v>1453</v>
      </c>
      <c r="G28" s="26" t="s">
        <v>1227</v>
      </c>
      <c r="H28" s="130" t="s">
        <v>23</v>
      </c>
      <c r="I28" s="28"/>
      <c r="J28" s="130">
        <v>1.0</v>
      </c>
      <c r="K28" s="57"/>
      <c r="L28" s="28"/>
      <c r="M28" s="53" t="s">
        <v>325</v>
      </c>
      <c r="N28" s="166" t="s">
        <v>1454</v>
      </c>
      <c r="O28" s="19"/>
      <c r="P28" s="32">
        <v>141.0</v>
      </c>
      <c r="Q28" s="32"/>
      <c r="R28" s="32"/>
      <c r="S28" s="32"/>
      <c r="T28" s="32"/>
      <c r="U28" s="32"/>
      <c r="V28" s="32"/>
      <c r="W28" s="32"/>
      <c r="X28" s="32"/>
      <c r="Y28" s="32"/>
      <c r="Z28" s="32"/>
    </row>
    <row r="29">
      <c r="A29" s="103" t="s">
        <v>755</v>
      </c>
      <c r="B29" s="104"/>
      <c r="C29" s="22">
        <v>1.1E7</v>
      </c>
      <c r="D29" s="26">
        <v>2019.0</v>
      </c>
      <c r="E29" s="101">
        <v>43497.0</v>
      </c>
      <c r="F29" s="26" t="s">
        <v>745</v>
      </c>
      <c r="G29" s="26" t="s">
        <v>236</v>
      </c>
      <c r="H29" s="26" t="s">
        <v>23</v>
      </c>
      <c r="I29" s="28"/>
      <c r="J29" s="26">
        <v>1.0</v>
      </c>
      <c r="K29" s="27" t="str">
        <f t="shared" ref="K29:K30" si="2">IF(C29&gt;100000000,C29,"")</f>
        <v/>
      </c>
      <c r="L29" s="28"/>
      <c r="M29" s="105" t="s">
        <v>227</v>
      </c>
      <c r="N29" s="106" t="s">
        <v>747</v>
      </c>
      <c r="O29" s="109"/>
      <c r="P29" s="32">
        <v>324.0</v>
      </c>
      <c r="Q29" s="32"/>
      <c r="R29" s="32"/>
      <c r="S29" s="32"/>
      <c r="T29" s="32"/>
      <c r="U29" s="32"/>
      <c r="V29" s="32"/>
      <c r="W29" s="32"/>
      <c r="X29" s="32"/>
      <c r="Y29" s="32"/>
      <c r="Z29" s="32"/>
    </row>
    <row r="30">
      <c r="A30" s="103" t="s">
        <v>758</v>
      </c>
      <c r="B30" s="104"/>
      <c r="C30" s="22">
        <v>1000000.0</v>
      </c>
      <c r="D30" s="26">
        <v>2019.0</v>
      </c>
      <c r="E30" s="101">
        <v>43497.0</v>
      </c>
      <c r="F30" s="26" t="s">
        <v>745</v>
      </c>
      <c r="G30" s="26" t="s">
        <v>28</v>
      </c>
      <c r="H30" s="26" t="s">
        <v>23</v>
      </c>
      <c r="I30" s="28"/>
      <c r="J30" s="26">
        <v>1.0</v>
      </c>
      <c r="K30" s="27" t="str">
        <f t="shared" si="2"/>
        <v/>
      </c>
      <c r="L30" s="28"/>
      <c r="M30" s="105" t="s">
        <v>227</v>
      </c>
      <c r="N30" s="106" t="s">
        <v>747</v>
      </c>
      <c r="O30" s="109"/>
      <c r="P30" s="32">
        <v>321.0</v>
      </c>
      <c r="Q30" s="32"/>
      <c r="R30" s="32"/>
      <c r="S30" s="32"/>
      <c r="T30" s="32"/>
      <c r="U30" s="32"/>
      <c r="V30" s="32"/>
      <c r="W30" s="32"/>
      <c r="X30" s="32"/>
      <c r="Y30" s="32"/>
      <c r="Z30" s="32"/>
    </row>
    <row r="31">
      <c r="A31" s="159" t="s">
        <v>1258</v>
      </c>
      <c r="B31" s="115" t="s">
        <v>1259</v>
      </c>
      <c r="C31" s="22">
        <v>3.7E7</v>
      </c>
      <c r="D31" s="26">
        <v>2015.0</v>
      </c>
      <c r="E31" s="101">
        <v>42186.0</v>
      </c>
      <c r="F31" s="34" t="s">
        <v>1260</v>
      </c>
      <c r="G31" s="115" t="s">
        <v>28</v>
      </c>
      <c r="H31" s="115" t="s">
        <v>23</v>
      </c>
      <c r="I31" s="53"/>
      <c r="J31" s="26">
        <v>1.0</v>
      </c>
      <c r="K31" s="57"/>
      <c r="L31" s="53"/>
      <c r="M31" s="53" t="s">
        <v>702</v>
      </c>
      <c r="N31" s="160" t="s">
        <v>1261</v>
      </c>
      <c r="O31" s="19"/>
      <c r="P31" s="32">
        <v>190.0</v>
      </c>
      <c r="Q31" s="32"/>
      <c r="R31" s="32"/>
      <c r="S31" s="32"/>
      <c r="T31" s="32"/>
      <c r="U31" s="32"/>
      <c r="V31" s="32"/>
      <c r="W31" s="32"/>
      <c r="X31" s="32"/>
      <c r="Y31" s="32"/>
      <c r="Z31" s="32"/>
    </row>
    <row r="32">
      <c r="A32" s="20" t="s">
        <v>244</v>
      </c>
      <c r="B32" s="47"/>
      <c r="C32" s="22">
        <v>7.3E7</v>
      </c>
      <c r="D32" s="26">
        <v>2024.0</v>
      </c>
      <c r="E32" s="24">
        <v>45406.0</v>
      </c>
      <c r="F32" s="37" t="s">
        <v>245</v>
      </c>
      <c r="G32" s="26" t="s">
        <v>129</v>
      </c>
      <c r="H32" s="26" t="s">
        <v>23</v>
      </c>
      <c r="I32" s="26"/>
      <c r="J32" s="26">
        <v>4.0</v>
      </c>
      <c r="K32" s="27" t="s">
        <v>246</v>
      </c>
      <c r="L32" s="28"/>
      <c r="M32" s="34" t="s">
        <v>247</v>
      </c>
      <c r="N32" s="48" t="s">
        <v>248</v>
      </c>
      <c r="O32" s="31"/>
      <c r="P32" s="32">
        <v>464.0</v>
      </c>
      <c r="Q32" s="34"/>
      <c r="R32" s="32"/>
      <c r="S32" s="32"/>
      <c r="T32" s="32"/>
      <c r="U32" s="32"/>
      <c r="V32" s="32"/>
      <c r="W32" s="32"/>
      <c r="X32" s="32"/>
      <c r="Y32" s="32"/>
      <c r="Z32" s="32"/>
    </row>
    <row r="33">
      <c r="A33" s="165" t="s">
        <v>244</v>
      </c>
      <c r="B33" s="130" t="s">
        <v>1803</v>
      </c>
      <c r="C33" s="22">
        <v>114000.0</v>
      </c>
      <c r="D33" s="26">
        <v>2010.0</v>
      </c>
      <c r="E33" s="101">
        <v>40330.0</v>
      </c>
      <c r="F33" s="26" t="s">
        <v>1804</v>
      </c>
      <c r="G33" s="130" t="s">
        <v>129</v>
      </c>
      <c r="H33" s="130" t="s">
        <v>23</v>
      </c>
      <c r="I33" s="130" t="s">
        <v>29</v>
      </c>
      <c r="J33" s="130">
        <v>1.0</v>
      </c>
      <c r="K33" s="57"/>
      <c r="L33" s="28"/>
      <c r="M33" s="53" t="s">
        <v>507</v>
      </c>
      <c r="N33" s="106" t="s">
        <v>1805</v>
      </c>
      <c r="O33" s="113"/>
      <c r="P33" s="32">
        <v>53.0</v>
      </c>
      <c r="Q33" s="32"/>
      <c r="R33" s="32"/>
      <c r="S33" s="32"/>
      <c r="T33" s="32"/>
      <c r="U33" s="32"/>
      <c r="V33" s="32"/>
      <c r="W33" s="32"/>
      <c r="X33" s="32"/>
      <c r="Y33" s="32"/>
      <c r="Z33" s="32"/>
    </row>
    <row r="34">
      <c r="A34" s="165" t="s">
        <v>244</v>
      </c>
      <c r="B34" s="28"/>
      <c r="C34" s="22">
        <v>113000.0</v>
      </c>
      <c r="D34" s="26">
        <v>2008.0</v>
      </c>
      <c r="E34" s="101">
        <v>39600.0</v>
      </c>
      <c r="F34" s="26" t="s">
        <v>1897</v>
      </c>
      <c r="G34" s="130" t="s">
        <v>129</v>
      </c>
      <c r="H34" s="26" t="s">
        <v>1034</v>
      </c>
      <c r="I34" s="130" t="s">
        <v>29</v>
      </c>
      <c r="J34" s="130">
        <v>1.0</v>
      </c>
      <c r="K34" s="57"/>
      <c r="L34" s="28"/>
      <c r="M34" s="105" t="s">
        <v>1865</v>
      </c>
      <c r="N34" s="106" t="s">
        <v>1898</v>
      </c>
      <c r="O34" s="113"/>
      <c r="P34" s="32">
        <v>30.0</v>
      </c>
      <c r="Q34" s="32"/>
      <c r="R34" s="32"/>
      <c r="S34" s="32"/>
      <c r="T34" s="32"/>
      <c r="U34" s="32"/>
      <c r="V34" s="32"/>
      <c r="W34" s="32"/>
      <c r="X34" s="32"/>
      <c r="Y34" s="32"/>
      <c r="Z34" s="32"/>
    </row>
    <row r="35" ht="49.5" customHeight="1">
      <c r="A35" s="20" t="s">
        <v>272</v>
      </c>
      <c r="B35" s="21"/>
      <c r="C35" s="22">
        <v>13200.0</v>
      </c>
      <c r="D35" s="26">
        <v>2023.0</v>
      </c>
      <c r="E35" s="24">
        <v>44980.0</v>
      </c>
      <c r="F35" s="49" t="s">
        <v>273</v>
      </c>
      <c r="G35" s="26" t="s">
        <v>50</v>
      </c>
      <c r="H35" s="26" t="s">
        <v>142</v>
      </c>
      <c r="I35" s="26" t="s">
        <v>29</v>
      </c>
      <c r="J35" s="26">
        <v>1.0</v>
      </c>
      <c r="K35" s="27"/>
      <c r="L35" s="28"/>
      <c r="M35" s="34" t="s">
        <v>274</v>
      </c>
      <c r="N35" s="35" t="s">
        <v>275</v>
      </c>
      <c r="O35" s="31"/>
      <c r="P35" s="32">
        <v>456.0</v>
      </c>
      <c r="Q35" s="38"/>
      <c r="R35" s="21"/>
      <c r="S35" s="21"/>
      <c r="T35" s="21"/>
      <c r="U35" s="21"/>
      <c r="V35" s="21"/>
      <c r="W35" s="21"/>
      <c r="X35" s="21"/>
      <c r="Y35" s="21"/>
      <c r="Z35" s="21"/>
    </row>
    <row r="36" ht="49.5" customHeight="1">
      <c r="A36" s="159" t="s">
        <v>1888</v>
      </c>
      <c r="B36" s="115" t="s">
        <v>1889</v>
      </c>
      <c r="C36" s="22">
        <v>1.8E7</v>
      </c>
      <c r="D36" s="26">
        <v>2008.0</v>
      </c>
      <c r="E36" s="101">
        <v>39479.0</v>
      </c>
      <c r="F36" s="34" t="s">
        <v>1890</v>
      </c>
      <c r="G36" s="115" t="s">
        <v>28</v>
      </c>
      <c r="H36" s="115" t="s">
        <v>23</v>
      </c>
      <c r="I36" s="53"/>
      <c r="J36" s="26">
        <v>3.0</v>
      </c>
      <c r="K36" s="57"/>
      <c r="L36" s="53"/>
      <c r="M36" s="34" t="s">
        <v>1826</v>
      </c>
      <c r="N36" s="135" t="s">
        <v>1891</v>
      </c>
      <c r="O36" s="19"/>
      <c r="P36" s="32">
        <v>32.0</v>
      </c>
      <c r="Q36" s="32"/>
      <c r="R36" s="32"/>
      <c r="S36" s="32"/>
      <c r="T36" s="32"/>
      <c r="U36" s="32"/>
      <c r="V36" s="32"/>
      <c r="W36" s="32"/>
      <c r="X36" s="32"/>
      <c r="Y36" s="32"/>
      <c r="Z36" s="32"/>
    </row>
    <row r="37" ht="49.5" customHeight="1">
      <c r="A37" s="114" t="s">
        <v>1269</v>
      </c>
      <c r="B37" s="53"/>
      <c r="C37" s="22">
        <v>30.0</v>
      </c>
      <c r="D37" s="26">
        <v>2015.0</v>
      </c>
      <c r="E37" s="101">
        <v>42064.0</v>
      </c>
      <c r="F37" s="34" t="s">
        <v>1270</v>
      </c>
      <c r="G37" s="130" t="s">
        <v>64</v>
      </c>
      <c r="H37" s="105" t="s">
        <v>142</v>
      </c>
      <c r="I37" s="34" t="s">
        <v>29</v>
      </c>
      <c r="J37" s="26">
        <v>4.0</v>
      </c>
      <c r="K37" s="57"/>
      <c r="L37" s="53"/>
      <c r="M37" s="53" t="s">
        <v>325</v>
      </c>
      <c r="N37" s="157" t="s">
        <v>1271</v>
      </c>
      <c r="O37" s="19"/>
      <c r="P37" s="32">
        <v>187.0</v>
      </c>
      <c r="Q37" s="32"/>
      <c r="R37" s="32"/>
      <c r="S37" s="32"/>
      <c r="T37" s="32"/>
      <c r="U37" s="32"/>
      <c r="V37" s="32"/>
      <c r="W37" s="32"/>
      <c r="X37" s="32"/>
      <c r="Y37" s="32"/>
      <c r="Z37" s="32"/>
    </row>
    <row r="38" ht="49.5" customHeight="1">
      <c r="A38" s="103" t="s">
        <v>715</v>
      </c>
      <c r="B38" s="104"/>
      <c r="C38" s="22">
        <v>200000.0</v>
      </c>
      <c r="D38" s="26">
        <v>2019.0</v>
      </c>
      <c r="E38" s="108">
        <v>43617.0</v>
      </c>
      <c r="F38" s="26" t="s">
        <v>716</v>
      </c>
      <c r="G38" s="26" t="s">
        <v>110</v>
      </c>
      <c r="H38" s="26" t="s">
        <v>23</v>
      </c>
      <c r="I38" s="26"/>
      <c r="J38" s="26">
        <v>4.0</v>
      </c>
      <c r="K38" s="27"/>
      <c r="L38" s="28"/>
      <c r="M38" s="105" t="s">
        <v>507</v>
      </c>
      <c r="N38" s="106" t="s">
        <v>717</v>
      </c>
      <c r="O38" s="107"/>
      <c r="P38" s="32">
        <v>340.0</v>
      </c>
      <c r="Q38" s="32"/>
      <c r="R38" s="32"/>
      <c r="S38" s="32"/>
      <c r="T38" s="32"/>
      <c r="U38" s="32"/>
      <c r="V38" s="32"/>
      <c r="W38" s="32"/>
      <c r="X38" s="32"/>
      <c r="Y38" s="32"/>
      <c r="Z38" s="32"/>
    </row>
    <row r="39" ht="49.5" customHeight="1">
      <c r="A39" s="165" t="s">
        <v>1979</v>
      </c>
      <c r="B39" s="130" t="s">
        <v>1980</v>
      </c>
      <c r="C39" s="22">
        <v>125000.0</v>
      </c>
      <c r="D39" s="26">
        <v>2006.0</v>
      </c>
      <c r="E39" s="101">
        <v>38899.0</v>
      </c>
      <c r="F39" s="34" t="s">
        <v>1981</v>
      </c>
      <c r="G39" s="26" t="s">
        <v>58</v>
      </c>
      <c r="H39" s="130" t="s">
        <v>51</v>
      </c>
      <c r="I39" s="28"/>
      <c r="J39" s="26">
        <v>2.0</v>
      </c>
      <c r="K39" s="57"/>
      <c r="L39" s="28"/>
      <c r="M39" s="53" t="s">
        <v>829</v>
      </c>
      <c r="N39" s="106" t="s">
        <v>1982</v>
      </c>
      <c r="O39" s="113"/>
      <c r="P39" s="32">
        <v>8.0</v>
      </c>
      <c r="Q39" s="32"/>
      <c r="R39" s="32"/>
      <c r="S39" s="32"/>
      <c r="T39" s="32"/>
      <c r="U39" s="32"/>
      <c r="V39" s="32"/>
      <c r="W39" s="32"/>
      <c r="X39" s="32"/>
      <c r="Y39" s="32"/>
      <c r="Z39" s="32"/>
    </row>
    <row r="40" ht="49.5" customHeight="1">
      <c r="A40" s="114" t="s">
        <v>1768</v>
      </c>
      <c r="B40" s="28"/>
      <c r="C40" s="22">
        <v>1220000.0</v>
      </c>
      <c r="D40" s="26">
        <v>2010.0</v>
      </c>
      <c r="E40" s="101">
        <v>40210.0</v>
      </c>
      <c r="F40" s="26" t="s">
        <v>1769</v>
      </c>
      <c r="G40" s="26" t="s">
        <v>258</v>
      </c>
      <c r="H40" s="26" t="s">
        <v>1034</v>
      </c>
      <c r="I40" s="28"/>
      <c r="J40" s="225" t="s">
        <v>1770</v>
      </c>
      <c r="K40" s="57"/>
      <c r="L40" s="53"/>
      <c r="M40" s="34" t="s">
        <v>1771</v>
      </c>
      <c r="N40" s="135" t="s">
        <v>1772</v>
      </c>
      <c r="O40" s="117"/>
      <c r="P40" s="32">
        <v>61.0</v>
      </c>
      <c r="Q40" s="32"/>
      <c r="R40" s="32"/>
      <c r="S40" s="32"/>
      <c r="T40" s="32"/>
      <c r="U40" s="32"/>
      <c r="V40" s="32"/>
      <c r="W40" s="32"/>
      <c r="X40" s="32"/>
      <c r="Y40" s="32"/>
      <c r="Z40" s="32"/>
    </row>
    <row r="41" ht="49.5" customHeight="1">
      <c r="A41" s="62" t="s">
        <v>493</v>
      </c>
      <c r="B41" s="63"/>
      <c r="C41" s="64">
        <v>4101101.0</v>
      </c>
      <c r="D41" s="68">
        <v>2019.0</v>
      </c>
      <c r="E41" s="66">
        <v>43800.0</v>
      </c>
      <c r="F41" s="68" t="s">
        <v>494</v>
      </c>
      <c r="G41" s="68" t="s">
        <v>38</v>
      </c>
      <c r="H41" s="68" t="s">
        <v>23</v>
      </c>
      <c r="I41" s="68"/>
      <c r="J41" s="68">
        <v>1.0</v>
      </c>
      <c r="K41" s="69" t="s">
        <v>495</v>
      </c>
      <c r="L41" s="70"/>
      <c r="M41" s="71" t="s">
        <v>469</v>
      </c>
      <c r="N41" s="77" t="s">
        <v>496</v>
      </c>
      <c r="O41" s="73"/>
      <c r="P41" s="74">
        <v>397.0</v>
      </c>
      <c r="Q41" s="74"/>
      <c r="R41" s="74"/>
      <c r="S41" s="74"/>
      <c r="T41" s="74"/>
      <c r="U41" s="74"/>
      <c r="V41" s="74"/>
      <c r="W41" s="74"/>
      <c r="X41" s="74"/>
      <c r="Y41" s="74"/>
      <c r="Z41" s="74"/>
    </row>
    <row r="42" ht="49.5" customHeight="1">
      <c r="A42" s="226" t="s">
        <v>108</v>
      </c>
      <c r="B42" s="213"/>
      <c r="C42" s="214">
        <v>31000.0</v>
      </c>
      <c r="D42" s="215">
        <v>2025.0</v>
      </c>
      <c r="E42" s="216">
        <v>45713.0</v>
      </c>
      <c r="F42" s="227" t="s">
        <v>109</v>
      </c>
      <c r="G42" s="215" t="s">
        <v>110</v>
      </c>
      <c r="H42" s="215" t="s">
        <v>23</v>
      </c>
      <c r="I42" s="215"/>
      <c r="J42" s="215">
        <v>3.0</v>
      </c>
      <c r="K42" s="218"/>
      <c r="L42" s="219"/>
      <c r="M42" s="220" t="s">
        <v>85</v>
      </c>
      <c r="N42" s="221" t="s">
        <v>111</v>
      </c>
      <c r="O42" s="222"/>
      <c r="P42" s="223">
        <v>502.0</v>
      </c>
      <c r="Q42" s="215"/>
      <c r="R42" s="224"/>
      <c r="S42" s="224"/>
      <c r="T42" s="224"/>
      <c r="U42" s="224"/>
      <c r="V42" s="224"/>
      <c r="W42" s="224"/>
      <c r="X42" s="224"/>
      <c r="Y42" s="224"/>
      <c r="Z42" s="224"/>
    </row>
    <row r="43" ht="49.5" customHeight="1">
      <c r="A43" s="144" t="s">
        <v>1119</v>
      </c>
      <c r="B43" s="142"/>
      <c r="C43" s="119">
        <v>3700000.0</v>
      </c>
      <c r="D43" s="26">
        <v>2016.0</v>
      </c>
      <c r="E43" s="101">
        <v>42583.0</v>
      </c>
      <c r="F43" s="50" t="s">
        <v>1120</v>
      </c>
      <c r="G43" s="26" t="s">
        <v>258</v>
      </c>
      <c r="H43" s="28" t="s">
        <v>23</v>
      </c>
      <c r="I43" s="53"/>
      <c r="J43" s="26">
        <v>3.0</v>
      </c>
      <c r="K43" s="57"/>
      <c r="L43" s="53"/>
      <c r="M43" s="34" t="s">
        <v>1121</v>
      </c>
      <c r="N43" s="106" t="s">
        <v>1122</v>
      </c>
      <c r="O43" s="117"/>
      <c r="P43" s="32">
        <v>224.0</v>
      </c>
      <c r="Q43" s="32"/>
      <c r="R43" s="32"/>
      <c r="S43" s="32"/>
      <c r="T43" s="32"/>
      <c r="U43" s="32"/>
      <c r="V43" s="32"/>
      <c r="W43" s="32"/>
      <c r="X43" s="32"/>
      <c r="Y43" s="32"/>
      <c r="Z43" s="32"/>
    </row>
    <row r="44" ht="49.5" customHeight="1">
      <c r="A44" s="20" t="s">
        <v>147</v>
      </c>
      <c r="B44" s="21"/>
      <c r="C44" s="22">
        <v>25000.0</v>
      </c>
      <c r="D44" s="26">
        <v>2024.0</v>
      </c>
      <c r="E44" s="24">
        <v>45433.0</v>
      </c>
      <c r="F44" s="38" t="s">
        <v>167</v>
      </c>
      <c r="G44" s="26" t="s">
        <v>38</v>
      </c>
      <c r="H44" s="26" t="s">
        <v>23</v>
      </c>
      <c r="I44" s="26"/>
      <c r="J44" s="26">
        <v>2.0</v>
      </c>
      <c r="K44" s="27"/>
      <c r="L44" s="28"/>
      <c r="M44" s="34" t="s">
        <v>85</v>
      </c>
      <c r="N44" s="35" t="s">
        <v>168</v>
      </c>
      <c r="O44" s="31"/>
      <c r="P44" s="32">
        <v>485.0</v>
      </c>
      <c r="Q44" s="26"/>
      <c r="R44" s="21"/>
      <c r="S44" s="21"/>
      <c r="T44" s="21"/>
      <c r="U44" s="21"/>
      <c r="V44" s="21"/>
      <c r="W44" s="21"/>
      <c r="X44" s="21"/>
      <c r="Y44" s="21"/>
      <c r="Z44" s="21"/>
    </row>
    <row r="45" ht="49.5" customHeight="1">
      <c r="A45" s="20" t="s">
        <v>1046</v>
      </c>
      <c r="B45" s="26"/>
      <c r="C45" s="22">
        <v>1900000.0</v>
      </c>
      <c r="D45" s="26">
        <v>2017.0</v>
      </c>
      <c r="E45" s="101">
        <v>42856.0</v>
      </c>
      <c r="F45" s="26" t="s">
        <v>1047</v>
      </c>
      <c r="G45" s="26" t="s">
        <v>129</v>
      </c>
      <c r="H45" s="26" t="s">
        <v>23</v>
      </c>
      <c r="I45" s="28"/>
      <c r="J45" s="26">
        <v>1.0</v>
      </c>
      <c r="K45" s="57"/>
      <c r="L45" s="28"/>
      <c r="M45" s="53" t="s">
        <v>706</v>
      </c>
      <c r="N45" s="106" t="s">
        <v>1048</v>
      </c>
      <c r="O45" s="113"/>
      <c r="P45" s="32">
        <v>242.0</v>
      </c>
      <c r="Q45" s="32"/>
      <c r="R45" s="32"/>
      <c r="S45" s="32"/>
      <c r="T45" s="32"/>
      <c r="U45" s="32"/>
      <c r="V45" s="32"/>
      <c r="W45" s="32"/>
      <c r="X45" s="32"/>
      <c r="Y45" s="32"/>
      <c r="Z45" s="32"/>
    </row>
    <row r="46" ht="49.5" customHeight="1">
      <c r="A46" s="165" t="s">
        <v>1640</v>
      </c>
      <c r="B46" s="130" t="s">
        <v>1641</v>
      </c>
      <c r="C46" s="22">
        <v>2300000.0</v>
      </c>
      <c r="D46" s="26">
        <v>2011.0</v>
      </c>
      <c r="E46" s="101">
        <v>40664.0</v>
      </c>
      <c r="F46" s="26" t="s">
        <v>1642</v>
      </c>
      <c r="G46" s="130" t="s">
        <v>28</v>
      </c>
      <c r="H46" s="130" t="s">
        <v>23</v>
      </c>
      <c r="I46" s="28"/>
      <c r="J46" s="26">
        <v>3.0</v>
      </c>
      <c r="K46" s="57"/>
      <c r="L46" s="28"/>
      <c r="M46" s="34" t="s">
        <v>1643</v>
      </c>
      <c r="N46" s="106" t="s">
        <v>1644</v>
      </c>
      <c r="O46" s="113"/>
      <c r="P46" s="32">
        <v>95.0</v>
      </c>
      <c r="Q46" s="32"/>
      <c r="R46" s="32"/>
      <c r="S46" s="32"/>
      <c r="T46" s="32"/>
      <c r="U46" s="32"/>
      <c r="V46" s="32"/>
      <c r="W46" s="32"/>
      <c r="X46" s="32"/>
      <c r="Y46" s="32"/>
      <c r="Z46" s="32"/>
    </row>
    <row r="47" ht="49.5" customHeight="1">
      <c r="A47" s="165" t="s">
        <v>1690</v>
      </c>
      <c r="B47" s="130" t="s">
        <v>1691</v>
      </c>
      <c r="C47" s="22">
        <v>200000.0</v>
      </c>
      <c r="D47" s="26">
        <v>2011.0</v>
      </c>
      <c r="E47" s="101">
        <v>40695.0</v>
      </c>
      <c r="F47" s="26" t="s">
        <v>1692</v>
      </c>
      <c r="G47" s="130" t="s">
        <v>236</v>
      </c>
      <c r="H47" s="130" t="s">
        <v>23</v>
      </c>
      <c r="I47" s="28"/>
      <c r="J47" s="130">
        <v>1.0</v>
      </c>
      <c r="K47" s="57"/>
      <c r="L47" s="28"/>
      <c r="M47" s="53" t="s">
        <v>1608</v>
      </c>
      <c r="N47" s="106" t="s">
        <v>1693</v>
      </c>
      <c r="O47" s="113"/>
      <c r="P47" s="32">
        <v>82.0</v>
      </c>
      <c r="Q47" s="32"/>
      <c r="R47" s="32"/>
      <c r="S47" s="32"/>
      <c r="T47" s="32"/>
      <c r="U47" s="32"/>
      <c r="V47" s="32"/>
      <c r="W47" s="32"/>
      <c r="X47" s="32"/>
      <c r="Y47" s="32"/>
      <c r="Z47" s="32"/>
    </row>
    <row r="48" ht="49.5" customHeight="1">
      <c r="A48" s="20" t="s">
        <v>779</v>
      </c>
      <c r="B48" s="26"/>
      <c r="C48" s="22">
        <v>7600000.0</v>
      </c>
      <c r="D48" s="26">
        <v>2019.0</v>
      </c>
      <c r="E48" s="101">
        <v>43466.0</v>
      </c>
      <c r="F48" s="26" t="s">
        <v>780</v>
      </c>
      <c r="G48" s="26" t="s">
        <v>236</v>
      </c>
      <c r="H48" s="34" t="s">
        <v>23</v>
      </c>
      <c r="I48" s="28"/>
      <c r="J48" s="26">
        <v>1.0</v>
      </c>
      <c r="K48" s="27" t="str">
        <f>IF(C48&gt;100000000,C48,"")</f>
        <v/>
      </c>
      <c r="L48" s="110"/>
      <c r="M48" s="26" t="s">
        <v>571</v>
      </c>
      <c r="N48" s="106" t="s">
        <v>781</v>
      </c>
      <c r="O48" s="107"/>
      <c r="P48" s="32">
        <v>309.0</v>
      </c>
      <c r="Q48" s="32"/>
      <c r="R48" s="32"/>
      <c r="S48" s="32"/>
      <c r="T48" s="32"/>
      <c r="U48" s="32"/>
      <c r="V48" s="32"/>
      <c r="W48" s="32"/>
      <c r="X48" s="32"/>
      <c r="Y48" s="32"/>
      <c r="Z48" s="32"/>
    </row>
    <row r="49" ht="49.5" customHeight="1">
      <c r="A49" s="114" t="s">
        <v>1564</v>
      </c>
      <c r="B49" s="115" t="s">
        <v>1565</v>
      </c>
      <c r="C49" s="22">
        <v>1.4E7</v>
      </c>
      <c r="D49" s="26">
        <v>2012.0</v>
      </c>
      <c r="E49" s="101">
        <v>41122.0</v>
      </c>
      <c r="F49" s="34" t="s">
        <v>1566</v>
      </c>
      <c r="G49" s="115" t="s">
        <v>236</v>
      </c>
      <c r="H49" s="115" t="s">
        <v>23</v>
      </c>
      <c r="I49" s="53"/>
      <c r="J49" s="26">
        <v>2.0</v>
      </c>
      <c r="K49" s="57"/>
      <c r="L49" s="53"/>
      <c r="M49" s="34" t="s">
        <v>278</v>
      </c>
      <c r="N49" s="135" t="s">
        <v>1567</v>
      </c>
      <c r="O49" s="19"/>
      <c r="P49" s="32">
        <v>113.0</v>
      </c>
      <c r="Q49" s="32"/>
      <c r="R49" s="32"/>
      <c r="S49" s="32"/>
      <c r="T49" s="32"/>
      <c r="U49" s="32"/>
      <c r="V49" s="32"/>
      <c r="W49" s="32"/>
      <c r="X49" s="32"/>
      <c r="Y49" s="32"/>
      <c r="Z49" s="32"/>
    </row>
    <row r="50" ht="49.5" customHeight="1">
      <c r="A50" s="165" t="s">
        <v>1773</v>
      </c>
      <c r="B50" s="130" t="s">
        <v>1774</v>
      </c>
      <c r="C50" s="22">
        <v>1023209.0</v>
      </c>
      <c r="D50" s="26">
        <v>2010.0</v>
      </c>
      <c r="E50" s="101">
        <v>40299.0</v>
      </c>
      <c r="F50" s="26" t="s">
        <v>1775</v>
      </c>
      <c r="G50" s="26" t="s">
        <v>258</v>
      </c>
      <c r="H50" s="26" t="s">
        <v>1034</v>
      </c>
      <c r="I50" s="130" t="s">
        <v>29</v>
      </c>
      <c r="J50" s="26">
        <v>2.0</v>
      </c>
      <c r="K50" s="57"/>
      <c r="L50" s="28"/>
      <c r="M50" s="34" t="s">
        <v>1026</v>
      </c>
      <c r="N50" s="106" t="s">
        <v>1776</v>
      </c>
      <c r="O50" s="109"/>
      <c r="P50" s="32">
        <v>60.0</v>
      </c>
      <c r="Q50" s="32"/>
      <c r="R50" s="32"/>
      <c r="S50" s="32"/>
      <c r="T50" s="32"/>
      <c r="U50" s="32"/>
      <c r="V50" s="32"/>
      <c r="W50" s="32"/>
      <c r="X50" s="32"/>
      <c r="Y50" s="32"/>
      <c r="Z50" s="32"/>
    </row>
    <row r="51" ht="49.5" customHeight="1">
      <c r="A51" s="20" t="s">
        <v>775</v>
      </c>
      <c r="B51" s="26" t="s">
        <v>776</v>
      </c>
      <c r="C51" s="22">
        <v>2400000.0</v>
      </c>
      <c r="D51" s="26">
        <v>2019.0</v>
      </c>
      <c r="E51" s="101">
        <v>43466.0</v>
      </c>
      <c r="F51" s="26" t="s">
        <v>777</v>
      </c>
      <c r="G51" s="26" t="s">
        <v>50</v>
      </c>
      <c r="H51" s="34" t="s">
        <v>142</v>
      </c>
      <c r="I51" s="28"/>
      <c r="J51" s="26">
        <v>1.0</v>
      </c>
      <c r="K51" s="27" t="str">
        <f>IF(C51&gt;100000000,C51,"")</f>
        <v/>
      </c>
      <c r="L51" s="110"/>
      <c r="M51" s="26" t="s">
        <v>571</v>
      </c>
      <c r="N51" s="106" t="s">
        <v>778</v>
      </c>
      <c r="O51" s="107"/>
      <c r="P51" s="32">
        <v>310.0</v>
      </c>
      <c r="Q51" s="32"/>
      <c r="R51" s="32"/>
      <c r="S51" s="32"/>
      <c r="T51" s="32"/>
      <c r="U51" s="32"/>
      <c r="V51" s="32"/>
      <c r="W51" s="32"/>
      <c r="X51" s="32"/>
      <c r="Y51" s="32"/>
      <c r="Z51" s="32"/>
    </row>
    <row r="52" ht="49.5" customHeight="1">
      <c r="A52" s="165" t="s">
        <v>1871</v>
      </c>
      <c r="B52" s="130" t="s">
        <v>1872</v>
      </c>
      <c r="C52" s="22">
        <v>4500000.0</v>
      </c>
      <c r="D52" s="26">
        <v>2008.0</v>
      </c>
      <c r="E52" s="101">
        <v>39569.0</v>
      </c>
      <c r="F52" s="26" t="s">
        <v>1873</v>
      </c>
      <c r="G52" s="26" t="s">
        <v>58</v>
      </c>
      <c r="H52" s="26" t="s">
        <v>1034</v>
      </c>
      <c r="I52" s="28"/>
      <c r="J52" s="130">
        <v>1.0</v>
      </c>
      <c r="K52" s="57"/>
      <c r="L52" s="28"/>
      <c r="M52" s="105" t="s">
        <v>286</v>
      </c>
      <c r="N52" s="106" t="s">
        <v>1874</v>
      </c>
      <c r="O52" s="113"/>
      <c r="P52" s="32">
        <v>36.0</v>
      </c>
      <c r="Q52" s="32"/>
      <c r="R52" s="32"/>
      <c r="S52" s="32"/>
      <c r="T52" s="32"/>
      <c r="U52" s="32"/>
      <c r="V52" s="32"/>
      <c r="W52" s="32"/>
      <c r="X52" s="32"/>
      <c r="Y52" s="32"/>
      <c r="Z52" s="32"/>
    </row>
    <row r="53" ht="49.5" customHeight="1">
      <c r="A53" s="103" t="s">
        <v>756</v>
      </c>
      <c r="B53" s="104"/>
      <c r="C53" s="22">
        <v>8000000.0</v>
      </c>
      <c r="D53" s="26">
        <v>2019.0</v>
      </c>
      <c r="E53" s="101">
        <v>43497.0</v>
      </c>
      <c r="F53" s="26" t="s">
        <v>745</v>
      </c>
      <c r="G53" s="26" t="s">
        <v>28</v>
      </c>
      <c r="H53" s="26" t="s">
        <v>23</v>
      </c>
      <c r="I53" s="28"/>
      <c r="J53" s="26">
        <v>1.0</v>
      </c>
      <c r="K53" s="27" t="str">
        <f>IF(C53&gt;100000000,C53,"")</f>
        <v/>
      </c>
      <c r="L53" s="28"/>
      <c r="M53" s="105" t="s">
        <v>227</v>
      </c>
      <c r="N53" s="106" t="s">
        <v>747</v>
      </c>
      <c r="O53" s="109"/>
      <c r="P53" s="32">
        <v>323.0</v>
      </c>
      <c r="Q53" s="32"/>
      <c r="R53" s="32"/>
      <c r="S53" s="32"/>
      <c r="T53" s="32"/>
      <c r="U53" s="32"/>
      <c r="V53" s="32"/>
      <c r="W53" s="32"/>
      <c r="X53" s="32"/>
      <c r="Y53" s="32"/>
      <c r="Z53" s="32"/>
    </row>
    <row r="54" ht="49.5" customHeight="1">
      <c r="A54" s="20" t="s">
        <v>666</v>
      </c>
      <c r="B54" s="51"/>
      <c r="C54" s="22">
        <v>150000.0</v>
      </c>
      <c r="D54" s="26">
        <v>2020.0</v>
      </c>
      <c r="E54" s="101">
        <v>43891.0</v>
      </c>
      <c r="F54" s="26" t="s">
        <v>667</v>
      </c>
      <c r="G54" s="26" t="s">
        <v>43</v>
      </c>
      <c r="H54" s="26" t="s">
        <v>23</v>
      </c>
      <c r="I54" s="28"/>
      <c r="J54" s="26">
        <v>1.0</v>
      </c>
      <c r="K54" s="27" t="s">
        <v>668</v>
      </c>
      <c r="L54" s="28"/>
      <c r="M54" s="34" t="s">
        <v>669</v>
      </c>
      <c r="N54" s="100" t="s">
        <v>670</v>
      </c>
      <c r="O54" s="31"/>
      <c r="P54" s="32">
        <v>351.0</v>
      </c>
      <c r="Q54" s="32"/>
      <c r="R54" s="32"/>
      <c r="S54" s="32"/>
      <c r="T54" s="32"/>
      <c r="U54" s="32"/>
      <c r="V54" s="32"/>
      <c r="W54" s="32"/>
      <c r="X54" s="32"/>
      <c r="Y54" s="32"/>
      <c r="Z54" s="32"/>
    </row>
    <row r="55" ht="49.5" customHeight="1">
      <c r="A55" s="20" t="s">
        <v>1206</v>
      </c>
      <c r="B55" s="26" t="s">
        <v>1207</v>
      </c>
      <c r="C55" s="22">
        <v>790724.0</v>
      </c>
      <c r="D55" s="26">
        <v>2016.0</v>
      </c>
      <c r="E55" s="101">
        <v>42614.0</v>
      </c>
      <c r="F55" s="34" t="s">
        <v>1208</v>
      </c>
      <c r="G55" s="26" t="s">
        <v>28</v>
      </c>
      <c r="H55" s="26" t="s">
        <v>23</v>
      </c>
      <c r="I55" s="28"/>
      <c r="J55" s="26">
        <v>4.0</v>
      </c>
      <c r="K55" s="23"/>
      <c r="L55" s="26"/>
      <c r="M55" s="34" t="s">
        <v>30</v>
      </c>
      <c r="N55" s="106" t="s">
        <v>1209</v>
      </c>
      <c r="O55" s="113"/>
      <c r="P55" s="32">
        <v>202.0</v>
      </c>
      <c r="Q55" s="32"/>
      <c r="R55" s="32"/>
      <c r="S55" s="32"/>
      <c r="T55" s="32"/>
      <c r="U55" s="32"/>
      <c r="V55" s="32"/>
      <c r="W55" s="32"/>
      <c r="X55" s="32"/>
      <c r="Y55" s="32"/>
      <c r="Z55" s="32"/>
    </row>
    <row r="56" ht="49.5" customHeight="1">
      <c r="A56" s="62" t="s">
        <v>473</v>
      </c>
      <c r="B56" s="78"/>
      <c r="C56" s="64">
        <v>200000.0</v>
      </c>
      <c r="D56" s="68">
        <v>2021.0</v>
      </c>
      <c r="E56" s="66">
        <v>44470.0</v>
      </c>
      <c r="F56" s="82" t="s">
        <v>474</v>
      </c>
      <c r="G56" s="68" t="s">
        <v>43</v>
      </c>
      <c r="H56" s="68" t="s">
        <v>51</v>
      </c>
      <c r="I56" s="68"/>
      <c r="J56" s="68">
        <v>1.0</v>
      </c>
      <c r="K56" s="69"/>
      <c r="L56" s="70"/>
      <c r="M56" s="71" t="s">
        <v>475</v>
      </c>
      <c r="N56" s="72" t="s">
        <v>476</v>
      </c>
      <c r="O56" s="73"/>
      <c r="P56" s="74">
        <v>403.0</v>
      </c>
      <c r="Q56" s="74"/>
      <c r="R56" s="74"/>
      <c r="S56" s="74"/>
      <c r="T56" s="74"/>
      <c r="U56" s="74"/>
      <c r="V56" s="74"/>
      <c r="W56" s="74"/>
      <c r="X56" s="74"/>
      <c r="Y56" s="74"/>
      <c r="Z56" s="74"/>
    </row>
    <row r="57" ht="49.5" customHeight="1">
      <c r="A57" s="20" t="s">
        <v>805</v>
      </c>
      <c r="B57" s="98" t="s">
        <v>806</v>
      </c>
      <c r="C57" s="22">
        <v>2.6E7</v>
      </c>
      <c r="D57" s="26">
        <v>2019.0</v>
      </c>
      <c r="E57" s="101">
        <v>43739.0</v>
      </c>
      <c r="F57" s="26" t="s">
        <v>807</v>
      </c>
      <c r="G57" s="26" t="s">
        <v>28</v>
      </c>
      <c r="H57" s="26" t="s">
        <v>23</v>
      </c>
      <c r="I57" s="28"/>
      <c r="J57" s="26">
        <v>3.0</v>
      </c>
      <c r="K57" s="27" t="s">
        <v>808</v>
      </c>
      <c r="L57" s="28"/>
      <c r="M57" s="34" t="s">
        <v>247</v>
      </c>
      <c r="N57" s="102" t="s">
        <v>809</v>
      </c>
      <c r="O57" s="31"/>
      <c r="P57" s="32">
        <v>302.0</v>
      </c>
      <c r="Q57" s="32"/>
      <c r="R57" s="32"/>
      <c r="S57" s="32"/>
      <c r="T57" s="32"/>
      <c r="U57" s="32"/>
      <c r="V57" s="32"/>
      <c r="W57" s="32"/>
      <c r="X57" s="32"/>
      <c r="Y57" s="32"/>
      <c r="Z57" s="32"/>
    </row>
    <row r="58" ht="49.5" customHeight="1">
      <c r="A58" s="20" t="s">
        <v>882</v>
      </c>
      <c r="B58" s="26"/>
      <c r="C58" s="22">
        <v>380000.0</v>
      </c>
      <c r="D58" s="26">
        <v>2018.0</v>
      </c>
      <c r="E58" s="101">
        <v>43344.0</v>
      </c>
      <c r="F58" s="26" t="s">
        <v>883</v>
      </c>
      <c r="G58" s="26" t="s">
        <v>22</v>
      </c>
      <c r="H58" s="26" t="s">
        <v>23</v>
      </c>
      <c r="I58" s="28"/>
      <c r="J58" s="26">
        <v>4.0</v>
      </c>
      <c r="K58" s="57"/>
      <c r="L58" s="110"/>
      <c r="M58" s="26" t="s">
        <v>507</v>
      </c>
      <c r="N58" s="106" t="s">
        <v>884</v>
      </c>
      <c r="O58" s="113"/>
      <c r="P58" s="32">
        <v>283.0</v>
      </c>
      <c r="Q58" s="32"/>
      <c r="R58" s="32"/>
      <c r="S58" s="32"/>
      <c r="T58" s="32"/>
      <c r="U58" s="32"/>
      <c r="V58" s="32"/>
      <c r="W58" s="32"/>
      <c r="X58" s="32"/>
      <c r="Y58" s="32"/>
      <c r="Z58" s="32"/>
    </row>
    <row r="59" ht="49.5" customHeight="1">
      <c r="A59" s="114" t="s">
        <v>882</v>
      </c>
      <c r="B59" s="115" t="s">
        <v>1307</v>
      </c>
      <c r="C59" s="22">
        <v>10000.0</v>
      </c>
      <c r="D59" s="26">
        <v>2015.0</v>
      </c>
      <c r="E59" s="101">
        <v>42064.0</v>
      </c>
      <c r="F59" s="34" t="s">
        <v>1308</v>
      </c>
      <c r="G59" s="26" t="s">
        <v>22</v>
      </c>
      <c r="H59" s="130" t="s">
        <v>23</v>
      </c>
      <c r="I59" s="53"/>
      <c r="J59" s="130">
        <v>1.0</v>
      </c>
      <c r="K59" s="57"/>
      <c r="L59" s="53"/>
      <c r="M59" s="53" t="s">
        <v>325</v>
      </c>
      <c r="N59" s="160" t="s">
        <v>1309</v>
      </c>
      <c r="O59" s="117"/>
      <c r="P59" s="32">
        <v>178.0</v>
      </c>
      <c r="Q59" s="32"/>
      <c r="R59" s="32"/>
      <c r="S59" s="32"/>
      <c r="T59" s="32"/>
      <c r="U59" s="32"/>
      <c r="V59" s="32"/>
      <c r="W59" s="32"/>
      <c r="X59" s="32"/>
      <c r="Y59" s="32"/>
      <c r="Z59" s="32"/>
    </row>
    <row r="60" ht="49.5" customHeight="1">
      <c r="A60" s="20" t="s">
        <v>694</v>
      </c>
      <c r="B60" s="51"/>
      <c r="C60" s="22">
        <v>5000000.0</v>
      </c>
      <c r="D60" s="26">
        <v>2020.0</v>
      </c>
      <c r="E60" s="101">
        <v>43831.0</v>
      </c>
      <c r="F60" s="26" t="s">
        <v>695</v>
      </c>
      <c r="G60" s="26" t="s">
        <v>22</v>
      </c>
      <c r="H60" s="26" t="s">
        <v>51</v>
      </c>
      <c r="I60" s="28"/>
      <c r="J60" s="26">
        <v>2.0</v>
      </c>
      <c r="K60" s="27" t="s">
        <v>461</v>
      </c>
      <c r="L60" s="28"/>
      <c r="M60" s="34" t="s">
        <v>696</v>
      </c>
      <c r="N60" s="102" t="s">
        <v>697</v>
      </c>
      <c r="O60" s="31"/>
      <c r="P60" s="32">
        <v>345.0</v>
      </c>
      <c r="Q60" s="32"/>
      <c r="R60" s="32"/>
      <c r="S60" s="32"/>
      <c r="T60" s="32"/>
      <c r="U60" s="32"/>
      <c r="V60" s="32"/>
      <c r="W60" s="32"/>
      <c r="X60" s="32"/>
      <c r="Y60" s="32"/>
      <c r="Z60" s="32"/>
    </row>
    <row r="61" ht="49.5" customHeight="1">
      <c r="A61" s="20" t="s">
        <v>786</v>
      </c>
      <c r="B61" s="111"/>
      <c r="C61" s="22">
        <v>5000000.0</v>
      </c>
      <c r="D61" s="26">
        <v>2019.0</v>
      </c>
      <c r="E61" s="101">
        <v>43647.0</v>
      </c>
      <c r="F61" s="26" t="s">
        <v>787</v>
      </c>
      <c r="G61" s="26" t="s">
        <v>64</v>
      </c>
      <c r="H61" s="26" t="s">
        <v>23</v>
      </c>
      <c r="I61" s="28"/>
      <c r="J61" s="26">
        <v>2.0</v>
      </c>
      <c r="K61" s="27"/>
      <c r="L61" s="28"/>
      <c r="M61" s="34" t="s">
        <v>571</v>
      </c>
      <c r="N61" s="102" t="s">
        <v>788</v>
      </c>
      <c r="O61" s="31"/>
      <c r="P61" s="32">
        <v>307.0</v>
      </c>
      <c r="Q61" s="32"/>
      <c r="R61" s="32"/>
      <c r="S61" s="32"/>
      <c r="T61" s="32"/>
      <c r="U61" s="32"/>
      <c r="V61" s="32"/>
      <c r="W61" s="32"/>
      <c r="X61" s="32"/>
      <c r="Y61" s="32"/>
      <c r="Z61" s="32"/>
    </row>
    <row r="62" ht="49.5" customHeight="1">
      <c r="A62" s="165" t="s">
        <v>1546</v>
      </c>
      <c r="B62" s="28"/>
      <c r="C62" s="22">
        <v>800000.0</v>
      </c>
      <c r="D62" s="26">
        <v>2012.0</v>
      </c>
      <c r="E62" s="101">
        <v>41000.0</v>
      </c>
      <c r="F62" s="26" t="s">
        <v>1547</v>
      </c>
      <c r="G62" s="130" t="s">
        <v>64</v>
      </c>
      <c r="H62" s="26" t="s">
        <v>1034</v>
      </c>
      <c r="I62" s="28"/>
      <c r="J62" s="26">
        <v>2.0</v>
      </c>
      <c r="K62" s="57"/>
      <c r="L62" s="28"/>
      <c r="M62" s="105" t="s">
        <v>591</v>
      </c>
      <c r="N62" s="106" t="s">
        <v>1548</v>
      </c>
      <c r="O62" s="117"/>
      <c r="P62" s="32">
        <v>117.0</v>
      </c>
      <c r="Q62" s="32"/>
      <c r="R62" s="32"/>
      <c r="S62" s="32"/>
      <c r="T62" s="32"/>
      <c r="U62" s="32"/>
      <c r="V62" s="32"/>
      <c r="W62" s="32"/>
      <c r="X62" s="32"/>
      <c r="Y62" s="32"/>
      <c r="Z62" s="32"/>
    </row>
    <row r="63" ht="49.5" customHeight="1">
      <c r="A63" s="20" t="s">
        <v>620</v>
      </c>
      <c r="B63" s="51"/>
      <c r="C63" s="22">
        <v>500000.0</v>
      </c>
      <c r="D63" s="26">
        <v>2020.0</v>
      </c>
      <c r="E63" s="101">
        <v>44075.0</v>
      </c>
      <c r="F63" s="26" t="s">
        <v>621</v>
      </c>
      <c r="G63" s="26" t="s">
        <v>236</v>
      </c>
      <c r="H63" s="26" t="s">
        <v>23</v>
      </c>
      <c r="I63" s="26"/>
      <c r="J63" s="26">
        <v>1.0</v>
      </c>
      <c r="K63" s="27"/>
      <c r="L63" s="28"/>
      <c r="M63" s="34" t="s">
        <v>278</v>
      </c>
      <c r="N63" s="100" t="s">
        <v>622</v>
      </c>
      <c r="O63" s="31"/>
      <c r="P63" s="32">
        <v>362.0</v>
      </c>
      <c r="Q63" s="32"/>
      <c r="R63" s="32"/>
      <c r="S63" s="32"/>
      <c r="T63" s="32"/>
      <c r="U63" s="32"/>
      <c r="V63" s="32"/>
      <c r="W63" s="32"/>
      <c r="X63" s="32"/>
      <c r="Y63" s="32"/>
      <c r="Z63" s="32"/>
    </row>
    <row r="64" ht="49.5" customHeight="1">
      <c r="A64" s="103" t="s">
        <v>718</v>
      </c>
      <c r="B64" s="104"/>
      <c r="C64" s="22">
        <v>1.39E8</v>
      </c>
      <c r="D64" s="26">
        <v>2019.0</v>
      </c>
      <c r="E64" s="101">
        <v>43586.0</v>
      </c>
      <c r="F64" s="26" t="s">
        <v>719</v>
      </c>
      <c r="G64" s="26" t="s">
        <v>28</v>
      </c>
      <c r="H64" s="26" t="s">
        <v>23</v>
      </c>
      <c r="I64" s="26"/>
      <c r="J64" s="26">
        <v>2.0</v>
      </c>
      <c r="K64" s="27" t="s">
        <v>720</v>
      </c>
      <c r="L64" s="28"/>
      <c r="M64" s="105" t="s">
        <v>571</v>
      </c>
      <c r="N64" s="106" t="s">
        <v>721</v>
      </c>
      <c r="O64" s="107"/>
      <c r="P64" s="32">
        <v>339.0</v>
      </c>
      <c r="Q64" s="32"/>
      <c r="R64" s="32"/>
      <c r="S64" s="32"/>
      <c r="T64" s="32"/>
      <c r="U64" s="32"/>
      <c r="V64" s="32"/>
      <c r="W64" s="32"/>
      <c r="X64" s="32"/>
      <c r="Y64" s="32"/>
      <c r="Z64" s="32"/>
    </row>
    <row r="65" ht="49.5" customHeight="1">
      <c r="A65" s="20" t="s">
        <v>789</v>
      </c>
      <c r="B65" s="111"/>
      <c r="C65" s="22">
        <v>1.0E8</v>
      </c>
      <c r="D65" s="26">
        <v>2019.0</v>
      </c>
      <c r="E65" s="101">
        <v>43647.0</v>
      </c>
      <c r="F65" s="26" t="s">
        <v>790</v>
      </c>
      <c r="G65" s="26" t="s">
        <v>58</v>
      </c>
      <c r="H65" s="26" t="s">
        <v>23</v>
      </c>
      <c r="I65" s="28"/>
      <c r="J65" s="26">
        <v>3.0</v>
      </c>
      <c r="K65" s="27" t="s">
        <v>517</v>
      </c>
      <c r="L65" s="28"/>
      <c r="M65" s="34" t="s">
        <v>278</v>
      </c>
      <c r="N65" s="102" t="s">
        <v>791</v>
      </c>
      <c r="O65" s="31"/>
      <c r="P65" s="32">
        <v>306.0</v>
      </c>
      <c r="Q65" s="32"/>
      <c r="R65" s="32"/>
      <c r="S65" s="32"/>
      <c r="T65" s="32"/>
      <c r="U65" s="32"/>
      <c r="V65" s="32"/>
      <c r="W65" s="32"/>
      <c r="X65" s="32"/>
      <c r="Y65" s="32"/>
      <c r="Z65" s="32"/>
    </row>
    <row r="66" ht="49.5" customHeight="1">
      <c r="A66" s="165" t="s">
        <v>1997</v>
      </c>
      <c r="B66" s="130" t="s">
        <v>1998</v>
      </c>
      <c r="C66" s="22">
        <v>4.0E7</v>
      </c>
      <c r="D66" s="26">
        <v>2005.0</v>
      </c>
      <c r="E66" s="101">
        <v>38504.0</v>
      </c>
      <c r="F66" s="26" t="s">
        <v>1999</v>
      </c>
      <c r="G66" s="26" t="s">
        <v>58</v>
      </c>
      <c r="H66" s="130" t="s">
        <v>23</v>
      </c>
      <c r="I66" s="130" t="s">
        <v>29</v>
      </c>
      <c r="J66" s="26">
        <v>3.0</v>
      </c>
      <c r="K66" s="57"/>
      <c r="L66" s="28"/>
      <c r="M66" s="34" t="s">
        <v>410</v>
      </c>
      <c r="N66" s="106" t="s">
        <v>2000</v>
      </c>
      <c r="O66" s="113"/>
      <c r="P66" s="32">
        <v>3.0</v>
      </c>
      <c r="Q66" s="32"/>
      <c r="R66" s="32"/>
      <c r="S66" s="32"/>
      <c r="T66" s="32"/>
      <c r="U66" s="32"/>
      <c r="V66" s="32"/>
      <c r="W66" s="32"/>
      <c r="X66" s="32"/>
      <c r="Y66" s="32"/>
      <c r="Z66" s="32"/>
    </row>
    <row r="67" ht="49.5" customHeight="1">
      <c r="A67" s="20" t="s">
        <v>873</v>
      </c>
      <c r="B67" s="26" t="s">
        <v>874</v>
      </c>
      <c r="C67" s="22">
        <v>1.4E7</v>
      </c>
      <c r="D67" s="26">
        <v>2018.0</v>
      </c>
      <c r="E67" s="101">
        <v>43191.0</v>
      </c>
      <c r="F67" s="26" t="s">
        <v>875</v>
      </c>
      <c r="G67" s="26" t="s">
        <v>28</v>
      </c>
      <c r="H67" s="26" t="s">
        <v>23</v>
      </c>
      <c r="I67" s="28"/>
      <c r="J67" s="26">
        <v>2.0</v>
      </c>
      <c r="K67" s="57"/>
      <c r="L67" s="110"/>
      <c r="M67" s="26" t="s">
        <v>876</v>
      </c>
      <c r="N67" s="106" t="s">
        <v>877</v>
      </c>
      <c r="O67" s="113"/>
      <c r="P67" s="32">
        <v>285.0</v>
      </c>
      <c r="Q67" s="32"/>
      <c r="R67" s="32"/>
      <c r="S67" s="32"/>
      <c r="T67" s="32"/>
      <c r="U67" s="32"/>
      <c r="V67" s="32"/>
      <c r="W67" s="32"/>
      <c r="X67" s="32"/>
      <c r="Y67" s="32"/>
      <c r="Z67" s="32"/>
    </row>
    <row r="68" ht="49.5" customHeight="1">
      <c r="A68" s="114" t="s">
        <v>1214</v>
      </c>
      <c r="B68" s="115" t="s">
        <v>1215</v>
      </c>
      <c r="C68" s="22">
        <v>1100000.0</v>
      </c>
      <c r="D68" s="26">
        <v>2015.0</v>
      </c>
      <c r="E68" s="101">
        <v>42125.0</v>
      </c>
      <c r="F68" s="34" t="s">
        <v>1216</v>
      </c>
      <c r="G68" s="26" t="s">
        <v>258</v>
      </c>
      <c r="H68" s="115" t="s">
        <v>23</v>
      </c>
      <c r="I68" s="53"/>
      <c r="J68" s="130">
        <v>1.0</v>
      </c>
      <c r="K68" s="57"/>
      <c r="L68" s="53"/>
      <c r="M68" s="34" t="s">
        <v>702</v>
      </c>
      <c r="N68" s="146" t="s">
        <v>1217</v>
      </c>
      <c r="O68" s="19"/>
      <c r="P68" s="32">
        <v>200.0</v>
      </c>
      <c r="Q68" s="32"/>
      <c r="R68" s="32"/>
      <c r="S68" s="32"/>
      <c r="T68" s="32"/>
      <c r="U68" s="32"/>
      <c r="V68" s="32"/>
      <c r="W68" s="32"/>
      <c r="X68" s="32"/>
      <c r="Y68" s="32"/>
      <c r="Z68" s="32"/>
    </row>
    <row r="69" ht="49.5" customHeight="1">
      <c r="A69" s="114" t="s">
        <v>1303</v>
      </c>
      <c r="B69" s="115" t="s">
        <v>1304</v>
      </c>
      <c r="C69" s="22">
        <v>2400000.0</v>
      </c>
      <c r="D69" s="26">
        <v>2015.0</v>
      </c>
      <c r="E69" s="101">
        <v>42217.0</v>
      </c>
      <c r="F69" s="34" t="s">
        <v>1305</v>
      </c>
      <c r="G69" s="34" t="s">
        <v>129</v>
      </c>
      <c r="H69" s="115" t="s">
        <v>23</v>
      </c>
      <c r="I69" s="53"/>
      <c r="J69" s="26">
        <v>3.0</v>
      </c>
      <c r="K69" s="57"/>
      <c r="L69" s="53"/>
      <c r="M69" s="53" t="s">
        <v>325</v>
      </c>
      <c r="N69" s="160" t="s">
        <v>1306</v>
      </c>
      <c r="O69" s="19"/>
      <c r="P69" s="32">
        <v>179.0</v>
      </c>
      <c r="Q69" s="32"/>
      <c r="R69" s="32"/>
      <c r="S69" s="32"/>
      <c r="T69" s="32"/>
      <c r="U69" s="32"/>
      <c r="V69" s="32"/>
      <c r="W69" s="32"/>
      <c r="X69" s="32"/>
      <c r="Y69" s="32"/>
      <c r="Z69" s="32"/>
    </row>
    <row r="70" ht="49.5" customHeight="1">
      <c r="A70" s="226" t="s">
        <v>41</v>
      </c>
      <c r="B70" s="224"/>
      <c r="C70" s="214">
        <v>100000.0</v>
      </c>
      <c r="D70" s="215">
        <v>2025.0</v>
      </c>
      <c r="E70" s="216">
        <v>45810.0</v>
      </c>
      <c r="F70" s="227" t="s">
        <v>42</v>
      </c>
      <c r="G70" s="215" t="s">
        <v>43</v>
      </c>
      <c r="H70" s="215" t="s">
        <v>23</v>
      </c>
      <c r="I70" s="215"/>
      <c r="J70" s="215">
        <v>1.0</v>
      </c>
      <c r="K70" s="218"/>
      <c r="L70" s="219"/>
      <c r="M70" s="220" t="s">
        <v>39</v>
      </c>
      <c r="N70" s="221" t="s">
        <v>44</v>
      </c>
      <c r="O70" s="222"/>
      <c r="P70" s="223">
        <v>520.0</v>
      </c>
      <c r="Q70" s="215"/>
      <c r="R70" s="224"/>
      <c r="S70" s="224"/>
      <c r="T70" s="224"/>
      <c r="U70" s="224"/>
      <c r="V70" s="224"/>
      <c r="W70" s="224"/>
      <c r="X70" s="224"/>
      <c r="Y70" s="224"/>
      <c r="Z70" s="224"/>
    </row>
    <row r="71" ht="69.0" customHeight="1">
      <c r="A71" s="20" t="s">
        <v>827</v>
      </c>
      <c r="B71" s="26"/>
      <c r="C71" s="22">
        <v>9.4E7</v>
      </c>
      <c r="D71" s="26">
        <v>2018.0</v>
      </c>
      <c r="E71" s="101">
        <v>43374.0</v>
      </c>
      <c r="F71" s="26" t="s">
        <v>828</v>
      </c>
      <c r="G71" s="26" t="s">
        <v>22</v>
      </c>
      <c r="H71" s="34" t="s">
        <v>23</v>
      </c>
      <c r="I71" s="28"/>
      <c r="J71" s="26">
        <v>3.0</v>
      </c>
      <c r="K71" s="27" t="str">
        <f>IF(C71&gt;100000000,C71,"")</f>
        <v/>
      </c>
      <c r="L71" s="110"/>
      <c r="M71" s="26" t="s">
        <v>829</v>
      </c>
      <c r="N71" s="106" t="s">
        <v>830</v>
      </c>
      <c r="O71" s="107"/>
      <c r="P71" s="32">
        <v>296.0</v>
      </c>
      <c r="Q71" s="32"/>
      <c r="R71" s="32"/>
      <c r="S71" s="32"/>
      <c r="T71" s="32"/>
      <c r="U71" s="32"/>
      <c r="V71" s="32"/>
      <c r="W71" s="32"/>
      <c r="X71" s="32"/>
      <c r="Y71" s="32"/>
      <c r="Z71" s="32"/>
    </row>
    <row r="72" ht="49.5" customHeight="1">
      <c r="A72" s="62" t="s">
        <v>439</v>
      </c>
      <c r="B72" s="79"/>
      <c r="C72" s="64">
        <v>1.8218203E7</v>
      </c>
      <c r="D72" s="68">
        <v>2022.0</v>
      </c>
      <c r="E72" s="66">
        <v>44621.0</v>
      </c>
      <c r="F72" s="68" t="s">
        <v>440</v>
      </c>
      <c r="G72" s="68" t="s">
        <v>43</v>
      </c>
      <c r="H72" s="68" t="s">
        <v>23</v>
      </c>
      <c r="I72" s="68"/>
      <c r="J72" s="68">
        <v>3.0</v>
      </c>
      <c r="K72" s="69" t="s">
        <v>441</v>
      </c>
      <c r="L72" s="70"/>
      <c r="M72" s="71" t="s">
        <v>72</v>
      </c>
      <c r="N72" s="80" t="s">
        <v>442</v>
      </c>
      <c r="O72" s="73"/>
      <c r="P72" s="74">
        <v>413.0</v>
      </c>
      <c r="Q72" s="74"/>
      <c r="R72" s="74"/>
      <c r="S72" s="74"/>
      <c r="T72" s="74"/>
      <c r="U72" s="74"/>
      <c r="V72" s="74"/>
      <c r="W72" s="74"/>
      <c r="X72" s="74"/>
      <c r="Y72" s="74"/>
      <c r="Z72" s="74"/>
    </row>
    <row r="73" ht="49.5" customHeight="1">
      <c r="A73" s="20" t="s">
        <v>1020</v>
      </c>
      <c r="B73" s="26"/>
      <c r="C73" s="22">
        <v>3000000.0</v>
      </c>
      <c r="D73" s="26">
        <v>2017.0</v>
      </c>
      <c r="E73" s="101">
        <v>42736.0</v>
      </c>
      <c r="F73" s="26" t="s">
        <v>1021</v>
      </c>
      <c r="G73" s="26" t="s">
        <v>50</v>
      </c>
      <c r="H73" s="26" t="s">
        <v>23</v>
      </c>
      <c r="I73" s="26" t="s">
        <v>29</v>
      </c>
      <c r="J73" s="26">
        <v>2.0</v>
      </c>
      <c r="K73" s="57"/>
      <c r="L73" s="28"/>
      <c r="M73" s="34" t="s">
        <v>30</v>
      </c>
      <c r="N73" s="106" t="s">
        <v>1022</v>
      </c>
      <c r="O73" s="113"/>
      <c r="P73" s="32">
        <v>248.0</v>
      </c>
      <c r="Q73" s="32"/>
      <c r="R73" s="32"/>
      <c r="S73" s="32"/>
      <c r="T73" s="32"/>
      <c r="U73" s="32"/>
      <c r="V73" s="32"/>
      <c r="W73" s="32"/>
      <c r="X73" s="32"/>
      <c r="Y73" s="32"/>
      <c r="Z73" s="32"/>
    </row>
    <row r="74" ht="49.5" customHeight="1">
      <c r="A74" s="20" t="s">
        <v>178</v>
      </c>
      <c r="B74" s="21"/>
      <c r="C74" s="22">
        <v>100000.0</v>
      </c>
      <c r="D74" s="26">
        <v>2024.0</v>
      </c>
      <c r="E74" s="24">
        <v>45343.0</v>
      </c>
      <c r="F74" s="38" t="s">
        <v>179</v>
      </c>
      <c r="G74" s="26" t="s">
        <v>89</v>
      </c>
      <c r="H74" s="26" t="s">
        <v>23</v>
      </c>
      <c r="I74" s="26"/>
      <c r="J74" s="26">
        <v>4.0</v>
      </c>
      <c r="K74" s="27"/>
      <c r="L74" s="28"/>
      <c r="M74" s="43" t="s">
        <v>85</v>
      </c>
      <c r="N74" s="35" t="s">
        <v>180</v>
      </c>
      <c r="O74" s="31"/>
      <c r="P74" s="32">
        <v>481.0</v>
      </c>
      <c r="Q74" s="26"/>
      <c r="R74" s="21"/>
      <c r="S74" s="21"/>
      <c r="T74" s="21"/>
      <c r="U74" s="21"/>
      <c r="V74" s="21"/>
      <c r="W74" s="21"/>
      <c r="X74" s="21"/>
      <c r="Y74" s="21"/>
      <c r="Z74" s="21"/>
    </row>
    <row r="75" ht="49.5" customHeight="1">
      <c r="A75" s="20" t="s">
        <v>626</v>
      </c>
      <c r="B75" s="51"/>
      <c r="C75" s="22">
        <v>2500000.0</v>
      </c>
      <c r="D75" s="26">
        <v>2020.0</v>
      </c>
      <c r="E75" s="101">
        <v>44044.0</v>
      </c>
      <c r="F75" s="26" t="s">
        <v>627</v>
      </c>
      <c r="G75" s="26" t="s">
        <v>628</v>
      </c>
      <c r="H75" s="26" t="s">
        <v>51</v>
      </c>
      <c r="I75" s="28"/>
      <c r="J75" s="26">
        <v>4.0</v>
      </c>
      <c r="K75" s="27"/>
      <c r="L75" s="28"/>
      <c r="M75" s="34" t="s">
        <v>629</v>
      </c>
      <c r="N75" s="100" t="s">
        <v>630</v>
      </c>
      <c r="O75" s="31"/>
      <c r="P75" s="32">
        <v>360.0</v>
      </c>
      <c r="Q75" s="32"/>
      <c r="R75" s="32"/>
      <c r="S75" s="32"/>
      <c r="T75" s="32"/>
      <c r="U75" s="32"/>
      <c r="V75" s="32"/>
      <c r="W75" s="32"/>
      <c r="X75" s="32"/>
      <c r="Y75" s="32"/>
      <c r="Z75" s="32"/>
    </row>
    <row r="76" ht="49.5" customHeight="1">
      <c r="A76" s="165" t="s">
        <v>1432</v>
      </c>
      <c r="B76" s="28"/>
      <c r="C76" s="22">
        <v>110000.0</v>
      </c>
      <c r="D76" s="26">
        <v>2013.0</v>
      </c>
      <c r="E76" s="101">
        <v>41306.0</v>
      </c>
      <c r="F76" s="26" t="s">
        <v>1433</v>
      </c>
      <c r="G76" s="26" t="s">
        <v>38</v>
      </c>
      <c r="H76" s="130" t="s">
        <v>23</v>
      </c>
      <c r="I76" s="28"/>
      <c r="J76" s="26">
        <v>3.0</v>
      </c>
      <c r="K76" s="57"/>
      <c r="L76" s="28"/>
      <c r="M76" s="105" t="s">
        <v>1434</v>
      </c>
      <c r="N76" s="106" t="s">
        <v>1435</v>
      </c>
      <c r="O76" s="113"/>
      <c r="P76" s="32">
        <v>147.0</v>
      </c>
      <c r="Q76" s="32"/>
      <c r="R76" s="32"/>
      <c r="S76" s="32"/>
      <c r="T76" s="32"/>
      <c r="U76" s="32"/>
      <c r="V76" s="32"/>
      <c r="W76" s="32"/>
      <c r="X76" s="32"/>
      <c r="Y76" s="32"/>
      <c r="Z76" s="32"/>
    </row>
    <row r="77" ht="49.5" customHeight="1">
      <c r="A77" s="52" t="s">
        <v>1014</v>
      </c>
      <c r="B77" s="53"/>
      <c r="C77" s="22">
        <v>2000000.0</v>
      </c>
      <c r="D77" s="26">
        <v>2017.0</v>
      </c>
      <c r="E77" s="101">
        <v>42948.0</v>
      </c>
      <c r="F77" s="34" t="s">
        <v>1015</v>
      </c>
      <c r="G77" s="26" t="s">
        <v>43</v>
      </c>
      <c r="H77" s="105" t="s">
        <v>142</v>
      </c>
      <c r="I77" s="115"/>
      <c r="J77" s="26">
        <v>3.0</v>
      </c>
      <c r="K77" s="57"/>
      <c r="L77" s="53"/>
      <c r="M77" s="34" t="s">
        <v>629</v>
      </c>
      <c r="N77" s="135" t="s">
        <v>1016</v>
      </c>
      <c r="O77" s="136"/>
      <c r="P77" s="32">
        <v>250.0</v>
      </c>
      <c r="Q77" s="32"/>
      <c r="R77" s="32"/>
      <c r="S77" s="32"/>
      <c r="T77" s="32"/>
      <c r="U77" s="32"/>
      <c r="V77" s="32"/>
      <c r="W77" s="32"/>
      <c r="X77" s="32"/>
      <c r="Y77" s="32"/>
      <c r="Z77" s="32"/>
    </row>
    <row r="78" ht="49.5" customHeight="1">
      <c r="A78" s="20" t="s">
        <v>346</v>
      </c>
      <c r="B78" s="51"/>
      <c r="C78" s="22">
        <v>101000.0</v>
      </c>
      <c r="D78" s="26">
        <v>2023.0</v>
      </c>
      <c r="E78" s="24">
        <v>44986.0</v>
      </c>
      <c r="F78" s="26" t="s">
        <v>347</v>
      </c>
      <c r="G78" s="26" t="s">
        <v>50</v>
      </c>
      <c r="H78" s="26" t="s">
        <v>23</v>
      </c>
      <c r="I78" s="26" t="s">
        <v>29</v>
      </c>
      <c r="J78" s="26">
        <v>2.0</v>
      </c>
      <c r="K78" s="27"/>
      <c r="L78" s="28"/>
      <c r="M78" s="34" t="s">
        <v>85</v>
      </c>
      <c r="N78" s="35" t="s">
        <v>348</v>
      </c>
      <c r="O78" s="31"/>
      <c r="P78" s="32">
        <v>437.0</v>
      </c>
      <c r="Q78" s="26"/>
      <c r="R78" s="32"/>
      <c r="S78" s="32"/>
      <c r="T78" s="32"/>
      <c r="U78" s="32"/>
      <c r="V78" s="32"/>
      <c r="W78" s="32"/>
      <c r="X78" s="32"/>
      <c r="Y78" s="32"/>
      <c r="Z78" s="32"/>
    </row>
    <row r="79" ht="49.5" customHeight="1">
      <c r="A79" s="165" t="s">
        <v>1836</v>
      </c>
      <c r="B79" s="130" t="s">
        <v>1837</v>
      </c>
      <c r="C79" s="22">
        <v>5000000.0</v>
      </c>
      <c r="D79" s="26">
        <v>2009.0</v>
      </c>
      <c r="E79" s="101">
        <v>39814.0</v>
      </c>
      <c r="F79" s="26" t="s">
        <v>1838</v>
      </c>
      <c r="G79" s="26" t="s">
        <v>58</v>
      </c>
      <c r="H79" s="130" t="s">
        <v>23</v>
      </c>
      <c r="I79" s="130" t="s">
        <v>29</v>
      </c>
      <c r="J79" s="130">
        <v>1.0</v>
      </c>
      <c r="K79" s="57"/>
      <c r="L79" s="28"/>
      <c r="M79" s="120" t="s">
        <v>1839</v>
      </c>
      <c r="N79" s="106" t="s">
        <v>1840</v>
      </c>
      <c r="O79" s="113"/>
      <c r="P79" s="32">
        <v>45.0</v>
      </c>
      <c r="Q79" s="32"/>
      <c r="R79" s="32"/>
      <c r="S79" s="32"/>
      <c r="T79" s="32"/>
      <c r="U79" s="32"/>
      <c r="V79" s="32"/>
      <c r="W79" s="32"/>
      <c r="X79" s="32"/>
      <c r="Y79" s="32"/>
      <c r="Z79" s="32"/>
    </row>
    <row r="80" ht="49.5" customHeight="1">
      <c r="A80" s="165" t="s">
        <v>1907</v>
      </c>
      <c r="B80" s="28"/>
      <c r="C80" s="22">
        <v>6000000.0</v>
      </c>
      <c r="D80" s="26">
        <v>2008.0</v>
      </c>
      <c r="E80" s="101">
        <v>39569.0</v>
      </c>
      <c r="F80" s="26" t="s">
        <v>1908</v>
      </c>
      <c r="G80" s="130" t="s">
        <v>64</v>
      </c>
      <c r="H80" s="26" t="s">
        <v>23</v>
      </c>
      <c r="I80" s="28"/>
      <c r="J80" s="130">
        <v>1.0</v>
      </c>
      <c r="K80" s="57"/>
      <c r="L80" s="28"/>
      <c r="M80" s="120" t="s">
        <v>905</v>
      </c>
      <c r="N80" s="106" t="s">
        <v>1909</v>
      </c>
      <c r="O80" s="166" t="s">
        <v>1910</v>
      </c>
      <c r="P80" s="32">
        <v>27.0</v>
      </c>
      <c r="Q80" s="32"/>
      <c r="R80" s="32"/>
      <c r="S80" s="32"/>
      <c r="T80" s="32"/>
      <c r="U80" s="32"/>
      <c r="V80" s="32"/>
      <c r="W80" s="32"/>
      <c r="X80" s="32"/>
      <c r="Y80" s="32"/>
      <c r="Z80" s="32"/>
    </row>
    <row r="81" ht="49.5" customHeight="1">
      <c r="A81" s="165" t="s">
        <v>1530</v>
      </c>
      <c r="B81" s="28"/>
      <c r="C81" s="22">
        <v>6000000.0</v>
      </c>
      <c r="D81" s="26">
        <v>2012.0</v>
      </c>
      <c r="E81" s="101">
        <v>40969.0</v>
      </c>
      <c r="F81" s="26" t="s">
        <v>1531</v>
      </c>
      <c r="G81" s="130" t="s">
        <v>28</v>
      </c>
      <c r="H81" s="130" t="s">
        <v>23</v>
      </c>
      <c r="I81" s="28"/>
      <c r="J81" s="130">
        <v>1.0</v>
      </c>
      <c r="K81" s="57"/>
      <c r="L81" s="28"/>
      <c r="M81" s="105" t="s">
        <v>571</v>
      </c>
      <c r="N81" s="106" t="s">
        <v>1532</v>
      </c>
      <c r="O81" s="113"/>
      <c r="P81" s="32">
        <v>121.0</v>
      </c>
      <c r="Q81" s="32"/>
      <c r="R81" s="32"/>
      <c r="S81" s="32"/>
      <c r="T81" s="32"/>
      <c r="U81" s="32"/>
      <c r="V81" s="32"/>
      <c r="W81" s="32"/>
      <c r="X81" s="32"/>
      <c r="Y81" s="32"/>
      <c r="Z81" s="32"/>
    </row>
    <row r="82" ht="49.5" customHeight="1">
      <c r="A82" s="20" t="s">
        <v>1679</v>
      </c>
      <c r="B82" s="28"/>
      <c r="C82" s="22">
        <v>1.0E7</v>
      </c>
      <c r="D82" s="26">
        <v>2011.0</v>
      </c>
      <c r="E82" s="101">
        <v>40878.0</v>
      </c>
      <c r="F82" s="26" t="s">
        <v>1680</v>
      </c>
      <c r="G82" s="130" t="s">
        <v>28</v>
      </c>
      <c r="H82" s="130" t="s">
        <v>23</v>
      </c>
      <c r="I82" s="28"/>
      <c r="J82" s="130">
        <v>1.0</v>
      </c>
      <c r="K82" s="57"/>
      <c r="L82" s="28"/>
      <c r="M82" s="105" t="s">
        <v>1681</v>
      </c>
      <c r="N82" s="106" t="s">
        <v>1682</v>
      </c>
      <c r="O82" s="113"/>
      <c r="P82" s="32">
        <v>85.0</v>
      </c>
      <c r="Q82" s="32"/>
      <c r="R82" s="32"/>
      <c r="S82" s="32"/>
      <c r="T82" s="32"/>
      <c r="U82" s="32"/>
      <c r="V82" s="32"/>
      <c r="W82" s="32"/>
      <c r="X82" s="32"/>
      <c r="Y82" s="32"/>
      <c r="Z82" s="32"/>
    </row>
    <row r="83" ht="49.5" customHeight="1">
      <c r="A83" s="20" t="s">
        <v>831</v>
      </c>
      <c r="B83" s="26"/>
      <c r="C83" s="22">
        <v>2.02E8</v>
      </c>
      <c r="D83" s="26">
        <v>2018.0</v>
      </c>
      <c r="E83" s="101">
        <v>43435.0</v>
      </c>
      <c r="F83" s="26" t="s">
        <v>832</v>
      </c>
      <c r="G83" s="26" t="s">
        <v>28</v>
      </c>
      <c r="H83" s="112" t="s">
        <v>51</v>
      </c>
      <c r="I83" s="28"/>
      <c r="J83" s="26">
        <v>2.0</v>
      </c>
      <c r="K83" s="27" t="s">
        <v>833</v>
      </c>
      <c r="L83" s="110"/>
      <c r="M83" s="26" t="s">
        <v>834</v>
      </c>
      <c r="N83" s="106" t="s">
        <v>835</v>
      </c>
      <c r="O83" s="107"/>
      <c r="P83" s="32">
        <v>295.0</v>
      </c>
      <c r="Q83" s="32"/>
      <c r="R83" s="32"/>
      <c r="S83" s="32"/>
      <c r="T83" s="32"/>
      <c r="U83" s="32"/>
      <c r="V83" s="32"/>
      <c r="W83" s="32"/>
      <c r="X83" s="32"/>
      <c r="Y83" s="32"/>
      <c r="Z83" s="32"/>
    </row>
    <row r="84" ht="49.5" customHeight="1">
      <c r="A84" s="20" t="s">
        <v>172</v>
      </c>
      <c r="B84" s="21"/>
      <c r="C84" s="22">
        <v>500000.0</v>
      </c>
      <c r="D84" s="26">
        <v>2024.0</v>
      </c>
      <c r="E84" s="24">
        <v>45439.0</v>
      </c>
      <c r="F84" s="38" t="s">
        <v>173</v>
      </c>
      <c r="G84" s="26" t="s">
        <v>43</v>
      </c>
      <c r="H84" s="26" t="s">
        <v>23</v>
      </c>
      <c r="I84" s="26" t="s">
        <v>29</v>
      </c>
      <c r="J84" s="26">
        <v>2.0</v>
      </c>
      <c r="K84" s="27"/>
      <c r="L84" s="28"/>
      <c r="M84" s="34" t="s">
        <v>85</v>
      </c>
      <c r="N84" s="35" t="s">
        <v>174</v>
      </c>
      <c r="O84" s="31"/>
      <c r="P84" s="32">
        <v>483.0</v>
      </c>
      <c r="Q84" s="26"/>
      <c r="R84" s="21"/>
      <c r="S84" s="21"/>
      <c r="T84" s="21"/>
      <c r="U84" s="21"/>
      <c r="V84" s="21"/>
      <c r="W84" s="21"/>
      <c r="X84" s="21"/>
      <c r="Y84" s="21"/>
      <c r="Z84" s="21"/>
    </row>
    <row r="85" ht="49.5" customHeight="1">
      <c r="A85" s="103" t="s">
        <v>722</v>
      </c>
      <c r="B85" s="104" t="s">
        <v>723</v>
      </c>
      <c r="C85" s="22">
        <v>4.9E7</v>
      </c>
      <c r="D85" s="26">
        <v>2019.0</v>
      </c>
      <c r="E85" s="101">
        <v>43586.0</v>
      </c>
      <c r="F85" s="26" t="s">
        <v>724</v>
      </c>
      <c r="G85" s="26" t="s">
        <v>38</v>
      </c>
      <c r="H85" s="26" t="s">
        <v>51</v>
      </c>
      <c r="I85" s="26" t="s">
        <v>29</v>
      </c>
      <c r="J85" s="26">
        <v>1.0</v>
      </c>
      <c r="K85" s="27"/>
      <c r="L85" s="28"/>
      <c r="M85" s="105" t="s">
        <v>725</v>
      </c>
      <c r="N85" s="106" t="s">
        <v>726</v>
      </c>
      <c r="O85" s="107"/>
      <c r="P85" s="32">
        <v>337.0</v>
      </c>
      <c r="Q85" s="32"/>
      <c r="R85" s="32"/>
      <c r="S85" s="32"/>
      <c r="T85" s="32"/>
      <c r="U85" s="32"/>
      <c r="V85" s="32"/>
      <c r="W85" s="32"/>
      <c r="X85" s="32"/>
      <c r="Y85" s="32"/>
      <c r="Z85" s="32"/>
    </row>
    <row r="86" ht="49.5" customHeight="1">
      <c r="A86" s="165" t="s">
        <v>1400</v>
      </c>
      <c r="B86" s="53"/>
      <c r="C86" s="22">
        <v>150000.0</v>
      </c>
      <c r="D86" s="26">
        <v>2013.0</v>
      </c>
      <c r="E86" s="101">
        <v>41456.0</v>
      </c>
      <c r="F86" s="26" t="s">
        <v>1401</v>
      </c>
      <c r="G86" s="26" t="s">
        <v>58</v>
      </c>
      <c r="H86" s="105" t="s">
        <v>142</v>
      </c>
      <c r="I86" s="130" t="s">
        <v>29</v>
      </c>
      <c r="J86" s="26">
        <v>2.0</v>
      </c>
      <c r="K86" s="57"/>
      <c r="L86" s="28"/>
      <c r="M86" s="53" t="s">
        <v>1110</v>
      </c>
      <c r="N86" s="166" t="s">
        <v>1402</v>
      </c>
      <c r="O86" s="113"/>
      <c r="P86" s="32">
        <v>154.0</v>
      </c>
      <c r="Q86" s="32"/>
      <c r="R86" s="32"/>
      <c r="S86" s="32"/>
      <c r="T86" s="32"/>
      <c r="U86" s="32"/>
      <c r="V86" s="32"/>
      <c r="W86" s="32"/>
      <c r="X86" s="32"/>
      <c r="Y86" s="32"/>
      <c r="Z86" s="32"/>
    </row>
    <row r="87" ht="49.5" customHeight="1">
      <c r="A87" s="165" t="s">
        <v>1400</v>
      </c>
      <c r="B87" s="28"/>
      <c r="C87" s="22">
        <v>210000.0</v>
      </c>
      <c r="D87" s="26">
        <v>2011.0</v>
      </c>
      <c r="E87" s="101">
        <v>40695.0</v>
      </c>
      <c r="F87" s="26" t="s">
        <v>1697</v>
      </c>
      <c r="G87" s="26" t="s">
        <v>58</v>
      </c>
      <c r="H87" s="130" t="s">
        <v>23</v>
      </c>
      <c r="I87" s="28"/>
      <c r="J87" s="26">
        <v>3.0</v>
      </c>
      <c r="K87" s="57"/>
      <c r="L87" s="28"/>
      <c r="M87" s="34" t="s">
        <v>1608</v>
      </c>
      <c r="N87" s="106" t="s">
        <v>1698</v>
      </c>
      <c r="O87" s="113"/>
      <c r="P87" s="32">
        <v>80.0</v>
      </c>
      <c r="Q87" s="32"/>
      <c r="R87" s="32"/>
      <c r="S87" s="32"/>
      <c r="T87" s="32"/>
      <c r="U87" s="32"/>
      <c r="V87" s="32"/>
      <c r="W87" s="32"/>
      <c r="X87" s="32"/>
      <c r="Y87" s="32"/>
      <c r="Z87" s="32"/>
    </row>
    <row r="88" ht="49.5" customHeight="1">
      <c r="A88" s="165" t="s">
        <v>1400</v>
      </c>
      <c r="B88" s="28"/>
      <c r="C88" s="22">
        <v>3900000.0</v>
      </c>
      <c r="D88" s="26">
        <v>2005.0</v>
      </c>
      <c r="E88" s="101">
        <v>38504.0</v>
      </c>
      <c r="F88" s="26" t="s">
        <v>1995</v>
      </c>
      <c r="G88" s="26" t="s">
        <v>58</v>
      </c>
      <c r="H88" s="26" t="s">
        <v>1034</v>
      </c>
      <c r="I88" s="130" t="s">
        <v>29</v>
      </c>
      <c r="J88" s="26">
        <v>3.0</v>
      </c>
      <c r="K88" s="57"/>
      <c r="L88" s="28"/>
      <c r="M88" s="120" t="s">
        <v>841</v>
      </c>
      <c r="N88" s="135" t="s">
        <v>1996</v>
      </c>
      <c r="O88" s="113"/>
      <c r="P88" s="32">
        <v>4.0</v>
      </c>
      <c r="Q88" s="32"/>
      <c r="R88" s="32"/>
      <c r="S88" s="32"/>
      <c r="T88" s="32"/>
      <c r="U88" s="32"/>
      <c r="V88" s="32"/>
      <c r="W88" s="32"/>
      <c r="X88" s="32"/>
      <c r="Y88" s="32"/>
      <c r="Z88" s="32"/>
    </row>
    <row r="89" ht="49.5" customHeight="1">
      <c r="A89" s="165" t="s">
        <v>1942</v>
      </c>
      <c r="B89" s="28"/>
      <c r="C89" s="22">
        <v>160000.0</v>
      </c>
      <c r="D89" s="26">
        <v>2007.0</v>
      </c>
      <c r="E89" s="101">
        <v>39417.0</v>
      </c>
      <c r="F89" s="111" t="s">
        <v>1943</v>
      </c>
      <c r="G89" s="130" t="s">
        <v>64</v>
      </c>
      <c r="H89" s="26" t="s">
        <v>1034</v>
      </c>
      <c r="I89" s="28"/>
      <c r="J89" s="26">
        <v>2.0</v>
      </c>
      <c r="K89" s="57"/>
      <c r="L89" s="28"/>
      <c r="M89" s="53" t="s">
        <v>1224</v>
      </c>
      <c r="N89" s="106" t="s">
        <v>1944</v>
      </c>
      <c r="O89" s="113"/>
      <c r="P89" s="32">
        <v>17.0</v>
      </c>
      <c r="Q89" s="32"/>
      <c r="R89" s="32"/>
      <c r="S89" s="32"/>
      <c r="T89" s="32"/>
      <c r="U89" s="32"/>
      <c r="V89" s="32"/>
      <c r="W89" s="32"/>
      <c r="X89" s="32"/>
      <c r="Y89" s="32"/>
      <c r="Z89" s="32"/>
    </row>
    <row r="90" ht="49.5" customHeight="1">
      <c r="A90" s="62" t="s">
        <v>412</v>
      </c>
      <c r="B90" s="63"/>
      <c r="C90" s="64">
        <v>500000.0</v>
      </c>
      <c r="D90" s="68">
        <v>2022.0</v>
      </c>
      <c r="E90" s="66">
        <v>44713.0</v>
      </c>
      <c r="F90" s="67" t="s">
        <v>413</v>
      </c>
      <c r="G90" s="68" t="s">
        <v>64</v>
      </c>
      <c r="H90" s="68" t="s">
        <v>142</v>
      </c>
      <c r="I90" s="68"/>
      <c r="J90" s="68">
        <v>3.0</v>
      </c>
      <c r="K90" s="69"/>
      <c r="L90" s="70"/>
      <c r="M90" s="71" t="s">
        <v>147</v>
      </c>
      <c r="N90" s="72" t="s">
        <v>414</v>
      </c>
      <c r="O90" s="73"/>
      <c r="P90" s="74">
        <v>421.0</v>
      </c>
      <c r="Q90" s="74"/>
      <c r="R90" s="74"/>
      <c r="S90" s="74"/>
      <c r="T90" s="74"/>
      <c r="U90" s="74"/>
      <c r="V90" s="74"/>
      <c r="W90" s="74"/>
      <c r="X90" s="74"/>
      <c r="Y90" s="74"/>
      <c r="Z90" s="74"/>
    </row>
    <row r="91" ht="49.5" customHeight="1">
      <c r="A91" s="20" t="s">
        <v>194</v>
      </c>
      <c r="B91" s="40" t="s">
        <v>195</v>
      </c>
      <c r="C91" s="22">
        <v>80000.0</v>
      </c>
      <c r="D91" s="26">
        <v>2024.0</v>
      </c>
      <c r="E91" s="24">
        <v>45412.0</v>
      </c>
      <c r="F91" s="25" t="s">
        <v>196</v>
      </c>
      <c r="G91" s="26" t="s">
        <v>64</v>
      </c>
      <c r="H91" s="26" t="s">
        <v>23</v>
      </c>
      <c r="I91" s="26"/>
      <c r="J91" s="26">
        <v>4.0</v>
      </c>
      <c r="K91" s="27"/>
      <c r="L91" s="28"/>
      <c r="M91" s="34" t="s">
        <v>85</v>
      </c>
      <c r="N91" s="30" t="s">
        <v>197</v>
      </c>
      <c r="O91" s="30" t="s">
        <v>198</v>
      </c>
      <c r="P91" s="32">
        <v>477.0</v>
      </c>
      <c r="Q91" s="26"/>
      <c r="R91" s="21"/>
      <c r="S91" s="21"/>
      <c r="T91" s="21"/>
      <c r="U91" s="21"/>
      <c r="V91" s="21"/>
      <c r="W91" s="21"/>
      <c r="X91" s="21"/>
      <c r="Y91" s="21"/>
      <c r="Z91" s="21"/>
    </row>
    <row r="92" ht="49.5" customHeight="1">
      <c r="A92" s="165" t="s">
        <v>1819</v>
      </c>
      <c r="B92" s="28"/>
      <c r="C92" s="22">
        <v>392000.0</v>
      </c>
      <c r="D92" s="26">
        <v>2010.0</v>
      </c>
      <c r="E92" s="101">
        <v>40452.0</v>
      </c>
      <c r="F92" s="111" t="s">
        <v>1820</v>
      </c>
      <c r="G92" s="130" t="s">
        <v>64</v>
      </c>
      <c r="H92" s="130" t="s">
        <v>59</v>
      </c>
      <c r="I92" s="28"/>
      <c r="J92" s="26">
        <v>2.0</v>
      </c>
      <c r="K92" s="57"/>
      <c r="L92" s="28"/>
      <c r="M92" s="53" t="s">
        <v>278</v>
      </c>
      <c r="N92" s="106" t="s">
        <v>1821</v>
      </c>
      <c r="O92" s="113"/>
      <c r="P92" s="32">
        <v>49.0</v>
      </c>
      <c r="Q92" s="32"/>
      <c r="R92" s="32"/>
      <c r="S92" s="32"/>
      <c r="T92" s="32"/>
      <c r="U92" s="32"/>
      <c r="V92" s="32"/>
      <c r="W92" s="32"/>
      <c r="X92" s="32"/>
      <c r="Y92" s="32"/>
      <c r="Z92" s="32"/>
    </row>
    <row r="93" ht="49.5" customHeight="1">
      <c r="A93" s="103" t="s">
        <v>815</v>
      </c>
      <c r="B93" s="104"/>
      <c r="C93" s="22">
        <v>300000.0</v>
      </c>
      <c r="D93" s="26">
        <v>2018.0</v>
      </c>
      <c r="E93" s="101">
        <v>43435.0</v>
      </c>
      <c r="F93" s="26" t="s">
        <v>816</v>
      </c>
      <c r="G93" s="26" t="s">
        <v>58</v>
      </c>
      <c r="H93" s="26" t="s">
        <v>23</v>
      </c>
      <c r="I93" s="26"/>
      <c r="J93" s="26">
        <v>3.0</v>
      </c>
      <c r="K93" s="27"/>
      <c r="L93" s="28"/>
      <c r="M93" s="105" t="s">
        <v>817</v>
      </c>
      <c r="N93" s="106" t="s">
        <v>818</v>
      </c>
      <c r="O93" s="107"/>
      <c r="P93" s="32">
        <v>299.0</v>
      </c>
      <c r="Q93" s="32"/>
      <c r="R93" s="32"/>
      <c r="S93" s="32"/>
      <c r="T93" s="32"/>
      <c r="U93" s="32"/>
      <c r="V93" s="32"/>
      <c r="W93" s="32"/>
      <c r="X93" s="32"/>
      <c r="Y93" s="32"/>
      <c r="Z93" s="32"/>
    </row>
    <row r="94" ht="49.5" customHeight="1">
      <c r="A94" s="144" t="s">
        <v>1142</v>
      </c>
      <c r="B94" s="142"/>
      <c r="C94" s="22">
        <v>5000000.0</v>
      </c>
      <c r="D94" s="26">
        <v>2016.0</v>
      </c>
      <c r="E94" s="101">
        <v>42552.0</v>
      </c>
      <c r="F94" s="34" t="s">
        <v>1143</v>
      </c>
      <c r="G94" s="28" t="s">
        <v>64</v>
      </c>
      <c r="H94" s="28" t="s">
        <v>23</v>
      </c>
      <c r="I94" s="53"/>
      <c r="J94" s="26">
        <v>2.0</v>
      </c>
      <c r="K94" s="57"/>
      <c r="L94" s="53"/>
      <c r="M94" s="34" t="s">
        <v>286</v>
      </c>
      <c r="N94" s="106" t="s">
        <v>1144</v>
      </c>
      <c r="O94" s="117"/>
      <c r="P94" s="32">
        <v>218.0</v>
      </c>
      <c r="Q94" s="32"/>
      <c r="R94" s="32"/>
      <c r="S94" s="32"/>
      <c r="T94" s="32"/>
      <c r="U94" s="32"/>
      <c r="V94" s="32"/>
      <c r="W94" s="32"/>
      <c r="X94" s="32"/>
      <c r="Y94" s="32"/>
      <c r="Z94" s="32"/>
    </row>
    <row r="95" ht="49.5" customHeight="1">
      <c r="A95" s="20" t="s">
        <v>1210</v>
      </c>
      <c r="B95" s="26"/>
      <c r="C95" s="22">
        <v>6600000.0</v>
      </c>
      <c r="D95" s="26">
        <v>2016.0</v>
      </c>
      <c r="E95" s="101">
        <v>42614.0</v>
      </c>
      <c r="F95" s="26" t="s">
        <v>1211</v>
      </c>
      <c r="G95" s="26" t="s">
        <v>28</v>
      </c>
      <c r="H95" s="26" t="s">
        <v>23</v>
      </c>
      <c r="I95" s="28"/>
      <c r="J95" s="26">
        <v>5.0</v>
      </c>
      <c r="K95" s="57"/>
      <c r="L95" s="28"/>
      <c r="M95" s="53" t="s">
        <v>1212</v>
      </c>
      <c r="N95" s="106" t="s">
        <v>1213</v>
      </c>
      <c r="O95" s="113"/>
      <c r="P95" s="32">
        <v>201.0</v>
      </c>
      <c r="Q95" s="32"/>
      <c r="R95" s="32"/>
      <c r="S95" s="32"/>
      <c r="T95" s="32"/>
      <c r="U95" s="32"/>
      <c r="V95" s="32"/>
      <c r="W95" s="32"/>
      <c r="X95" s="32"/>
      <c r="Y95" s="32"/>
      <c r="Z95" s="32"/>
    </row>
    <row r="96" ht="49.5" customHeight="1">
      <c r="A96" s="20" t="s">
        <v>371</v>
      </c>
      <c r="B96" s="51"/>
      <c r="C96" s="22">
        <v>1.0E7</v>
      </c>
      <c r="D96" s="26">
        <v>2023.0</v>
      </c>
      <c r="E96" s="24">
        <v>45139.0</v>
      </c>
      <c r="F96" s="38" t="s">
        <v>372</v>
      </c>
      <c r="G96" s="26" t="s">
        <v>43</v>
      </c>
      <c r="H96" s="26" t="s">
        <v>23</v>
      </c>
      <c r="I96" s="28"/>
      <c r="J96" s="26">
        <v>1.0</v>
      </c>
      <c r="K96" s="27" t="s">
        <v>360</v>
      </c>
      <c r="L96" s="28"/>
      <c r="M96" s="34" t="s">
        <v>152</v>
      </c>
      <c r="N96" s="35" t="s">
        <v>373</v>
      </c>
      <c r="O96" s="31"/>
      <c r="P96" s="32">
        <v>431.0</v>
      </c>
      <c r="Q96" s="26"/>
      <c r="R96" s="32"/>
      <c r="S96" s="32"/>
      <c r="T96" s="32"/>
      <c r="U96" s="32"/>
      <c r="V96" s="32"/>
      <c r="W96" s="32"/>
      <c r="X96" s="32"/>
      <c r="Y96" s="32"/>
      <c r="Z96" s="32"/>
    </row>
    <row r="97" ht="49.5" customHeight="1">
      <c r="A97" s="228" t="s">
        <v>91</v>
      </c>
      <c r="B97" s="213"/>
      <c r="C97" s="214">
        <v>1023800.0</v>
      </c>
      <c r="D97" s="215">
        <v>2025.0</v>
      </c>
      <c r="E97" s="216">
        <v>45833.0</v>
      </c>
      <c r="F97" s="217" t="s">
        <v>92</v>
      </c>
      <c r="G97" s="215" t="s">
        <v>28</v>
      </c>
      <c r="H97" s="215" t="s">
        <v>51</v>
      </c>
      <c r="I97" s="215"/>
      <c r="J97" s="215">
        <v>1.0</v>
      </c>
      <c r="K97" s="218"/>
      <c r="L97" s="219"/>
      <c r="M97" s="220" t="s">
        <v>85</v>
      </c>
      <c r="N97" s="229" t="s">
        <v>93</v>
      </c>
      <c r="O97" s="230"/>
      <c r="P97" s="223">
        <v>507.0</v>
      </c>
      <c r="Q97" s="215"/>
      <c r="R97" s="224"/>
      <c r="S97" s="224"/>
      <c r="T97" s="224"/>
      <c r="U97" s="224"/>
      <c r="V97" s="224"/>
      <c r="W97" s="224"/>
      <c r="X97" s="224"/>
      <c r="Y97" s="224"/>
      <c r="Z97" s="224"/>
    </row>
    <row r="98" ht="49.5" customHeight="1">
      <c r="A98" s="103" t="s">
        <v>757</v>
      </c>
      <c r="B98" s="104"/>
      <c r="C98" s="22">
        <v>6000000.0</v>
      </c>
      <c r="D98" s="26">
        <v>2019.0</v>
      </c>
      <c r="E98" s="101">
        <v>43497.0</v>
      </c>
      <c r="F98" s="26" t="s">
        <v>745</v>
      </c>
      <c r="G98" s="26" t="s">
        <v>28</v>
      </c>
      <c r="H98" s="26" t="s">
        <v>23</v>
      </c>
      <c r="I98" s="28"/>
      <c r="J98" s="26">
        <v>1.0</v>
      </c>
      <c r="K98" s="27" t="str">
        <f>IF(C98&gt;100000000,C98,"")</f>
        <v/>
      </c>
      <c r="L98" s="28"/>
      <c r="M98" s="105" t="s">
        <v>227</v>
      </c>
      <c r="N98" s="106" t="s">
        <v>747</v>
      </c>
      <c r="O98" s="109"/>
      <c r="P98" s="32">
        <v>322.0</v>
      </c>
      <c r="Q98" s="32"/>
      <c r="R98" s="32"/>
      <c r="S98" s="32"/>
      <c r="T98" s="32"/>
      <c r="U98" s="32"/>
      <c r="V98" s="32"/>
      <c r="W98" s="32"/>
      <c r="X98" s="32"/>
      <c r="Y98" s="32"/>
      <c r="Z98" s="32"/>
    </row>
    <row r="99" ht="49.5" customHeight="1">
      <c r="A99" s="226" t="s">
        <v>56</v>
      </c>
      <c r="B99" s="224"/>
      <c r="C99" s="214">
        <v>69461.0</v>
      </c>
      <c r="D99" s="215">
        <v>2025.0</v>
      </c>
      <c r="E99" s="216">
        <v>45792.0</v>
      </c>
      <c r="F99" s="217" t="s">
        <v>57</v>
      </c>
      <c r="G99" s="26" t="s">
        <v>58</v>
      </c>
      <c r="H99" s="215" t="s">
        <v>59</v>
      </c>
      <c r="I99" s="215"/>
      <c r="J99" s="215">
        <v>3.0</v>
      </c>
      <c r="K99" s="218"/>
      <c r="L99" s="219"/>
      <c r="M99" s="220" t="s">
        <v>39</v>
      </c>
      <c r="N99" s="221" t="s">
        <v>60</v>
      </c>
      <c r="O99" s="222"/>
      <c r="P99" s="223">
        <v>516.0</v>
      </c>
      <c r="Q99" s="215"/>
      <c r="R99" s="224"/>
      <c r="S99" s="224"/>
      <c r="T99" s="224"/>
      <c r="U99" s="224"/>
      <c r="V99" s="224"/>
      <c r="W99" s="224"/>
      <c r="X99" s="224"/>
      <c r="Y99" s="224"/>
      <c r="Z99" s="224"/>
    </row>
    <row r="100" ht="49.5" customHeight="1">
      <c r="A100" s="103" t="s">
        <v>767</v>
      </c>
      <c r="B100" s="104"/>
      <c r="C100" s="22">
        <v>450000.0</v>
      </c>
      <c r="D100" s="26">
        <v>2019.0</v>
      </c>
      <c r="E100" s="101">
        <v>43497.0</v>
      </c>
      <c r="F100" s="26" t="s">
        <v>761</v>
      </c>
      <c r="G100" s="26" t="s">
        <v>58</v>
      </c>
      <c r="H100" s="26" t="s">
        <v>23</v>
      </c>
      <c r="I100" s="28"/>
      <c r="J100" s="26">
        <v>1.0</v>
      </c>
      <c r="K100" s="27" t="str">
        <f>IF(C100&gt;100000000,C100,"")</f>
        <v/>
      </c>
      <c r="L100" s="28"/>
      <c r="M100" s="105" t="s">
        <v>725</v>
      </c>
      <c r="N100" s="106" t="s">
        <v>762</v>
      </c>
      <c r="O100" s="109"/>
      <c r="P100" s="32">
        <v>315.0</v>
      </c>
      <c r="Q100" s="32"/>
      <c r="R100" s="32"/>
      <c r="S100" s="32"/>
      <c r="T100" s="32"/>
      <c r="U100" s="32"/>
      <c r="V100" s="32"/>
      <c r="W100" s="32"/>
      <c r="X100" s="32"/>
      <c r="Y100" s="32"/>
      <c r="Z100" s="32"/>
    </row>
    <row r="101" ht="49.5" customHeight="1">
      <c r="A101" s="20" t="s">
        <v>390</v>
      </c>
      <c r="B101" s="51"/>
      <c r="C101" s="22">
        <v>50000.0</v>
      </c>
      <c r="D101" s="26">
        <v>2022.0</v>
      </c>
      <c r="E101" s="24">
        <v>44866.0</v>
      </c>
      <c r="F101" s="26" t="s">
        <v>391</v>
      </c>
      <c r="G101" s="26" t="s">
        <v>50</v>
      </c>
      <c r="H101" s="26" t="s">
        <v>23</v>
      </c>
      <c r="I101" s="28"/>
      <c r="J101" s="26">
        <v>1.0</v>
      </c>
      <c r="K101" s="27"/>
      <c r="L101" s="28"/>
      <c r="M101" s="34" t="s">
        <v>392</v>
      </c>
      <c r="N101" s="35" t="s">
        <v>393</v>
      </c>
      <c r="O101" s="31"/>
      <c r="P101" s="32">
        <v>426.0</v>
      </c>
      <c r="Q101" s="26"/>
      <c r="R101" s="32"/>
      <c r="S101" s="32"/>
      <c r="T101" s="32"/>
      <c r="U101" s="32"/>
      <c r="V101" s="32"/>
      <c r="W101" s="32"/>
      <c r="X101" s="32"/>
      <c r="Y101" s="32"/>
      <c r="Z101" s="32"/>
    </row>
    <row r="102" ht="49.5" customHeight="1">
      <c r="A102" s="226" t="s">
        <v>69</v>
      </c>
      <c r="B102" s="224"/>
      <c r="C102" s="214">
        <v>7200.0</v>
      </c>
      <c r="D102" s="215">
        <v>2025.0</v>
      </c>
      <c r="E102" s="231">
        <v>45802.0</v>
      </c>
      <c r="F102" s="227" t="s">
        <v>70</v>
      </c>
      <c r="G102" s="215" t="s">
        <v>71</v>
      </c>
      <c r="H102" s="215" t="s">
        <v>23</v>
      </c>
      <c r="I102" s="215"/>
      <c r="J102" s="215">
        <v>2.0</v>
      </c>
      <c r="K102" s="218"/>
      <c r="L102" s="219"/>
      <c r="M102" s="220" t="s">
        <v>72</v>
      </c>
      <c r="N102" s="221" t="s">
        <v>73</v>
      </c>
      <c r="O102" s="222"/>
      <c r="P102" s="223">
        <v>513.0</v>
      </c>
      <c r="Q102" s="215"/>
      <c r="R102" s="224"/>
      <c r="S102" s="224"/>
      <c r="T102" s="224"/>
      <c r="U102" s="224"/>
      <c r="V102" s="224"/>
      <c r="W102" s="224"/>
      <c r="X102" s="224"/>
      <c r="Y102" s="224"/>
      <c r="Z102" s="224"/>
    </row>
    <row r="103" ht="49.5" customHeight="1">
      <c r="A103" s="114" t="s">
        <v>1799</v>
      </c>
      <c r="B103" s="115" t="s">
        <v>1800</v>
      </c>
      <c r="C103" s="22">
        <v>105470.0</v>
      </c>
      <c r="D103" s="26">
        <v>2010.0</v>
      </c>
      <c r="E103" s="101">
        <v>40360.0</v>
      </c>
      <c r="F103" s="26" t="s">
        <v>1801</v>
      </c>
      <c r="G103" s="26" t="s">
        <v>258</v>
      </c>
      <c r="H103" s="26" t="s">
        <v>1034</v>
      </c>
      <c r="I103" s="28"/>
      <c r="J103" s="26">
        <v>2.0</v>
      </c>
      <c r="K103" s="57"/>
      <c r="L103" s="28"/>
      <c r="M103" s="34" t="s">
        <v>1026</v>
      </c>
      <c r="N103" s="135" t="s">
        <v>1802</v>
      </c>
      <c r="O103" s="136"/>
      <c r="P103" s="32">
        <v>54.0</v>
      </c>
      <c r="Q103" s="32"/>
      <c r="R103" s="32"/>
      <c r="S103" s="32"/>
      <c r="T103" s="32"/>
      <c r="U103" s="32"/>
      <c r="V103" s="32"/>
      <c r="W103" s="32"/>
      <c r="X103" s="32"/>
      <c r="Y103" s="32"/>
      <c r="Z103" s="32"/>
    </row>
    <row r="104" ht="49.5" customHeight="1">
      <c r="A104" s="20" t="s">
        <v>1327</v>
      </c>
      <c r="B104" s="28"/>
      <c r="C104" s="22">
        <v>4500000.0</v>
      </c>
      <c r="D104" s="26">
        <v>2014.0</v>
      </c>
      <c r="E104" s="101">
        <v>41852.0</v>
      </c>
      <c r="F104" s="26" t="s">
        <v>1328</v>
      </c>
      <c r="G104" s="26" t="s">
        <v>258</v>
      </c>
      <c r="H104" s="130" t="s">
        <v>23</v>
      </c>
      <c r="I104" s="130" t="s">
        <v>29</v>
      </c>
      <c r="J104" s="26">
        <v>2.0</v>
      </c>
      <c r="K104" s="57"/>
      <c r="L104" s="28"/>
      <c r="M104" s="53" t="s">
        <v>1088</v>
      </c>
      <c r="N104" s="166" t="s">
        <v>1329</v>
      </c>
      <c r="O104" s="113"/>
      <c r="P104" s="32">
        <v>173.0</v>
      </c>
      <c r="Q104" s="32"/>
      <c r="R104" s="32"/>
      <c r="S104" s="32"/>
      <c r="T104" s="32"/>
      <c r="U104" s="32"/>
      <c r="V104" s="32"/>
      <c r="W104" s="32"/>
      <c r="X104" s="32"/>
      <c r="Y104" s="32"/>
      <c r="Z104" s="32"/>
    </row>
    <row r="105" ht="49.5" customHeight="1">
      <c r="A105" s="20" t="s">
        <v>297</v>
      </c>
      <c r="B105" s="51"/>
      <c r="C105" s="22">
        <v>1500000.0</v>
      </c>
      <c r="D105" s="26">
        <v>2023.0</v>
      </c>
      <c r="E105" s="24">
        <v>44927.0</v>
      </c>
      <c r="F105" s="26" t="s">
        <v>298</v>
      </c>
      <c r="G105" s="26" t="s">
        <v>22</v>
      </c>
      <c r="H105" s="26" t="s">
        <v>23</v>
      </c>
      <c r="I105" s="26" t="s">
        <v>29</v>
      </c>
      <c r="J105" s="26">
        <v>2.0</v>
      </c>
      <c r="K105" s="27"/>
      <c r="L105" s="28"/>
      <c r="M105" s="34" t="s">
        <v>85</v>
      </c>
      <c r="N105" s="35" t="s">
        <v>299</v>
      </c>
      <c r="O105" s="31"/>
      <c r="P105" s="32">
        <v>450.0</v>
      </c>
      <c r="Q105" s="26"/>
      <c r="R105" s="21"/>
      <c r="S105" s="21"/>
      <c r="T105" s="21"/>
      <c r="U105" s="21"/>
      <c r="V105" s="21"/>
      <c r="W105" s="21"/>
      <c r="X105" s="21"/>
      <c r="Y105" s="21"/>
      <c r="Z105" s="21"/>
    </row>
    <row r="106" ht="49.5" customHeight="1">
      <c r="A106" s="165" t="s">
        <v>1859</v>
      </c>
      <c r="B106" s="28"/>
      <c r="C106" s="22">
        <v>1000000.0</v>
      </c>
      <c r="D106" s="26">
        <v>2008.0</v>
      </c>
      <c r="E106" s="101">
        <v>39508.0</v>
      </c>
      <c r="F106" s="26" t="s">
        <v>1860</v>
      </c>
      <c r="G106" s="26" t="s">
        <v>58</v>
      </c>
      <c r="H106" s="130" t="s">
        <v>59</v>
      </c>
      <c r="I106" s="130" t="s">
        <v>29</v>
      </c>
      <c r="J106" s="26">
        <v>3.0</v>
      </c>
      <c r="K106" s="57"/>
      <c r="L106" s="28"/>
      <c r="M106" s="34" t="s">
        <v>1224</v>
      </c>
      <c r="N106" s="106" t="s">
        <v>1861</v>
      </c>
      <c r="O106" s="117"/>
      <c r="P106" s="32">
        <v>39.0</v>
      </c>
      <c r="Q106" s="32"/>
      <c r="R106" s="32"/>
      <c r="S106" s="32"/>
      <c r="T106" s="32"/>
      <c r="U106" s="32"/>
      <c r="V106" s="32"/>
      <c r="W106" s="32"/>
      <c r="X106" s="32"/>
      <c r="Y106" s="32"/>
      <c r="Z106" s="32"/>
    </row>
    <row r="107" ht="49.5" customHeight="1">
      <c r="A107" s="20" t="s">
        <v>524</v>
      </c>
      <c r="B107" s="51"/>
      <c r="C107" s="22">
        <v>3.8E7</v>
      </c>
      <c r="D107" s="26">
        <v>2021.0</v>
      </c>
      <c r="E107" s="91">
        <v>44409.0</v>
      </c>
      <c r="F107" s="96" t="s">
        <v>525</v>
      </c>
      <c r="G107" s="26" t="s">
        <v>129</v>
      </c>
      <c r="H107" s="26" t="s">
        <v>23</v>
      </c>
      <c r="I107" s="26"/>
      <c r="J107" s="26">
        <v>3.0</v>
      </c>
      <c r="K107" s="27" t="s">
        <v>526</v>
      </c>
      <c r="L107" s="28"/>
      <c r="M107" s="34" t="s">
        <v>410</v>
      </c>
      <c r="N107" s="92" t="s">
        <v>527</v>
      </c>
      <c r="O107" s="31"/>
      <c r="P107" s="32">
        <v>388.0</v>
      </c>
      <c r="Q107" s="32"/>
      <c r="R107" s="32"/>
      <c r="S107" s="32"/>
      <c r="T107" s="32"/>
      <c r="U107" s="32"/>
      <c r="V107" s="32"/>
      <c r="W107" s="32"/>
      <c r="X107" s="32"/>
      <c r="Y107" s="32"/>
      <c r="Z107" s="32"/>
    </row>
    <row r="108" ht="49.5" customHeight="1">
      <c r="A108" s="20" t="s">
        <v>154</v>
      </c>
      <c r="B108" s="21"/>
      <c r="C108" s="22">
        <v>500000.0</v>
      </c>
      <c r="D108" s="26">
        <v>2024.0</v>
      </c>
      <c r="E108" s="24">
        <v>45431.0</v>
      </c>
      <c r="F108" s="38" t="s">
        <v>155</v>
      </c>
      <c r="G108" s="26" t="s">
        <v>50</v>
      </c>
      <c r="H108" s="26" t="s">
        <v>23</v>
      </c>
      <c r="I108" s="26"/>
      <c r="J108" s="26">
        <v>2.0</v>
      </c>
      <c r="K108" s="27"/>
      <c r="L108" s="28"/>
      <c r="M108" s="34" t="s">
        <v>85</v>
      </c>
      <c r="N108" s="35" t="s">
        <v>156</v>
      </c>
      <c r="O108" s="31"/>
      <c r="P108" s="32">
        <v>489.0</v>
      </c>
      <c r="Q108" s="26"/>
      <c r="R108" s="21"/>
      <c r="S108" s="21"/>
      <c r="T108" s="21"/>
      <c r="U108" s="21"/>
      <c r="V108" s="21"/>
      <c r="W108" s="21"/>
      <c r="X108" s="21"/>
      <c r="Y108" s="21"/>
      <c r="Z108" s="21"/>
    </row>
    <row r="109" ht="49.5" customHeight="1">
      <c r="A109" s="165" t="s">
        <v>1875</v>
      </c>
      <c r="B109" s="130" t="s">
        <v>1876</v>
      </c>
      <c r="C109" s="22">
        <v>2500000.0</v>
      </c>
      <c r="D109" s="26">
        <v>2008.0</v>
      </c>
      <c r="E109" s="101">
        <v>39661.0</v>
      </c>
      <c r="F109" s="111" t="s">
        <v>1877</v>
      </c>
      <c r="G109" s="26" t="s">
        <v>58</v>
      </c>
      <c r="H109" s="130" t="s">
        <v>59</v>
      </c>
      <c r="I109" s="28"/>
      <c r="J109" s="26">
        <v>2.0</v>
      </c>
      <c r="K109" s="57"/>
      <c r="L109" s="28"/>
      <c r="M109" s="34" t="s">
        <v>1878</v>
      </c>
      <c r="N109" s="106" t="s">
        <v>1879</v>
      </c>
      <c r="O109" s="113"/>
      <c r="P109" s="32">
        <v>35.0</v>
      </c>
      <c r="Q109" s="32"/>
      <c r="R109" s="32"/>
      <c r="S109" s="32"/>
      <c r="T109" s="32"/>
      <c r="U109" s="32"/>
      <c r="V109" s="32"/>
      <c r="W109" s="32"/>
      <c r="X109" s="32"/>
      <c r="Y109" s="32"/>
      <c r="Z109" s="32"/>
    </row>
    <row r="110" ht="87.0" customHeight="1">
      <c r="A110" s="114" t="s">
        <v>1506</v>
      </c>
      <c r="B110" s="115" t="s">
        <v>1507</v>
      </c>
      <c r="C110" s="22">
        <v>2.0E8</v>
      </c>
      <c r="D110" s="26">
        <v>2013.0</v>
      </c>
      <c r="E110" s="101">
        <v>41548.0</v>
      </c>
      <c r="F110" s="34" t="s">
        <v>1508</v>
      </c>
      <c r="G110" s="26" t="s">
        <v>58</v>
      </c>
      <c r="H110" s="130" t="s">
        <v>59</v>
      </c>
      <c r="I110" s="28"/>
      <c r="J110" s="26">
        <v>2.0</v>
      </c>
      <c r="K110" s="27" t="s">
        <v>294</v>
      </c>
      <c r="L110" s="28"/>
      <c r="M110" s="34" t="s">
        <v>1509</v>
      </c>
      <c r="N110" s="106" t="s">
        <v>1510</v>
      </c>
      <c r="O110" s="106" t="s">
        <v>1511</v>
      </c>
      <c r="P110" s="32">
        <v>127.0</v>
      </c>
      <c r="Q110" s="32"/>
      <c r="R110" s="32"/>
      <c r="S110" s="32"/>
      <c r="T110" s="32"/>
      <c r="U110" s="32"/>
      <c r="V110" s="32"/>
      <c r="W110" s="32"/>
      <c r="X110" s="32"/>
      <c r="Y110" s="32"/>
      <c r="Z110" s="32"/>
    </row>
    <row r="111" ht="32.25" customHeight="1">
      <c r="A111" s="165" t="s">
        <v>1438</v>
      </c>
      <c r="B111" s="28"/>
      <c r="C111" s="22">
        <v>100000.0</v>
      </c>
      <c r="D111" s="26">
        <v>2013.0</v>
      </c>
      <c r="E111" s="101">
        <v>41306.0</v>
      </c>
      <c r="F111" s="26" t="s">
        <v>1439</v>
      </c>
      <c r="G111" s="26" t="s">
        <v>258</v>
      </c>
      <c r="H111" s="26" t="s">
        <v>1034</v>
      </c>
      <c r="I111" s="28"/>
      <c r="J111" s="26">
        <v>4.0</v>
      </c>
      <c r="K111" s="57"/>
      <c r="L111" s="28"/>
      <c r="M111" s="34" t="s">
        <v>1440</v>
      </c>
      <c r="N111" s="106" t="s">
        <v>1441</v>
      </c>
      <c r="O111" s="113"/>
      <c r="P111" s="32">
        <v>145.0</v>
      </c>
      <c r="Q111" s="32"/>
      <c r="R111" s="32"/>
      <c r="S111" s="32"/>
      <c r="T111" s="32"/>
      <c r="U111" s="32"/>
      <c r="V111" s="32"/>
      <c r="W111" s="32"/>
      <c r="X111" s="32"/>
      <c r="Y111" s="32"/>
      <c r="Z111" s="32"/>
    </row>
    <row r="112" ht="32.25" customHeight="1">
      <c r="A112" s="114" t="s">
        <v>1518</v>
      </c>
      <c r="B112" s="53"/>
      <c r="C112" s="22">
        <v>1000000.0</v>
      </c>
      <c r="D112" s="26">
        <v>2013.0</v>
      </c>
      <c r="E112" s="101">
        <v>41518.0</v>
      </c>
      <c r="F112" s="34" t="s">
        <v>1519</v>
      </c>
      <c r="G112" s="115" t="s">
        <v>50</v>
      </c>
      <c r="H112" s="115" t="s">
        <v>23</v>
      </c>
      <c r="I112" s="53"/>
      <c r="J112" s="26">
        <v>3.0</v>
      </c>
      <c r="K112" s="57"/>
      <c r="L112" s="53"/>
      <c r="M112" s="34" t="s">
        <v>1520</v>
      </c>
      <c r="N112" s="135" t="s">
        <v>1521</v>
      </c>
      <c r="O112" s="116" t="s">
        <v>1522</v>
      </c>
      <c r="P112" s="32">
        <v>124.0</v>
      </c>
      <c r="Q112" s="32"/>
      <c r="R112" s="32"/>
      <c r="S112" s="32"/>
      <c r="T112" s="32"/>
      <c r="U112" s="32"/>
      <c r="V112" s="32"/>
      <c r="W112" s="32"/>
      <c r="X112" s="32"/>
      <c r="Y112" s="32"/>
      <c r="Z112" s="32"/>
    </row>
    <row r="113" ht="32.25" customHeight="1">
      <c r="A113" s="20" t="s">
        <v>1042</v>
      </c>
      <c r="B113" s="26" t="s">
        <v>1043</v>
      </c>
      <c r="C113" s="22">
        <v>700000.0</v>
      </c>
      <c r="D113" s="26">
        <v>2017.0</v>
      </c>
      <c r="E113" s="101">
        <v>42856.0</v>
      </c>
      <c r="F113" s="26" t="s">
        <v>1044</v>
      </c>
      <c r="G113" s="26" t="s">
        <v>28</v>
      </c>
      <c r="H113" s="26" t="s">
        <v>23</v>
      </c>
      <c r="I113" s="28"/>
      <c r="J113" s="26">
        <v>4.0</v>
      </c>
      <c r="K113" s="57"/>
      <c r="L113" s="28"/>
      <c r="M113" s="53" t="s">
        <v>608</v>
      </c>
      <c r="N113" s="106" t="s">
        <v>1045</v>
      </c>
      <c r="O113" s="113"/>
      <c r="P113" s="32">
        <v>243.0</v>
      </c>
      <c r="Q113" s="32"/>
      <c r="R113" s="32"/>
      <c r="S113" s="32"/>
      <c r="T113" s="32"/>
      <c r="U113" s="32"/>
      <c r="V113" s="32"/>
      <c r="W113" s="32"/>
      <c r="X113" s="32"/>
      <c r="Y113" s="32"/>
      <c r="Z113" s="32"/>
    </row>
    <row r="114" ht="32.25" customHeight="1">
      <c r="A114" s="165" t="s">
        <v>1948</v>
      </c>
      <c r="B114" s="130" t="s">
        <v>1949</v>
      </c>
      <c r="C114" s="22">
        <v>8637405.0</v>
      </c>
      <c r="D114" s="26">
        <v>2007.0</v>
      </c>
      <c r="E114" s="101">
        <v>39142.0</v>
      </c>
      <c r="F114" s="26" t="s">
        <v>1950</v>
      </c>
      <c r="G114" s="130" t="s">
        <v>43</v>
      </c>
      <c r="H114" s="130" t="s">
        <v>59</v>
      </c>
      <c r="I114" s="28"/>
      <c r="J114" s="130">
        <v>1.0</v>
      </c>
      <c r="K114" s="57"/>
      <c r="L114" s="28"/>
      <c r="M114" s="34" t="s">
        <v>1951</v>
      </c>
      <c r="N114" s="106" t="s">
        <v>1952</v>
      </c>
      <c r="O114" s="113"/>
      <c r="P114" s="32">
        <v>15.0</v>
      </c>
      <c r="Q114" s="32"/>
      <c r="R114" s="32"/>
      <c r="S114" s="32"/>
      <c r="T114" s="32"/>
      <c r="U114" s="32"/>
      <c r="V114" s="32"/>
      <c r="W114" s="32"/>
      <c r="X114" s="32"/>
      <c r="Y114" s="32"/>
      <c r="Z114" s="32"/>
    </row>
    <row r="115" ht="32.25" customHeight="1">
      <c r="A115" s="20" t="s">
        <v>1187</v>
      </c>
      <c r="B115" s="26" t="s">
        <v>1188</v>
      </c>
      <c r="C115" s="22">
        <v>8.52E7</v>
      </c>
      <c r="D115" s="26">
        <v>2016.0</v>
      </c>
      <c r="E115" s="101">
        <v>42705.0</v>
      </c>
      <c r="F115" s="26" t="s">
        <v>1189</v>
      </c>
      <c r="G115" s="26" t="s">
        <v>28</v>
      </c>
      <c r="H115" s="130" t="s">
        <v>23</v>
      </c>
      <c r="I115" s="28"/>
      <c r="J115" s="26">
        <v>1.0</v>
      </c>
      <c r="K115" s="57"/>
      <c r="L115" s="28"/>
      <c r="M115" s="53" t="s">
        <v>571</v>
      </c>
      <c r="N115" s="106" t="s">
        <v>1190</v>
      </c>
      <c r="O115" s="113"/>
      <c r="P115" s="32">
        <v>207.0</v>
      </c>
      <c r="Q115" s="32"/>
      <c r="R115" s="32"/>
      <c r="S115" s="32"/>
      <c r="T115" s="32"/>
      <c r="U115" s="32"/>
      <c r="V115" s="32"/>
      <c r="W115" s="32"/>
      <c r="X115" s="32"/>
      <c r="Y115" s="32"/>
      <c r="Z115" s="32"/>
    </row>
    <row r="116" ht="54.0" customHeight="1">
      <c r="A116" s="103" t="s">
        <v>759</v>
      </c>
      <c r="B116" s="104"/>
      <c r="C116" s="22">
        <v>700000.0</v>
      </c>
      <c r="D116" s="26">
        <v>2019.0</v>
      </c>
      <c r="E116" s="101">
        <v>43497.0</v>
      </c>
      <c r="F116" s="26" t="s">
        <v>745</v>
      </c>
      <c r="G116" s="26" t="s">
        <v>28</v>
      </c>
      <c r="H116" s="26" t="s">
        <v>23</v>
      </c>
      <c r="I116" s="28"/>
      <c r="J116" s="26">
        <v>1.0</v>
      </c>
      <c r="K116" s="27" t="str">
        <f>IF(C116&gt;100000000,C116,"")</f>
        <v/>
      </c>
      <c r="L116" s="28"/>
      <c r="M116" s="105" t="s">
        <v>227</v>
      </c>
      <c r="N116" s="106" t="s">
        <v>747</v>
      </c>
      <c r="O116" s="109"/>
      <c r="P116" s="32">
        <v>320.0</v>
      </c>
      <c r="Q116" s="32"/>
      <c r="R116" s="32"/>
      <c r="S116" s="32"/>
      <c r="T116" s="32"/>
      <c r="U116" s="32"/>
      <c r="V116" s="32"/>
      <c r="W116" s="32"/>
      <c r="X116" s="32"/>
      <c r="Y116" s="32"/>
      <c r="Z116" s="32"/>
    </row>
    <row r="117" ht="32.25" customHeight="1">
      <c r="A117" s="52" t="s">
        <v>644</v>
      </c>
      <c r="B117" s="52" t="s">
        <v>645</v>
      </c>
      <c r="C117" s="22">
        <v>2.2E7</v>
      </c>
      <c r="D117" s="26">
        <v>2020.0</v>
      </c>
      <c r="E117" s="101">
        <v>43952.0</v>
      </c>
      <c r="F117" s="26" t="s">
        <v>646</v>
      </c>
      <c r="G117" s="26" t="s">
        <v>28</v>
      </c>
      <c r="H117" s="26" t="s">
        <v>23</v>
      </c>
      <c r="I117" s="28"/>
      <c r="J117" s="26">
        <v>2.0</v>
      </c>
      <c r="K117" s="27" t="s">
        <v>647</v>
      </c>
      <c r="L117" s="28"/>
      <c r="M117" s="34" t="s">
        <v>648</v>
      </c>
      <c r="N117" s="100" t="s">
        <v>649</v>
      </c>
      <c r="O117" s="31"/>
      <c r="P117" s="32">
        <v>356.0</v>
      </c>
      <c r="Q117" s="32"/>
      <c r="R117" s="32"/>
      <c r="S117" s="32"/>
      <c r="T117" s="32"/>
      <c r="U117" s="32"/>
      <c r="V117" s="32"/>
      <c r="W117" s="32"/>
      <c r="X117" s="32"/>
      <c r="Y117" s="32"/>
      <c r="Z117" s="32"/>
    </row>
    <row r="118" ht="32.25" customHeight="1">
      <c r="A118" s="137" t="s">
        <v>1229</v>
      </c>
      <c r="B118" s="142"/>
      <c r="C118" s="119">
        <v>1.98E8</v>
      </c>
      <c r="D118" s="26">
        <v>2015.0</v>
      </c>
      <c r="E118" s="101">
        <v>42339.0</v>
      </c>
      <c r="F118" s="26" t="s">
        <v>1230</v>
      </c>
      <c r="G118" s="53" t="s">
        <v>28</v>
      </c>
      <c r="H118" s="26" t="s">
        <v>51</v>
      </c>
      <c r="I118" s="53"/>
      <c r="J118" s="26">
        <v>2.0</v>
      </c>
      <c r="K118" s="27" t="s">
        <v>1231</v>
      </c>
      <c r="L118" s="53"/>
      <c r="M118" s="53" t="s">
        <v>1232</v>
      </c>
      <c r="N118" s="152" t="s">
        <v>1233</v>
      </c>
      <c r="O118" s="158" t="s">
        <v>1234</v>
      </c>
      <c r="P118" s="32">
        <v>196.0</v>
      </c>
      <c r="Q118" s="32"/>
      <c r="R118" s="32"/>
      <c r="S118" s="32"/>
      <c r="T118" s="32"/>
      <c r="U118" s="32"/>
      <c r="V118" s="32"/>
      <c r="W118" s="32"/>
      <c r="X118" s="32"/>
      <c r="Y118" s="32"/>
      <c r="Z118" s="32"/>
    </row>
    <row r="119" ht="32.25" customHeight="1">
      <c r="A119" s="20" t="s">
        <v>207</v>
      </c>
      <c r="B119" s="21"/>
      <c r="C119" s="22">
        <v>4.9E7</v>
      </c>
      <c r="D119" s="26">
        <v>2024.0</v>
      </c>
      <c r="E119" s="24">
        <v>45410.0</v>
      </c>
      <c r="F119" s="38" t="s">
        <v>208</v>
      </c>
      <c r="G119" s="26" t="s">
        <v>50</v>
      </c>
      <c r="H119" s="26" t="s">
        <v>142</v>
      </c>
      <c r="I119" s="26"/>
      <c r="J119" s="26">
        <v>2.0</v>
      </c>
      <c r="K119" s="27"/>
      <c r="L119" s="28"/>
      <c r="M119" s="34" t="s">
        <v>85</v>
      </c>
      <c r="N119" s="35" t="s">
        <v>209</v>
      </c>
      <c r="O119" s="31"/>
      <c r="P119" s="32">
        <v>474.0</v>
      </c>
      <c r="Q119" s="26"/>
      <c r="R119" s="21"/>
      <c r="S119" s="21"/>
      <c r="T119" s="21"/>
      <c r="U119" s="21"/>
      <c r="V119" s="21"/>
      <c r="W119" s="21"/>
      <c r="X119" s="21"/>
      <c r="Y119" s="21"/>
      <c r="Z119" s="21"/>
    </row>
    <row r="120" ht="32.25" customHeight="1">
      <c r="A120" s="20" t="s">
        <v>952</v>
      </c>
      <c r="B120" s="26"/>
      <c r="C120" s="22">
        <v>100000.0</v>
      </c>
      <c r="D120" s="26">
        <v>2018.0</v>
      </c>
      <c r="E120" s="101">
        <v>43405.0</v>
      </c>
      <c r="F120" s="26" t="s">
        <v>953</v>
      </c>
      <c r="G120" s="26" t="s">
        <v>50</v>
      </c>
      <c r="H120" s="105" t="s">
        <v>23</v>
      </c>
      <c r="I120" s="28"/>
      <c r="J120" s="26">
        <v>1.0</v>
      </c>
      <c r="K120" s="27"/>
      <c r="L120" s="110"/>
      <c r="M120" s="26" t="s">
        <v>608</v>
      </c>
      <c r="N120" s="106" t="s">
        <v>954</v>
      </c>
      <c r="O120" s="113"/>
      <c r="P120" s="32">
        <v>266.0</v>
      </c>
      <c r="Q120" s="32"/>
      <c r="R120" s="32"/>
      <c r="S120" s="32"/>
      <c r="T120" s="32"/>
      <c r="U120" s="32"/>
      <c r="V120" s="32"/>
      <c r="W120" s="32"/>
      <c r="X120" s="32"/>
      <c r="Y120" s="32"/>
      <c r="Z120" s="32"/>
    </row>
    <row r="121" ht="32.25" customHeight="1">
      <c r="A121" s="20" t="s">
        <v>266</v>
      </c>
      <c r="B121" s="47"/>
      <c r="C121" s="22">
        <v>7000000.0</v>
      </c>
      <c r="D121" s="26">
        <v>2023.0</v>
      </c>
      <c r="E121" s="24">
        <v>45069.0</v>
      </c>
      <c r="F121" s="38" t="s">
        <v>267</v>
      </c>
      <c r="G121" s="26" t="s">
        <v>258</v>
      </c>
      <c r="H121" s="26" t="s">
        <v>23</v>
      </c>
      <c r="I121" s="26"/>
      <c r="J121" s="26">
        <v>3.0</v>
      </c>
      <c r="K121" s="27"/>
      <c r="L121" s="28"/>
      <c r="M121" s="34" t="s">
        <v>85</v>
      </c>
      <c r="N121" s="48" t="s">
        <v>268</v>
      </c>
      <c r="O121" s="31"/>
      <c r="P121" s="32">
        <v>458.0</v>
      </c>
      <c r="Q121" s="34"/>
      <c r="R121" s="32"/>
      <c r="S121" s="32"/>
      <c r="T121" s="32"/>
      <c r="U121" s="32"/>
      <c r="V121" s="32"/>
      <c r="W121" s="32"/>
      <c r="X121" s="32"/>
      <c r="Y121" s="32"/>
      <c r="Z121" s="32"/>
    </row>
    <row r="122" ht="32.25" customHeight="1">
      <c r="A122" s="103" t="s">
        <v>704</v>
      </c>
      <c r="B122" s="104"/>
      <c r="C122" s="22">
        <v>4200000.0</v>
      </c>
      <c r="D122" s="26">
        <v>2019.0</v>
      </c>
      <c r="E122" s="101">
        <v>43617.0</v>
      </c>
      <c r="F122" s="26" t="s">
        <v>705</v>
      </c>
      <c r="G122" s="26" t="s">
        <v>58</v>
      </c>
      <c r="H122" s="26" t="s">
        <v>59</v>
      </c>
      <c r="I122" s="26"/>
      <c r="J122" s="26">
        <v>2.0</v>
      </c>
      <c r="K122" s="27"/>
      <c r="L122" s="28"/>
      <c r="M122" s="105" t="s">
        <v>706</v>
      </c>
      <c r="N122" s="106" t="s">
        <v>707</v>
      </c>
      <c r="O122" s="107"/>
      <c r="P122" s="32">
        <v>343.0</v>
      </c>
      <c r="Q122" s="32"/>
      <c r="R122" s="32"/>
      <c r="S122" s="32"/>
      <c r="T122" s="32"/>
      <c r="U122" s="32"/>
      <c r="V122" s="32"/>
      <c r="W122" s="32"/>
      <c r="X122" s="32"/>
      <c r="Y122" s="32"/>
      <c r="Z122" s="32"/>
    </row>
    <row r="123" ht="32.25" customHeight="1">
      <c r="A123" s="20" t="s">
        <v>563</v>
      </c>
      <c r="B123" s="98"/>
      <c r="C123" s="22">
        <v>1.0E7</v>
      </c>
      <c r="D123" s="26">
        <v>2021.0</v>
      </c>
      <c r="E123" s="91">
        <v>44287.0</v>
      </c>
      <c r="F123" s="99"/>
      <c r="G123" s="26" t="s">
        <v>50</v>
      </c>
      <c r="H123" s="26" t="s">
        <v>380</v>
      </c>
      <c r="I123" s="26"/>
      <c r="J123" s="26"/>
      <c r="K123" s="27" t="s">
        <v>360</v>
      </c>
      <c r="L123" s="28"/>
      <c r="M123" s="34" t="s">
        <v>34</v>
      </c>
      <c r="N123" s="92" t="s">
        <v>564</v>
      </c>
      <c r="O123" s="31"/>
      <c r="P123" s="32">
        <v>378.0</v>
      </c>
      <c r="Q123" s="32"/>
      <c r="R123" s="32"/>
      <c r="S123" s="32"/>
      <c r="T123" s="32"/>
      <c r="U123" s="32"/>
      <c r="V123" s="32"/>
      <c r="W123" s="32"/>
      <c r="X123" s="32"/>
      <c r="Y123" s="32"/>
      <c r="Z123" s="32"/>
    </row>
    <row r="124" ht="32.25" customHeight="1">
      <c r="A124" s="60" t="s">
        <v>367</v>
      </c>
      <c r="B124" s="51"/>
      <c r="C124" s="22">
        <v>760000.0</v>
      </c>
      <c r="D124" s="26">
        <v>2023.0</v>
      </c>
      <c r="E124" s="24">
        <v>45139.0</v>
      </c>
      <c r="F124" s="38" t="s">
        <v>368</v>
      </c>
      <c r="G124" s="26" t="s">
        <v>236</v>
      </c>
      <c r="H124" s="26" t="s">
        <v>23</v>
      </c>
      <c r="I124" s="28"/>
      <c r="J124" s="26">
        <v>1.0</v>
      </c>
      <c r="K124" s="27"/>
      <c r="L124" s="28"/>
      <c r="M124" s="34" t="s">
        <v>369</v>
      </c>
      <c r="N124" s="30" t="s">
        <v>2104</v>
      </c>
      <c r="O124" s="31"/>
      <c r="P124" s="32">
        <v>432.0</v>
      </c>
      <c r="Q124" s="61"/>
      <c r="R124" s="32"/>
      <c r="S124" s="32"/>
      <c r="T124" s="32"/>
      <c r="U124" s="32"/>
      <c r="V124" s="32"/>
      <c r="W124" s="32"/>
      <c r="X124" s="32"/>
      <c r="Y124" s="32"/>
      <c r="Z124" s="32"/>
    </row>
    <row r="125">
      <c r="A125" s="226" t="s">
        <v>124</v>
      </c>
      <c r="B125" s="224"/>
      <c r="C125" s="214">
        <v>690700.0</v>
      </c>
      <c r="D125" s="215">
        <v>2022.0</v>
      </c>
      <c r="E125" s="216">
        <v>44713.0</v>
      </c>
      <c r="F125" s="227" t="s">
        <v>125</v>
      </c>
      <c r="G125" s="215" t="s">
        <v>43</v>
      </c>
      <c r="H125" s="215" t="s">
        <v>23</v>
      </c>
      <c r="I125" s="215"/>
      <c r="J125" s="215">
        <v>2.0</v>
      </c>
      <c r="K125" s="218"/>
      <c r="L125" s="219"/>
      <c r="M125" s="220" t="s">
        <v>72</v>
      </c>
      <c r="N125" s="221" t="s">
        <v>126</v>
      </c>
      <c r="O125" s="222"/>
      <c r="P125" s="223">
        <v>497.0</v>
      </c>
      <c r="Q125" s="215"/>
      <c r="R125" s="224"/>
      <c r="S125" s="224"/>
      <c r="T125" s="224"/>
      <c r="U125" s="224"/>
      <c r="V125" s="224"/>
      <c r="W125" s="224"/>
      <c r="X125" s="224"/>
      <c r="Y125" s="224"/>
      <c r="Z125" s="224"/>
    </row>
    <row r="126">
      <c r="A126" s="131" t="s">
        <v>989</v>
      </c>
      <c r="B126" s="132"/>
      <c r="C126" s="133">
        <v>1.75E7</v>
      </c>
      <c r="D126" s="26">
        <v>2017.0</v>
      </c>
      <c r="E126" s="134">
        <v>43070.0</v>
      </c>
      <c r="F126" s="105" t="s">
        <v>990</v>
      </c>
      <c r="G126" s="120" t="s">
        <v>28</v>
      </c>
      <c r="H126" s="120" t="s">
        <v>23</v>
      </c>
      <c r="I126" s="120"/>
      <c r="J126" s="150">
        <v>4.0</v>
      </c>
      <c r="K126" s="57"/>
      <c r="L126" s="120"/>
      <c r="M126" s="120" t="s">
        <v>608</v>
      </c>
      <c r="N126" s="122" t="s">
        <v>991</v>
      </c>
      <c r="O126" s="117"/>
      <c r="P126" s="32">
        <v>257.0</v>
      </c>
      <c r="Q126" s="32"/>
      <c r="R126" s="32"/>
      <c r="S126" s="32"/>
      <c r="T126" s="32"/>
      <c r="U126" s="32"/>
      <c r="V126" s="32"/>
      <c r="W126" s="32"/>
      <c r="X126" s="32"/>
      <c r="Y126" s="32"/>
      <c r="Z126" s="32"/>
    </row>
    <row r="127">
      <c r="A127" s="20" t="s">
        <v>862</v>
      </c>
      <c r="B127" s="26"/>
      <c r="C127" s="22">
        <v>1.0E7</v>
      </c>
      <c r="D127" s="26">
        <v>2018.0</v>
      </c>
      <c r="E127" s="101">
        <v>43252.0</v>
      </c>
      <c r="F127" s="26" t="s">
        <v>863</v>
      </c>
      <c r="G127" s="26" t="s">
        <v>129</v>
      </c>
      <c r="H127" s="26" t="s">
        <v>23</v>
      </c>
      <c r="I127" s="28"/>
      <c r="J127" s="26">
        <v>1.0</v>
      </c>
      <c r="K127" s="57"/>
      <c r="L127" s="110"/>
      <c r="M127" s="26" t="s">
        <v>147</v>
      </c>
      <c r="N127" s="106" t="s">
        <v>864</v>
      </c>
      <c r="O127" s="113"/>
      <c r="P127" s="32">
        <v>288.0</v>
      </c>
      <c r="Q127" s="32"/>
      <c r="R127" s="32"/>
      <c r="S127" s="32"/>
      <c r="T127" s="32"/>
      <c r="U127" s="32"/>
      <c r="V127" s="32"/>
      <c r="W127" s="32"/>
      <c r="X127" s="32"/>
      <c r="Y127" s="32"/>
      <c r="Z127" s="32"/>
    </row>
    <row r="128">
      <c r="A128" s="165" t="s">
        <v>1384</v>
      </c>
      <c r="B128" s="28"/>
      <c r="C128" s="22">
        <v>600000.0</v>
      </c>
      <c r="D128" s="26">
        <v>2014.0</v>
      </c>
      <c r="E128" s="101">
        <v>41791.0</v>
      </c>
      <c r="F128" s="26" t="s">
        <v>1385</v>
      </c>
      <c r="G128" s="26" t="s">
        <v>43</v>
      </c>
      <c r="H128" s="130" t="s">
        <v>23</v>
      </c>
      <c r="I128" s="28"/>
      <c r="J128" s="130">
        <v>1.0</v>
      </c>
      <c r="K128" s="57"/>
      <c r="L128" s="28"/>
      <c r="M128" s="53" t="s">
        <v>325</v>
      </c>
      <c r="N128" s="166" t="s">
        <v>1386</v>
      </c>
      <c r="O128" s="113"/>
      <c r="P128" s="32">
        <v>158.0</v>
      </c>
      <c r="Q128" s="32"/>
      <c r="R128" s="32"/>
      <c r="S128" s="32"/>
      <c r="T128" s="32"/>
      <c r="U128" s="32"/>
      <c r="V128" s="32"/>
      <c r="W128" s="32"/>
      <c r="X128" s="32"/>
      <c r="Y128" s="32"/>
      <c r="Z128" s="32"/>
    </row>
    <row r="129">
      <c r="A129" s="20" t="s">
        <v>800</v>
      </c>
      <c r="B129" s="98" t="s">
        <v>801</v>
      </c>
      <c r="C129" s="22">
        <v>4900000.0</v>
      </c>
      <c r="D129" s="26">
        <v>2019.0</v>
      </c>
      <c r="E129" s="101">
        <v>43709.0</v>
      </c>
      <c r="F129" s="26" t="s">
        <v>802</v>
      </c>
      <c r="G129" s="26" t="s">
        <v>22</v>
      </c>
      <c r="H129" s="26" t="s">
        <v>23</v>
      </c>
      <c r="I129" s="28"/>
      <c r="J129" s="26">
        <v>2.0</v>
      </c>
      <c r="K129" s="27" t="s">
        <v>803</v>
      </c>
      <c r="L129" s="28"/>
      <c r="M129" s="34" t="s">
        <v>725</v>
      </c>
      <c r="N129" s="102" t="s">
        <v>804</v>
      </c>
      <c r="O129" s="31"/>
      <c r="P129" s="32">
        <v>303.0</v>
      </c>
      <c r="Q129" s="32"/>
      <c r="R129" s="32"/>
      <c r="S129" s="32"/>
      <c r="T129" s="32"/>
      <c r="U129" s="32"/>
      <c r="V129" s="32"/>
      <c r="W129" s="32"/>
      <c r="X129" s="32"/>
      <c r="Y129" s="32"/>
      <c r="Z129" s="32"/>
    </row>
    <row r="130">
      <c r="A130" s="165" t="s">
        <v>1935</v>
      </c>
      <c r="B130" s="28"/>
      <c r="C130" s="22">
        <v>3000000.0</v>
      </c>
      <c r="D130" s="26">
        <v>2007.0</v>
      </c>
      <c r="E130" s="101">
        <v>39417.0</v>
      </c>
      <c r="F130" s="111" t="s">
        <v>1936</v>
      </c>
      <c r="G130" s="130" t="s">
        <v>64</v>
      </c>
      <c r="H130" s="26" t="s">
        <v>1034</v>
      </c>
      <c r="I130" s="28"/>
      <c r="J130" s="26">
        <v>2.0</v>
      </c>
      <c r="K130" s="57"/>
      <c r="L130" s="28"/>
      <c r="M130" s="53" t="s">
        <v>905</v>
      </c>
      <c r="N130" s="106" t="s">
        <v>1937</v>
      </c>
      <c r="O130" s="113"/>
      <c r="P130" s="32">
        <v>19.0</v>
      </c>
      <c r="Q130" s="32"/>
      <c r="R130" s="32"/>
      <c r="S130" s="32"/>
      <c r="T130" s="32"/>
      <c r="U130" s="32"/>
      <c r="V130" s="32"/>
      <c r="W130" s="32"/>
      <c r="X130" s="32"/>
      <c r="Y130" s="32"/>
      <c r="Z130" s="32"/>
    </row>
    <row r="131">
      <c r="A131" s="20" t="s">
        <v>613</v>
      </c>
      <c r="B131" s="51"/>
      <c r="C131" s="22">
        <v>2400000.0</v>
      </c>
      <c r="D131" s="26">
        <v>2020.0</v>
      </c>
      <c r="E131" s="101">
        <v>44075.0</v>
      </c>
      <c r="F131" s="26" t="s">
        <v>614</v>
      </c>
      <c r="G131" s="26" t="s">
        <v>28</v>
      </c>
      <c r="H131" s="26" t="s">
        <v>23</v>
      </c>
      <c r="I131" s="26"/>
      <c r="J131" s="26">
        <v>2.0</v>
      </c>
      <c r="K131" s="27"/>
      <c r="L131" s="28"/>
      <c r="M131" s="34" t="s">
        <v>34</v>
      </c>
      <c r="N131" s="100" t="s">
        <v>615</v>
      </c>
      <c r="O131" s="31"/>
      <c r="P131" s="32">
        <v>364.0</v>
      </c>
      <c r="Q131" s="32"/>
      <c r="R131" s="32"/>
      <c r="S131" s="32"/>
      <c r="T131" s="32"/>
      <c r="U131" s="32"/>
      <c r="V131" s="32"/>
      <c r="W131" s="32"/>
      <c r="X131" s="32"/>
      <c r="Y131" s="32"/>
      <c r="Z131" s="32"/>
    </row>
    <row r="132">
      <c r="A132" s="20" t="s">
        <v>214</v>
      </c>
      <c r="B132" s="40" t="s">
        <v>215</v>
      </c>
      <c r="C132" s="22">
        <v>100000.0</v>
      </c>
      <c r="D132" s="26">
        <v>2024.0</v>
      </c>
      <c r="E132" s="24">
        <v>45406.0</v>
      </c>
      <c r="F132" s="38" t="s">
        <v>216</v>
      </c>
      <c r="G132" s="26" t="s">
        <v>50</v>
      </c>
      <c r="H132" s="26" t="s">
        <v>23</v>
      </c>
      <c r="I132" s="26"/>
      <c r="J132" s="26">
        <v>2.0</v>
      </c>
      <c r="K132" s="27"/>
      <c r="L132" s="28"/>
      <c r="M132" s="34" t="s">
        <v>85</v>
      </c>
      <c r="N132" s="35" t="s">
        <v>217</v>
      </c>
      <c r="O132" s="31"/>
      <c r="P132" s="32">
        <v>472.0</v>
      </c>
      <c r="Q132" s="26"/>
      <c r="R132" s="21"/>
      <c r="S132" s="21"/>
      <c r="T132" s="21"/>
      <c r="U132" s="21"/>
      <c r="V132" s="21"/>
      <c r="W132" s="21"/>
      <c r="X132" s="21"/>
      <c r="Y132" s="21"/>
      <c r="Z132" s="21"/>
    </row>
    <row r="133">
      <c r="A133" s="20" t="s">
        <v>214</v>
      </c>
      <c r="B133" s="28"/>
      <c r="C133" s="22">
        <v>6.87E7</v>
      </c>
      <c r="D133" s="26">
        <v>2012.0</v>
      </c>
      <c r="E133" s="101">
        <v>42583.0</v>
      </c>
      <c r="F133" s="26" t="s">
        <v>1623</v>
      </c>
      <c r="G133" s="26" t="s">
        <v>28</v>
      </c>
      <c r="H133" s="26" t="s">
        <v>23</v>
      </c>
      <c r="I133" s="28"/>
      <c r="J133" s="26">
        <v>1.0</v>
      </c>
      <c r="K133" s="27" t="s">
        <v>1624</v>
      </c>
      <c r="L133" s="28"/>
      <c r="M133" s="53" t="s">
        <v>1625</v>
      </c>
      <c r="N133" s="106" t="s">
        <v>1626</v>
      </c>
      <c r="O133" s="113"/>
      <c r="P133" s="32">
        <v>99.0</v>
      </c>
      <c r="Q133" s="32"/>
      <c r="R133" s="32"/>
      <c r="S133" s="32"/>
      <c r="T133" s="32"/>
      <c r="U133" s="32"/>
      <c r="V133" s="32"/>
      <c r="W133" s="32"/>
      <c r="X133" s="32"/>
      <c r="Y133" s="32"/>
      <c r="Z133" s="32"/>
    </row>
    <row r="134">
      <c r="A134" s="165" t="s">
        <v>1488</v>
      </c>
      <c r="B134" s="130" t="s">
        <v>1489</v>
      </c>
      <c r="C134" s="22">
        <v>1000000.0</v>
      </c>
      <c r="D134" s="26">
        <v>2013.0</v>
      </c>
      <c r="E134" s="101">
        <v>41395.0</v>
      </c>
      <c r="F134" s="26" t="s">
        <v>1490</v>
      </c>
      <c r="G134" s="130" t="s">
        <v>28</v>
      </c>
      <c r="H134" s="130" t="s">
        <v>23</v>
      </c>
      <c r="I134" s="28"/>
      <c r="J134" s="130">
        <v>1.0</v>
      </c>
      <c r="K134" s="57"/>
      <c r="L134" s="28"/>
      <c r="M134" s="53" t="s">
        <v>247</v>
      </c>
      <c r="N134" s="106" t="s">
        <v>1491</v>
      </c>
      <c r="O134" s="113"/>
      <c r="P134" s="32">
        <v>131.0</v>
      </c>
      <c r="Q134" s="32"/>
      <c r="R134" s="32"/>
      <c r="S134" s="32"/>
      <c r="T134" s="32"/>
      <c r="U134" s="32"/>
      <c r="V134" s="32"/>
      <c r="W134" s="32"/>
      <c r="X134" s="32"/>
      <c r="Y134" s="32"/>
      <c r="Z134" s="32"/>
    </row>
    <row r="135">
      <c r="A135" s="62" t="s">
        <v>425</v>
      </c>
      <c r="B135" s="63"/>
      <c r="C135" s="64">
        <v>800000.0</v>
      </c>
      <c r="D135" s="68">
        <v>2022.0</v>
      </c>
      <c r="E135" s="66">
        <v>44682.0</v>
      </c>
      <c r="F135" s="68" t="s">
        <v>426</v>
      </c>
      <c r="G135" s="26" t="s">
        <v>58</v>
      </c>
      <c r="H135" s="68" t="s">
        <v>59</v>
      </c>
      <c r="I135" s="68" t="s">
        <v>29</v>
      </c>
      <c r="J135" s="68">
        <v>1.0</v>
      </c>
      <c r="K135" s="69"/>
      <c r="L135" s="70"/>
      <c r="M135" s="71" t="s">
        <v>427</v>
      </c>
      <c r="N135" s="72" t="s">
        <v>428</v>
      </c>
      <c r="O135" s="73"/>
      <c r="P135" s="74">
        <v>417.0</v>
      </c>
      <c r="Q135" s="74"/>
      <c r="R135" s="74"/>
      <c r="S135" s="74"/>
      <c r="T135" s="74"/>
      <c r="U135" s="74"/>
      <c r="V135" s="74"/>
      <c r="W135" s="74"/>
      <c r="X135" s="74"/>
      <c r="Y135" s="74"/>
      <c r="Z135" s="74"/>
    </row>
    <row r="136">
      <c r="A136" s="103" t="s">
        <v>744</v>
      </c>
      <c r="B136" s="104"/>
      <c r="C136" s="22">
        <v>1.62E8</v>
      </c>
      <c r="D136" s="26">
        <v>2019.0</v>
      </c>
      <c r="E136" s="101">
        <v>43497.0</v>
      </c>
      <c r="F136" s="26" t="s">
        <v>745</v>
      </c>
      <c r="G136" s="26" t="s">
        <v>409</v>
      </c>
      <c r="H136" s="26" t="s">
        <v>23</v>
      </c>
      <c r="I136" s="28"/>
      <c r="J136" s="26">
        <v>1.0</v>
      </c>
      <c r="K136" s="27" t="s">
        <v>746</v>
      </c>
      <c r="L136" s="28"/>
      <c r="M136" s="105" t="s">
        <v>227</v>
      </c>
      <c r="N136" s="106" t="s">
        <v>747</v>
      </c>
      <c r="O136" s="109"/>
      <c r="P136" s="32">
        <v>332.0</v>
      </c>
      <c r="Q136" s="32"/>
      <c r="R136" s="32"/>
      <c r="S136" s="32"/>
      <c r="T136" s="32"/>
      <c r="U136" s="32"/>
      <c r="V136" s="32"/>
      <c r="W136" s="32"/>
      <c r="X136" s="32"/>
      <c r="Y136" s="32"/>
      <c r="Z136" s="32"/>
    </row>
    <row r="137">
      <c r="A137" s="20" t="s">
        <v>657</v>
      </c>
      <c r="B137" s="51"/>
      <c r="C137" s="22">
        <v>6900000.0</v>
      </c>
      <c r="D137" s="26">
        <v>2020.0</v>
      </c>
      <c r="E137" s="101">
        <v>43891.0</v>
      </c>
      <c r="F137" s="26" t="s">
        <v>658</v>
      </c>
      <c r="G137" s="26" t="s">
        <v>64</v>
      </c>
      <c r="H137" s="26" t="s">
        <v>659</v>
      </c>
      <c r="I137" s="28"/>
      <c r="J137" s="26">
        <v>4.0</v>
      </c>
      <c r="K137" s="27" t="s">
        <v>319</v>
      </c>
      <c r="L137" s="28"/>
      <c r="M137" s="34" t="s">
        <v>571</v>
      </c>
      <c r="N137" s="100" t="s">
        <v>660</v>
      </c>
      <c r="O137" s="31"/>
      <c r="P137" s="32">
        <v>353.0</v>
      </c>
      <c r="Q137" s="32"/>
      <c r="R137" s="32"/>
      <c r="S137" s="32"/>
      <c r="T137" s="32"/>
      <c r="U137" s="32"/>
      <c r="V137" s="32"/>
      <c r="W137" s="32"/>
      <c r="X137" s="32"/>
      <c r="Y137" s="32"/>
      <c r="Z137" s="32"/>
    </row>
    <row r="138">
      <c r="A138" s="20" t="s">
        <v>650</v>
      </c>
      <c r="B138" s="51"/>
      <c r="C138" s="22">
        <v>9000000.0</v>
      </c>
      <c r="D138" s="26">
        <v>2020.0</v>
      </c>
      <c r="E138" s="101">
        <v>43952.0</v>
      </c>
      <c r="F138" s="26" t="s">
        <v>651</v>
      </c>
      <c r="G138" s="26" t="s">
        <v>22</v>
      </c>
      <c r="H138" s="26" t="s">
        <v>23</v>
      </c>
      <c r="I138" s="28"/>
      <c r="J138" s="26">
        <v>3.0</v>
      </c>
      <c r="K138" s="27" t="s">
        <v>652</v>
      </c>
      <c r="L138" s="28"/>
      <c r="M138" s="34" t="s">
        <v>147</v>
      </c>
      <c r="N138" s="100" t="s">
        <v>653</v>
      </c>
      <c r="O138" s="31"/>
      <c r="P138" s="32">
        <v>355.0</v>
      </c>
      <c r="Q138" s="32"/>
      <c r="R138" s="32"/>
      <c r="S138" s="32"/>
      <c r="T138" s="32"/>
      <c r="U138" s="32"/>
      <c r="V138" s="32"/>
      <c r="W138" s="32"/>
      <c r="X138" s="32"/>
      <c r="Y138" s="32"/>
      <c r="Z138" s="32"/>
    </row>
    <row r="139">
      <c r="A139" s="165" t="s">
        <v>1342</v>
      </c>
      <c r="B139" s="28"/>
      <c r="C139" s="22">
        <v>1.45E8</v>
      </c>
      <c r="D139" s="26">
        <v>2014.0</v>
      </c>
      <c r="E139" s="101">
        <v>41760.0</v>
      </c>
      <c r="F139" s="26" t="s">
        <v>1343</v>
      </c>
      <c r="G139" s="130" t="s">
        <v>28</v>
      </c>
      <c r="H139" s="130" t="s">
        <v>23</v>
      </c>
      <c r="I139" s="130" t="s">
        <v>29</v>
      </c>
      <c r="J139" s="130">
        <v>1.0</v>
      </c>
      <c r="K139" s="27" t="s">
        <v>1344</v>
      </c>
      <c r="L139" s="28"/>
      <c r="M139" s="34" t="s">
        <v>591</v>
      </c>
      <c r="N139" s="106" t="s">
        <v>1345</v>
      </c>
      <c r="O139" s="113"/>
      <c r="P139" s="32">
        <v>169.0</v>
      </c>
      <c r="Q139" s="32"/>
      <c r="R139" s="32"/>
      <c r="S139" s="32"/>
      <c r="T139" s="32"/>
      <c r="U139" s="32"/>
      <c r="V139" s="32"/>
      <c r="W139" s="32"/>
      <c r="X139" s="32"/>
      <c r="Y139" s="32"/>
      <c r="Z139" s="32"/>
    </row>
    <row r="140">
      <c r="A140" s="165" t="s">
        <v>1810</v>
      </c>
      <c r="B140" s="130" t="s">
        <v>1811</v>
      </c>
      <c r="C140" s="22">
        <v>3300000.0</v>
      </c>
      <c r="D140" s="26">
        <v>2010.0</v>
      </c>
      <c r="E140" s="101">
        <v>40238.0</v>
      </c>
      <c r="F140" s="26" t="s">
        <v>1812</v>
      </c>
      <c r="G140" s="26" t="s">
        <v>58</v>
      </c>
      <c r="H140" s="26" t="s">
        <v>1034</v>
      </c>
      <c r="I140" s="130" t="s">
        <v>29</v>
      </c>
      <c r="J140" s="26">
        <v>2.0</v>
      </c>
      <c r="K140" s="57"/>
      <c r="L140" s="28"/>
      <c r="M140" s="105" t="s">
        <v>1813</v>
      </c>
      <c r="N140" s="135" t="s">
        <v>1814</v>
      </c>
      <c r="O140" s="113"/>
      <c r="P140" s="32">
        <v>51.0</v>
      </c>
      <c r="Q140" s="32"/>
      <c r="R140" s="32"/>
      <c r="S140" s="32"/>
      <c r="T140" s="32"/>
      <c r="U140" s="32"/>
      <c r="V140" s="32"/>
      <c r="W140" s="32"/>
      <c r="X140" s="32"/>
      <c r="Y140" s="32"/>
      <c r="Z140" s="32"/>
    </row>
    <row r="141">
      <c r="A141" s="114" t="s">
        <v>1711</v>
      </c>
      <c r="B141" s="130" t="s">
        <v>1712</v>
      </c>
      <c r="C141" s="22">
        <v>514330.0</v>
      </c>
      <c r="D141" s="26">
        <v>2011.0</v>
      </c>
      <c r="E141" s="101">
        <v>40634.0</v>
      </c>
      <c r="F141" s="111" t="s">
        <v>1713</v>
      </c>
      <c r="G141" s="26" t="s">
        <v>258</v>
      </c>
      <c r="H141" s="26" t="s">
        <v>1034</v>
      </c>
      <c r="I141" s="28"/>
      <c r="J141" s="26">
        <v>4.0</v>
      </c>
      <c r="K141" s="57"/>
      <c r="L141" s="53"/>
      <c r="M141" s="34" t="s">
        <v>1714</v>
      </c>
      <c r="N141" s="135" t="s">
        <v>1715</v>
      </c>
      <c r="O141" s="136"/>
      <c r="P141" s="32">
        <v>75.0</v>
      </c>
      <c r="Q141" s="32"/>
      <c r="R141" s="32"/>
      <c r="S141" s="32"/>
      <c r="T141" s="32"/>
      <c r="U141" s="32"/>
      <c r="V141" s="32"/>
      <c r="W141" s="32"/>
      <c r="X141" s="32"/>
      <c r="Y141" s="32"/>
      <c r="Z141" s="32"/>
    </row>
    <row r="142">
      <c r="A142" s="114" t="s">
        <v>1794</v>
      </c>
      <c r="B142" s="130" t="s">
        <v>1795</v>
      </c>
      <c r="C142" s="22">
        <v>180111.0</v>
      </c>
      <c r="D142" s="26">
        <v>2010.0</v>
      </c>
      <c r="E142" s="101">
        <v>40299.0</v>
      </c>
      <c r="F142" s="26" t="s">
        <v>1796</v>
      </c>
      <c r="G142" s="26" t="s">
        <v>258</v>
      </c>
      <c r="H142" s="26" t="s">
        <v>1034</v>
      </c>
      <c r="I142" s="28"/>
      <c r="J142" s="26">
        <v>4.0</v>
      </c>
      <c r="K142" s="57"/>
      <c r="L142" s="53"/>
      <c r="M142" s="34" t="s">
        <v>1797</v>
      </c>
      <c r="N142" s="135" t="s">
        <v>1798</v>
      </c>
      <c r="O142" s="136"/>
      <c r="P142" s="32">
        <v>55.0</v>
      </c>
      <c r="Q142" s="32"/>
      <c r="R142" s="32"/>
      <c r="S142" s="32"/>
      <c r="T142" s="32"/>
      <c r="U142" s="32"/>
      <c r="V142" s="32"/>
      <c r="W142" s="32"/>
      <c r="X142" s="32"/>
      <c r="Y142" s="32"/>
      <c r="Z142" s="32"/>
    </row>
    <row r="143">
      <c r="A143" s="114" t="s">
        <v>1549</v>
      </c>
      <c r="B143" s="130" t="s">
        <v>1550</v>
      </c>
      <c r="C143" s="22">
        <v>315000.0</v>
      </c>
      <c r="D143" s="26">
        <v>2012.0</v>
      </c>
      <c r="E143" s="101">
        <v>41000.0</v>
      </c>
      <c r="F143" s="26" t="s">
        <v>1551</v>
      </c>
      <c r="G143" s="26" t="s">
        <v>258</v>
      </c>
      <c r="H143" s="26" t="s">
        <v>1034</v>
      </c>
      <c r="I143" s="28"/>
      <c r="J143" s="26">
        <v>4.0</v>
      </c>
      <c r="K143" s="57"/>
      <c r="L143" s="53"/>
      <c r="M143" s="34" t="s">
        <v>1552</v>
      </c>
      <c r="N143" s="135" t="s">
        <v>1553</v>
      </c>
      <c r="O143" s="19"/>
      <c r="P143" s="32">
        <v>116.0</v>
      </c>
      <c r="Q143" s="32"/>
      <c r="R143" s="32"/>
      <c r="S143" s="32"/>
      <c r="T143" s="32"/>
      <c r="U143" s="32"/>
      <c r="V143" s="32"/>
      <c r="W143" s="32"/>
      <c r="X143" s="32"/>
      <c r="Y143" s="32"/>
      <c r="Z143" s="32"/>
    </row>
    <row r="144">
      <c r="A144" s="20" t="s">
        <v>512</v>
      </c>
      <c r="B144" s="51"/>
      <c r="C144" s="22">
        <v>1.5E7</v>
      </c>
      <c r="D144" s="26">
        <v>2021.0</v>
      </c>
      <c r="E144" s="91">
        <v>44440.0</v>
      </c>
      <c r="F144" s="34" t="s">
        <v>513</v>
      </c>
      <c r="G144" s="26" t="s">
        <v>43</v>
      </c>
      <c r="H144" s="26" t="s">
        <v>23</v>
      </c>
      <c r="I144" s="26" t="s">
        <v>29</v>
      </c>
      <c r="J144" s="26">
        <v>5.0</v>
      </c>
      <c r="K144" s="27"/>
      <c r="L144" s="28"/>
      <c r="M144" s="34" t="s">
        <v>247</v>
      </c>
      <c r="N144" s="92" t="s">
        <v>514</v>
      </c>
      <c r="O144" s="31"/>
      <c r="P144" s="32">
        <v>391.0</v>
      </c>
      <c r="Q144" s="32"/>
      <c r="R144" s="32"/>
      <c r="S144" s="32"/>
      <c r="T144" s="32"/>
      <c r="U144" s="32"/>
      <c r="V144" s="32"/>
      <c r="W144" s="32"/>
      <c r="X144" s="32"/>
      <c r="Y144" s="32"/>
      <c r="Z144" s="32"/>
    </row>
    <row r="145">
      <c r="A145" s="226" t="s">
        <v>87</v>
      </c>
      <c r="B145" s="213"/>
      <c r="C145" s="214">
        <v>5418866.0</v>
      </c>
      <c r="D145" s="215">
        <v>2025.0</v>
      </c>
      <c r="E145" s="216">
        <v>45713.0</v>
      </c>
      <c r="F145" s="227" t="s">
        <v>88</v>
      </c>
      <c r="G145" s="215" t="s">
        <v>89</v>
      </c>
      <c r="H145" s="215" t="s">
        <v>23</v>
      </c>
      <c r="I145" s="215"/>
      <c r="J145" s="215">
        <v>4.0</v>
      </c>
      <c r="K145" s="218"/>
      <c r="L145" s="219"/>
      <c r="M145" s="220" t="s">
        <v>85</v>
      </c>
      <c r="N145" s="221" t="s">
        <v>90</v>
      </c>
      <c r="O145" s="222"/>
      <c r="P145" s="223">
        <v>508.0</v>
      </c>
      <c r="Q145" s="215"/>
      <c r="R145" s="224"/>
      <c r="S145" s="224"/>
      <c r="T145" s="224"/>
      <c r="U145" s="224"/>
      <c r="V145" s="224"/>
      <c r="W145" s="224"/>
      <c r="X145" s="224"/>
      <c r="Y145" s="224"/>
      <c r="Z145" s="224"/>
    </row>
    <row r="146">
      <c r="A146" s="20" t="s">
        <v>1659</v>
      </c>
      <c r="B146" s="26" t="s">
        <v>1660</v>
      </c>
      <c r="C146" s="22">
        <v>3000000.0</v>
      </c>
      <c r="D146" s="26">
        <v>2011.0</v>
      </c>
      <c r="E146" s="101">
        <v>40634.0</v>
      </c>
      <c r="F146" s="26" t="s">
        <v>1661</v>
      </c>
      <c r="G146" s="26" t="s">
        <v>28</v>
      </c>
      <c r="H146" s="26" t="s">
        <v>23</v>
      </c>
      <c r="I146" s="28"/>
      <c r="J146" s="26">
        <v>1.0</v>
      </c>
      <c r="K146" s="57"/>
      <c r="L146" s="110"/>
      <c r="M146" s="34" t="s">
        <v>507</v>
      </c>
      <c r="N146" s="106" t="s">
        <v>1662</v>
      </c>
      <c r="O146" s="113"/>
      <c r="P146" s="32">
        <v>90.0</v>
      </c>
      <c r="Q146" s="32"/>
      <c r="R146" s="32"/>
      <c r="S146" s="32"/>
      <c r="T146" s="32"/>
      <c r="U146" s="32"/>
      <c r="V146" s="32"/>
      <c r="W146" s="32"/>
      <c r="X146" s="32"/>
      <c r="Y146" s="32"/>
      <c r="Z146" s="32"/>
    </row>
    <row r="147">
      <c r="A147" s="52" t="s">
        <v>1075</v>
      </c>
      <c r="B147" s="53"/>
      <c r="C147" s="22">
        <v>1.43E8</v>
      </c>
      <c r="D147" s="26">
        <v>2017.0</v>
      </c>
      <c r="E147" s="101">
        <v>42979.0</v>
      </c>
      <c r="F147" s="34" t="s">
        <v>1076</v>
      </c>
      <c r="G147" s="26" t="s">
        <v>1077</v>
      </c>
      <c r="H147" s="26" t="s">
        <v>23</v>
      </c>
      <c r="I147" s="115" t="s">
        <v>29</v>
      </c>
      <c r="J147" s="26">
        <v>4.0</v>
      </c>
      <c r="K147" s="27" t="s">
        <v>1078</v>
      </c>
      <c r="L147" s="53"/>
      <c r="M147" s="53" t="s">
        <v>1079</v>
      </c>
      <c r="N147" s="135" t="s">
        <v>1080</v>
      </c>
      <c r="O147" s="136"/>
      <c r="P147" s="32">
        <v>234.0</v>
      </c>
      <c r="Q147" s="32"/>
      <c r="R147" s="32"/>
      <c r="S147" s="32"/>
      <c r="T147" s="32"/>
      <c r="U147" s="32"/>
      <c r="V147" s="32"/>
      <c r="W147" s="32"/>
      <c r="X147" s="32"/>
      <c r="Y147" s="32"/>
      <c r="Z147" s="32"/>
    </row>
    <row r="148">
      <c r="A148" s="20" t="s">
        <v>528</v>
      </c>
      <c r="B148" s="51"/>
      <c r="C148" s="22">
        <v>280000.0</v>
      </c>
      <c r="D148" s="26">
        <v>2021.0</v>
      </c>
      <c r="E148" s="91">
        <v>44378.0</v>
      </c>
      <c r="F148" s="97" t="s">
        <v>529</v>
      </c>
      <c r="G148" s="26" t="s">
        <v>64</v>
      </c>
      <c r="H148" s="26" t="s">
        <v>23</v>
      </c>
      <c r="I148" s="26"/>
      <c r="J148" s="26">
        <v>4.0</v>
      </c>
      <c r="K148" s="27"/>
      <c r="L148" s="28"/>
      <c r="M148" s="34" t="s">
        <v>530</v>
      </c>
      <c r="N148" s="92" t="s">
        <v>531</v>
      </c>
      <c r="O148" s="31"/>
      <c r="P148" s="32">
        <v>387.0</v>
      </c>
      <c r="Q148" s="32"/>
      <c r="R148" s="32"/>
      <c r="S148" s="32"/>
      <c r="T148" s="32"/>
      <c r="U148" s="32"/>
      <c r="V148" s="32"/>
      <c r="W148" s="32"/>
      <c r="X148" s="32"/>
      <c r="Y148" s="32"/>
      <c r="Z148" s="32"/>
    </row>
    <row r="149">
      <c r="A149" s="165" t="s">
        <v>1350</v>
      </c>
      <c r="B149" s="28"/>
      <c r="C149" s="22">
        <v>4000000.0</v>
      </c>
      <c r="D149" s="26">
        <v>2014.0</v>
      </c>
      <c r="E149" s="101">
        <v>41821.0</v>
      </c>
      <c r="F149" s="26" t="s">
        <v>1351</v>
      </c>
      <c r="G149" s="26" t="s">
        <v>58</v>
      </c>
      <c r="H149" s="130" t="s">
        <v>23</v>
      </c>
      <c r="I149" s="28"/>
      <c r="J149" s="130">
        <v>1.0</v>
      </c>
      <c r="K149" s="57"/>
      <c r="L149" s="28"/>
      <c r="M149" s="53" t="s">
        <v>1352</v>
      </c>
      <c r="N149" s="166" t="s">
        <v>1353</v>
      </c>
      <c r="O149" s="113"/>
      <c r="P149" s="32">
        <v>167.0</v>
      </c>
      <c r="Q149" s="32"/>
      <c r="R149" s="32"/>
      <c r="S149" s="32"/>
      <c r="T149" s="32"/>
      <c r="U149" s="32"/>
      <c r="V149" s="32"/>
      <c r="W149" s="32"/>
      <c r="X149" s="32"/>
      <c r="Y149" s="32"/>
      <c r="Z149" s="32"/>
    </row>
    <row r="150">
      <c r="A150" s="41" t="s">
        <v>164</v>
      </c>
      <c r="B150" s="21"/>
      <c r="C150" s="22">
        <v>5600000.0</v>
      </c>
      <c r="D150" s="26">
        <v>2024.0</v>
      </c>
      <c r="E150" s="24">
        <v>45433.0</v>
      </c>
      <c r="F150" s="38" t="s">
        <v>165</v>
      </c>
      <c r="G150" s="26" t="s">
        <v>50</v>
      </c>
      <c r="H150" s="26" t="s">
        <v>23</v>
      </c>
      <c r="I150" s="26"/>
      <c r="J150" s="26">
        <v>1.0</v>
      </c>
      <c r="K150" s="27"/>
      <c r="L150" s="28"/>
      <c r="M150" s="34" t="s">
        <v>85</v>
      </c>
      <c r="N150" s="30" t="s">
        <v>166</v>
      </c>
      <c r="O150" s="31"/>
      <c r="P150" s="32">
        <v>486.0</v>
      </c>
      <c r="Q150" s="26"/>
      <c r="R150" s="21"/>
      <c r="S150" s="21"/>
      <c r="T150" s="21"/>
      <c r="U150" s="21"/>
      <c r="V150" s="21"/>
      <c r="W150" s="21"/>
      <c r="X150" s="21"/>
      <c r="Y150" s="21"/>
      <c r="Z150" s="21"/>
    </row>
    <row r="151">
      <c r="A151" s="165" t="s">
        <v>1475</v>
      </c>
      <c r="B151" s="130" t="s">
        <v>1476</v>
      </c>
      <c r="C151" s="22">
        <v>5.0E7</v>
      </c>
      <c r="D151" s="26">
        <v>2013.0</v>
      </c>
      <c r="E151" s="101">
        <v>41334.0</v>
      </c>
      <c r="F151" s="26" t="s">
        <v>1477</v>
      </c>
      <c r="G151" s="130" t="s">
        <v>28</v>
      </c>
      <c r="H151" s="130" t="s">
        <v>23</v>
      </c>
      <c r="I151" s="28"/>
      <c r="J151" s="130">
        <v>1.0</v>
      </c>
      <c r="K151" s="57"/>
      <c r="L151" s="28"/>
      <c r="M151" s="105" t="s">
        <v>1478</v>
      </c>
      <c r="N151" s="106" t="s">
        <v>1479</v>
      </c>
      <c r="O151" s="166" t="s">
        <v>1480</v>
      </c>
      <c r="P151" s="32">
        <v>134.0</v>
      </c>
      <c r="Q151" s="32"/>
      <c r="R151" s="32"/>
      <c r="S151" s="32"/>
      <c r="T151" s="32"/>
      <c r="U151" s="32"/>
      <c r="V151" s="32"/>
      <c r="W151" s="32"/>
      <c r="X151" s="32"/>
      <c r="Y151" s="32"/>
      <c r="Z151" s="32"/>
    </row>
    <row r="152">
      <c r="A152" s="52" t="s">
        <v>1296</v>
      </c>
      <c r="B152" s="115"/>
      <c r="C152" s="22">
        <v>1.5E7</v>
      </c>
      <c r="D152" s="26">
        <v>2015.0</v>
      </c>
      <c r="E152" s="101">
        <v>42278.0</v>
      </c>
      <c r="F152" s="34" t="s">
        <v>1297</v>
      </c>
      <c r="G152" s="34" t="s">
        <v>129</v>
      </c>
      <c r="H152" s="115" t="s">
        <v>23</v>
      </c>
      <c r="I152" s="53"/>
      <c r="J152" s="26">
        <v>3.0</v>
      </c>
      <c r="K152" s="57"/>
      <c r="L152" s="53"/>
      <c r="M152" s="53" t="s">
        <v>286</v>
      </c>
      <c r="N152" s="146" t="s">
        <v>1298</v>
      </c>
      <c r="O152" s="19"/>
      <c r="P152" s="32">
        <v>181.0</v>
      </c>
      <c r="Q152" s="32"/>
      <c r="R152" s="32"/>
      <c r="S152" s="32"/>
      <c r="T152" s="32"/>
      <c r="U152" s="32"/>
      <c r="V152" s="32"/>
      <c r="W152" s="32"/>
      <c r="X152" s="32"/>
      <c r="Y152" s="32"/>
      <c r="Z152" s="32"/>
    </row>
    <row r="153">
      <c r="A153" s="20" t="s">
        <v>577</v>
      </c>
      <c r="B153" s="51"/>
      <c r="C153" s="22">
        <v>2.2E8</v>
      </c>
      <c r="D153" s="26">
        <v>2021.0</v>
      </c>
      <c r="E153" s="91">
        <v>44228.0</v>
      </c>
      <c r="F153" s="26" t="s">
        <v>578</v>
      </c>
      <c r="G153" s="26" t="s">
        <v>58</v>
      </c>
      <c r="H153" s="26" t="s">
        <v>23</v>
      </c>
      <c r="I153" s="26"/>
      <c r="J153" s="26">
        <v>2.0</v>
      </c>
      <c r="K153" s="27" t="s">
        <v>579</v>
      </c>
      <c r="L153" s="28"/>
      <c r="M153" s="34" t="s">
        <v>571</v>
      </c>
      <c r="N153" s="100" t="s">
        <v>580</v>
      </c>
      <c r="O153" s="31"/>
      <c r="P153" s="32">
        <v>374.0</v>
      </c>
      <c r="Q153" s="32"/>
      <c r="R153" s="32"/>
      <c r="S153" s="32"/>
      <c r="T153" s="32"/>
      <c r="U153" s="32"/>
      <c r="V153" s="32"/>
      <c r="W153" s="32"/>
      <c r="X153" s="32"/>
      <c r="Y153" s="32"/>
      <c r="Z153" s="32"/>
    </row>
    <row r="154">
      <c r="A154" s="62" t="s">
        <v>477</v>
      </c>
      <c r="B154" s="37" t="s">
        <v>478</v>
      </c>
      <c r="C154" s="64">
        <v>2.4E7</v>
      </c>
      <c r="D154" s="68">
        <v>2020.0</v>
      </c>
      <c r="E154" s="86">
        <v>44013.0</v>
      </c>
      <c r="F154" s="68" t="s">
        <v>479</v>
      </c>
      <c r="G154" s="68" t="s">
        <v>28</v>
      </c>
      <c r="H154" s="68" t="s">
        <v>142</v>
      </c>
      <c r="I154" s="68"/>
      <c r="J154" s="68">
        <v>3.0</v>
      </c>
      <c r="K154" s="69"/>
      <c r="L154" s="70"/>
      <c r="M154" s="71" t="s">
        <v>480</v>
      </c>
      <c r="N154" s="87" t="s">
        <v>481</v>
      </c>
      <c r="O154" s="73"/>
      <c r="P154" s="74">
        <v>402.0</v>
      </c>
      <c r="Q154" s="74"/>
      <c r="R154" s="74"/>
      <c r="S154" s="74"/>
      <c r="T154" s="74"/>
      <c r="U154" s="74"/>
      <c r="V154" s="74"/>
      <c r="W154" s="74"/>
      <c r="X154" s="74"/>
      <c r="Y154" s="74"/>
      <c r="Z154" s="74"/>
    </row>
    <row r="155">
      <c r="A155" s="103" t="s">
        <v>751</v>
      </c>
      <c r="B155" s="104"/>
      <c r="C155" s="22">
        <v>2.2E7</v>
      </c>
      <c r="D155" s="26">
        <v>2019.0</v>
      </c>
      <c r="E155" s="101">
        <v>43497.0</v>
      </c>
      <c r="F155" s="26" t="s">
        <v>745</v>
      </c>
      <c r="G155" s="26" t="s">
        <v>28</v>
      </c>
      <c r="H155" s="26" t="s">
        <v>23</v>
      </c>
      <c r="I155" s="28"/>
      <c r="J155" s="26">
        <v>1.0</v>
      </c>
      <c r="K155" s="27" t="str">
        <f>IF(C155&gt;100000000,C155,"")</f>
        <v/>
      </c>
      <c r="L155" s="28"/>
      <c r="M155" s="105" t="s">
        <v>227</v>
      </c>
      <c r="N155" s="106" t="s">
        <v>747</v>
      </c>
      <c r="O155" s="109"/>
      <c r="P155" s="32">
        <v>328.0</v>
      </c>
      <c r="Q155" s="32"/>
      <c r="R155" s="32"/>
      <c r="S155" s="32"/>
      <c r="T155" s="32"/>
      <c r="U155" s="32"/>
      <c r="V155" s="32"/>
      <c r="W155" s="32"/>
      <c r="X155" s="32"/>
      <c r="Y155" s="32"/>
      <c r="Z155" s="32"/>
    </row>
    <row r="156">
      <c r="A156" s="20" t="s">
        <v>588</v>
      </c>
      <c r="B156" s="51"/>
      <c r="C156" s="22">
        <v>5.33E8</v>
      </c>
      <c r="D156" s="26">
        <v>2021.0</v>
      </c>
      <c r="E156" s="101">
        <v>44256.0</v>
      </c>
      <c r="F156" s="26" t="s">
        <v>589</v>
      </c>
      <c r="G156" s="26" t="s">
        <v>50</v>
      </c>
      <c r="H156" s="26" t="s">
        <v>23</v>
      </c>
      <c r="I156" s="26" t="s">
        <v>29</v>
      </c>
      <c r="J156" s="26">
        <v>1.0</v>
      </c>
      <c r="K156" s="27" t="s">
        <v>590</v>
      </c>
      <c r="L156" s="28"/>
      <c r="M156" s="34" t="s">
        <v>591</v>
      </c>
      <c r="N156" s="100" t="s">
        <v>592</v>
      </c>
      <c r="O156" s="31"/>
      <c r="P156" s="32">
        <v>371.0</v>
      </c>
      <c r="Q156" s="32"/>
      <c r="R156" s="32"/>
      <c r="S156" s="32"/>
      <c r="T156" s="32"/>
      <c r="U156" s="32"/>
      <c r="V156" s="32"/>
      <c r="W156" s="32"/>
      <c r="X156" s="32"/>
      <c r="Y156" s="32"/>
      <c r="Z156" s="32"/>
    </row>
    <row r="157">
      <c r="A157" s="20" t="s">
        <v>588</v>
      </c>
      <c r="B157" s="111"/>
      <c r="C157" s="22">
        <v>4.19E8</v>
      </c>
      <c r="D157" s="26">
        <v>2019.0</v>
      </c>
      <c r="E157" s="101">
        <v>43709.0</v>
      </c>
      <c r="F157" s="26" t="s">
        <v>796</v>
      </c>
      <c r="G157" s="26" t="s">
        <v>28</v>
      </c>
      <c r="H157" s="26" t="s">
        <v>51</v>
      </c>
      <c r="I157" s="28"/>
      <c r="J157" s="26">
        <v>2.0</v>
      </c>
      <c r="K157" s="27" t="s">
        <v>797</v>
      </c>
      <c r="L157" s="28"/>
      <c r="M157" s="34" t="s">
        <v>798</v>
      </c>
      <c r="N157" s="35" t="s">
        <v>799</v>
      </c>
      <c r="O157" s="31"/>
      <c r="P157" s="32">
        <v>304.0</v>
      </c>
      <c r="Q157" s="32"/>
      <c r="R157" s="32"/>
      <c r="S157" s="32"/>
      <c r="T157" s="32"/>
      <c r="U157" s="32"/>
      <c r="V157" s="32"/>
      <c r="W157" s="32"/>
      <c r="X157" s="32"/>
      <c r="Y157" s="32"/>
      <c r="Z157" s="32"/>
    </row>
    <row r="158">
      <c r="A158" s="20" t="s">
        <v>588</v>
      </c>
      <c r="B158" s="26"/>
      <c r="C158" s="22">
        <v>5.0E7</v>
      </c>
      <c r="D158" s="26">
        <v>2018.0</v>
      </c>
      <c r="E158" s="101">
        <v>43160.0</v>
      </c>
      <c r="F158" s="26" t="s">
        <v>854</v>
      </c>
      <c r="G158" s="26" t="s">
        <v>28</v>
      </c>
      <c r="H158" s="26" t="s">
        <v>23</v>
      </c>
      <c r="I158" s="26" t="s">
        <v>29</v>
      </c>
      <c r="J158" s="26">
        <v>1.0</v>
      </c>
      <c r="K158" s="27" t="s">
        <v>855</v>
      </c>
      <c r="L158" s="110"/>
      <c r="M158" s="26" t="s">
        <v>507</v>
      </c>
      <c r="N158" s="106" t="s">
        <v>856</v>
      </c>
      <c r="O158" s="113"/>
      <c r="P158" s="32">
        <v>290.0</v>
      </c>
      <c r="Q158" s="32"/>
      <c r="R158" s="32"/>
      <c r="S158" s="32"/>
      <c r="T158" s="32"/>
      <c r="U158" s="32"/>
      <c r="V158" s="32"/>
      <c r="W158" s="32"/>
      <c r="X158" s="32"/>
      <c r="Y158" s="32"/>
      <c r="Z158" s="32"/>
    </row>
    <row r="159">
      <c r="A159" s="20" t="s">
        <v>588</v>
      </c>
      <c r="B159" s="26"/>
      <c r="C159" s="22">
        <v>2.9E7</v>
      </c>
      <c r="D159" s="26">
        <v>2018.0</v>
      </c>
      <c r="E159" s="101">
        <v>43374.0</v>
      </c>
      <c r="F159" s="26" t="s">
        <v>972</v>
      </c>
      <c r="G159" s="26" t="s">
        <v>28</v>
      </c>
      <c r="H159" s="26" t="s">
        <v>23</v>
      </c>
      <c r="I159" s="28"/>
      <c r="J159" s="26">
        <v>2.0</v>
      </c>
      <c r="K159" s="57"/>
      <c r="L159" s="110"/>
      <c r="M159" s="26" t="s">
        <v>973</v>
      </c>
      <c r="N159" s="106" t="s">
        <v>974</v>
      </c>
      <c r="O159" s="106" t="s">
        <v>975</v>
      </c>
      <c r="P159" s="32">
        <v>261.0</v>
      </c>
      <c r="Q159" s="32"/>
      <c r="R159" s="32"/>
      <c r="S159" s="32"/>
      <c r="T159" s="32"/>
      <c r="U159" s="32"/>
      <c r="V159" s="32"/>
      <c r="W159" s="32"/>
      <c r="X159" s="32"/>
      <c r="Y159" s="32"/>
      <c r="Z159" s="32"/>
    </row>
    <row r="160">
      <c r="A160" s="114" t="s">
        <v>588</v>
      </c>
      <c r="B160" s="53"/>
      <c r="C160" s="22">
        <v>6000000.0</v>
      </c>
      <c r="D160" s="26">
        <v>2013.0</v>
      </c>
      <c r="E160" s="101">
        <v>41426.0</v>
      </c>
      <c r="F160" s="34" t="s">
        <v>1473</v>
      </c>
      <c r="G160" s="130" t="s">
        <v>28</v>
      </c>
      <c r="H160" s="105" t="s">
        <v>142</v>
      </c>
      <c r="I160" s="53"/>
      <c r="J160" s="130">
        <v>1.0</v>
      </c>
      <c r="K160" s="57"/>
      <c r="L160" s="53"/>
      <c r="M160" s="53" t="s">
        <v>588</v>
      </c>
      <c r="N160" s="135" t="s">
        <v>1474</v>
      </c>
      <c r="O160" s="19"/>
      <c r="P160" s="32">
        <v>135.0</v>
      </c>
      <c r="Q160" s="32"/>
      <c r="R160" s="32"/>
      <c r="S160" s="32"/>
      <c r="T160" s="32"/>
      <c r="U160" s="32"/>
      <c r="V160" s="32"/>
      <c r="W160" s="32"/>
      <c r="X160" s="32"/>
      <c r="Y160" s="32"/>
      <c r="Z160" s="32"/>
    </row>
    <row r="161">
      <c r="A161" s="226" t="s">
        <v>77</v>
      </c>
      <c r="B161" s="224"/>
      <c r="C161" s="214">
        <v>282000.0</v>
      </c>
      <c r="D161" s="215">
        <v>2023.0</v>
      </c>
      <c r="E161" s="232">
        <v>45861.0</v>
      </c>
      <c r="F161" s="227" t="s">
        <v>78</v>
      </c>
      <c r="G161" s="215" t="s">
        <v>64</v>
      </c>
      <c r="H161" s="215" t="s">
        <v>23</v>
      </c>
      <c r="I161" s="215"/>
      <c r="J161" s="215">
        <v>1.0</v>
      </c>
      <c r="K161" s="218"/>
      <c r="L161" s="219"/>
      <c r="M161" s="220" t="s">
        <v>72</v>
      </c>
      <c r="N161" s="229" t="s">
        <v>79</v>
      </c>
      <c r="O161" s="222"/>
      <c r="P161" s="223">
        <v>511.0</v>
      </c>
      <c r="Q161" s="215"/>
      <c r="R161" s="224"/>
      <c r="S161" s="224"/>
      <c r="T161" s="224"/>
      <c r="U161" s="224"/>
      <c r="V161" s="224"/>
      <c r="W161" s="224"/>
      <c r="X161" s="224"/>
      <c r="Y161" s="224"/>
      <c r="Z161" s="224"/>
    </row>
    <row r="162">
      <c r="A162" s="165" t="s">
        <v>1938</v>
      </c>
      <c r="B162" s="120"/>
      <c r="C162" s="22">
        <v>8500000.0</v>
      </c>
      <c r="D162" s="26">
        <v>2007.0</v>
      </c>
      <c r="E162" s="101">
        <v>39264.0</v>
      </c>
      <c r="F162" s="26" t="s">
        <v>1939</v>
      </c>
      <c r="G162" s="26" t="s">
        <v>58</v>
      </c>
      <c r="H162" s="130" t="s">
        <v>59</v>
      </c>
      <c r="I162" s="28"/>
      <c r="J162" s="26">
        <v>3.0</v>
      </c>
      <c r="K162" s="57"/>
      <c r="L162" s="28"/>
      <c r="M162" s="53" t="s">
        <v>1940</v>
      </c>
      <c r="N162" s="106" t="s">
        <v>1941</v>
      </c>
      <c r="O162" s="113"/>
      <c r="P162" s="32">
        <v>18.0</v>
      </c>
      <c r="Q162" s="32"/>
      <c r="R162" s="32"/>
      <c r="S162" s="32"/>
      <c r="T162" s="32"/>
      <c r="U162" s="32"/>
      <c r="V162" s="32"/>
      <c r="W162" s="32"/>
      <c r="X162" s="32"/>
      <c r="Y162" s="32"/>
      <c r="Z162" s="32"/>
    </row>
    <row r="163">
      <c r="A163" s="39" t="s">
        <v>157</v>
      </c>
      <c r="B163" s="40" t="s">
        <v>158</v>
      </c>
      <c r="C163" s="22">
        <v>3200000.0</v>
      </c>
      <c r="D163" s="26">
        <v>2024.0</v>
      </c>
      <c r="E163" s="24">
        <v>45336.0</v>
      </c>
      <c r="F163" s="25" t="s">
        <v>159</v>
      </c>
      <c r="G163" s="26" t="s">
        <v>50</v>
      </c>
      <c r="H163" s="26" t="s">
        <v>23</v>
      </c>
      <c r="I163" s="26"/>
      <c r="J163" s="26">
        <v>2.0</v>
      </c>
      <c r="K163" s="27"/>
      <c r="L163" s="28"/>
      <c r="M163" s="34" t="s">
        <v>85</v>
      </c>
      <c r="N163" s="35" t="s">
        <v>160</v>
      </c>
      <c r="O163" s="31"/>
      <c r="P163" s="32">
        <v>488.0</v>
      </c>
      <c r="Q163" s="26"/>
      <c r="R163" s="21"/>
      <c r="S163" s="21"/>
      <c r="T163" s="21"/>
      <c r="U163" s="21"/>
      <c r="V163" s="21"/>
      <c r="W163" s="21"/>
      <c r="X163" s="21"/>
      <c r="Y163" s="21"/>
      <c r="Z163" s="21"/>
    </row>
    <row r="164">
      <c r="A164" s="20" t="s">
        <v>907</v>
      </c>
      <c r="B164" s="126" t="s">
        <v>908</v>
      </c>
      <c r="C164" s="22">
        <v>1.0E8</v>
      </c>
      <c r="D164" s="26">
        <v>2018.0</v>
      </c>
      <c r="E164" s="101">
        <v>43252.0</v>
      </c>
      <c r="F164" s="26" t="s">
        <v>909</v>
      </c>
      <c r="G164" s="26" t="s">
        <v>28</v>
      </c>
      <c r="H164" s="26" t="s">
        <v>51</v>
      </c>
      <c r="I164" s="28"/>
      <c r="J164" s="26">
        <v>5.0</v>
      </c>
      <c r="K164" s="27" t="s">
        <v>517</v>
      </c>
      <c r="L164" s="110"/>
      <c r="M164" s="26" t="s">
        <v>85</v>
      </c>
      <c r="N164" s="106" t="s">
        <v>910</v>
      </c>
      <c r="O164" s="113"/>
      <c r="P164" s="32">
        <v>277.0</v>
      </c>
      <c r="Q164" s="32"/>
      <c r="R164" s="32"/>
      <c r="S164" s="32"/>
      <c r="T164" s="32"/>
      <c r="U164" s="32"/>
      <c r="V164" s="32"/>
      <c r="W164" s="32"/>
      <c r="X164" s="32"/>
      <c r="Y164" s="32"/>
      <c r="Z164" s="32"/>
    </row>
    <row r="165">
      <c r="A165" s="20" t="s">
        <v>169</v>
      </c>
      <c r="B165" s="21"/>
      <c r="C165" s="22">
        <v>44000.0</v>
      </c>
      <c r="D165" s="26">
        <v>2023.0</v>
      </c>
      <c r="E165" s="24">
        <v>45281.0</v>
      </c>
      <c r="F165" s="38" t="s">
        <v>170</v>
      </c>
      <c r="G165" s="26" t="s">
        <v>58</v>
      </c>
      <c r="H165" s="26" t="s">
        <v>23</v>
      </c>
      <c r="I165" s="26"/>
      <c r="J165" s="26">
        <v>2.0</v>
      </c>
      <c r="K165" s="27"/>
      <c r="L165" s="28"/>
      <c r="M165" s="34" t="s">
        <v>85</v>
      </c>
      <c r="N165" s="35" t="s">
        <v>171</v>
      </c>
      <c r="O165" s="31"/>
      <c r="P165" s="32">
        <v>484.0</v>
      </c>
      <c r="Q165" s="26"/>
      <c r="R165" s="21"/>
      <c r="S165" s="21"/>
      <c r="T165" s="21"/>
      <c r="U165" s="21"/>
      <c r="V165" s="21"/>
      <c r="W165" s="21"/>
      <c r="X165" s="21"/>
      <c r="Y165" s="21"/>
      <c r="Z165" s="21"/>
    </row>
    <row r="166">
      <c r="A166" s="20" t="s">
        <v>199</v>
      </c>
      <c r="B166" s="21"/>
      <c r="C166" s="22">
        <v>100000.0</v>
      </c>
      <c r="D166" s="26">
        <v>2024.0</v>
      </c>
      <c r="E166" s="24">
        <v>45412.0</v>
      </c>
      <c r="F166" s="38" t="s">
        <v>200</v>
      </c>
      <c r="G166" s="26" t="s">
        <v>58</v>
      </c>
      <c r="H166" s="26" t="s">
        <v>23</v>
      </c>
      <c r="I166" s="26"/>
      <c r="J166" s="26">
        <v>3.0</v>
      </c>
      <c r="K166" s="27"/>
      <c r="L166" s="28"/>
      <c r="M166" s="34" t="s">
        <v>85</v>
      </c>
      <c r="N166" s="35" t="s">
        <v>201</v>
      </c>
      <c r="O166" s="30" t="s">
        <v>202</v>
      </c>
      <c r="P166" s="32">
        <v>476.0</v>
      </c>
      <c r="Q166" s="26"/>
      <c r="R166" s="21"/>
      <c r="S166" s="21"/>
      <c r="T166" s="21"/>
      <c r="U166" s="21"/>
      <c r="V166" s="21"/>
      <c r="W166" s="21"/>
      <c r="X166" s="21"/>
      <c r="Y166" s="21"/>
      <c r="Z166" s="21"/>
    </row>
    <row r="167">
      <c r="A167" s="62" t="s">
        <v>453</v>
      </c>
      <c r="B167" s="78"/>
      <c r="C167" s="64">
        <v>3700000.0</v>
      </c>
      <c r="D167" s="68">
        <v>2022.0</v>
      </c>
      <c r="E167" s="66">
        <v>44562.0</v>
      </c>
      <c r="F167" s="84" t="s">
        <v>454</v>
      </c>
      <c r="G167" s="68" t="s">
        <v>28</v>
      </c>
      <c r="H167" s="68" t="s">
        <v>23</v>
      </c>
      <c r="I167" s="68"/>
      <c r="J167" s="68">
        <v>3.0</v>
      </c>
      <c r="K167" s="69" t="s">
        <v>455</v>
      </c>
      <c r="L167" s="70"/>
      <c r="M167" s="71" t="s">
        <v>85</v>
      </c>
      <c r="N167" s="72" t="s">
        <v>456</v>
      </c>
      <c r="O167" s="73"/>
      <c r="P167" s="74">
        <v>409.0</v>
      </c>
      <c r="Q167" s="74"/>
      <c r="R167" s="74"/>
      <c r="S167" s="74"/>
      <c r="T167" s="74"/>
      <c r="U167" s="74"/>
      <c r="V167" s="74"/>
      <c r="W167" s="74"/>
      <c r="X167" s="74"/>
      <c r="Y167" s="74"/>
      <c r="Z167" s="74"/>
    </row>
    <row r="168">
      <c r="A168" s="20" t="s">
        <v>1166</v>
      </c>
      <c r="B168" s="26" t="s">
        <v>1167</v>
      </c>
      <c r="C168" s="22">
        <v>4.0E7</v>
      </c>
      <c r="D168" s="26">
        <v>2016.0</v>
      </c>
      <c r="E168" s="101">
        <v>42491.0</v>
      </c>
      <c r="F168" s="26" t="s">
        <v>1168</v>
      </c>
      <c r="G168" s="26" t="s">
        <v>28</v>
      </c>
      <c r="H168" s="26" t="s">
        <v>23</v>
      </c>
      <c r="I168" s="28"/>
      <c r="J168" s="26">
        <v>4.0</v>
      </c>
      <c r="K168" s="57"/>
      <c r="L168" s="28"/>
      <c r="M168" s="34" t="s">
        <v>1169</v>
      </c>
      <c r="N168" s="146" t="s">
        <v>1170</v>
      </c>
      <c r="O168" s="113"/>
      <c r="P168" s="32">
        <v>212.0</v>
      </c>
      <c r="Q168" s="32"/>
      <c r="R168" s="32"/>
      <c r="S168" s="32"/>
      <c r="T168" s="32"/>
      <c r="U168" s="32"/>
      <c r="V168" s="32"/>
      <c r="W168" s="32"/>
      <c r="X168" s="32"/>
      <c r="Y168" s="32"/>
      <c r="Z168" s="32"/>
    </row>
    <row r="169">
      <c r="A169" s="165" t="s">
        <v>1442</v>
      </c>
      <c r="B169" s="130"/>
      <c r="C169" s="22">
        <v>100000.0</v>
      </c>
      <c r="D169" s="26">
        <v>2013.0</v>
      </c>
      <c r="E169" s="101">
        <v>41275.0</v>
      </c>
      <c r="F169" s="26" t="s">
        <v>1443</v>
      </c>
      <c r="G169" s="130" t="s">
        <v>64</v>
      </c>
      <c r="H169" s="26" t="s">
        <v>1034</v>
      </c>
      <c r="I169" s="28"/>
      <c r="J169" s="26">
        <v>2.0</v>
      </c>
      <c r="K169" s="57"/>
      <c r="L169" s="28"/>
      <c r="M169" s="34" t="s">
        <v>1026</v>
      </c>
      <c r="N169" s="106" t="s">
        <v>1444</v>
      </c>
      <c r="O169" s="113"/>
      <c r="P169" s="32">
        <v>144.0</v>
      </c>
      <c r="Q169" s="32"/>
      <c r="R169" s="32"/>
      <c r="S169" s="32"/>
      <c r="T169" s="32"/>
      <c r="U169" s="32"/>
      <c r="V169" s="32"/>
      <c r="W169" s="32"/>
      <c r="X169" s="32"/>
      <c r="Y169" s="32"/>
      <c r="Z169" s="32"/>
    </row>
    <row r="170">
      <c r="A170" s="114" t="s">
        <v>1579</v>
      </c>
      <c r="B170" s="115" t="s">
        <v>1580</v>
      </c>
      <c r="C170" s="22">
        <v>420000.0</v>
      </c>
      <c r="D170" s="26">
        <v>2012.0</v>
      </c>
      <c r="E170" s="101">
        <v>41091.0</v>
      </c>
      <c r="F170" s="34" t="s">
        <v>1581</v>
      </c>
      <c r="G170" s="115" t="s">
        <v>28</v>
      </c>
      <c r="H170" s="26" t="s">
        <v>23</v>
      </c>
      <c r="I170" s="154" t="s">
        <v>29</v>
      </c>
      <c r="J170" s="26">
        <v>1.0</v>
      </c>
      <c r="K170" s="57"/>
      <c r="L170" s="53"/>
      <c r="M170" s="53" t="s">
        <v>998</v>
      </c>
      <c r="N170" s="135" t="s">
        <v>1582</v>
      </c>
      <c r="O170" s="19"/>
      <c r="P170" s="32">
        <v>109.0</v>
      </c>
      <c r="Q170" s="32"/>
      <c r="R170" s="32"/>
      <c r="S170" s="32"/>
      <c r="T170" s="32"/>
      <c r="U170" s="32"/>
      <c r="V170" s="32"/>
      <c r="W170" s="32"/>
      <c r="X170" s="32"/>
      <c r="Y170" s="32"/>
      <c r="Z170" s="32"/>
    </row>
    <row r="171">
      <c r="A171" s="103" t="s">
        <v>754</v>
      </c>
      <c r="B171" s="104"/>
      <c r="C171" s="22">
        <v>1.6E7</v>
      </c>
      <c r="D171" s="26">
        <v>2019.0</v>
      </c>
      <c r="E171" s="101">
        <v>43497.0</v>
      </c>
      <c r="F171" s="26" t="s">
        <v>745</v>
      </c>
      <c r="G171" s="26" t="s">
        <v>28</v>
      </c>
      <c r="H171" s="26" t="s">
        <v>23</v>
      </c>
      <c r="I171" s="28"/>
      <c r="J171" s="26">
        <v>1.0</v>
      </c>
      <c r="K171" s="27" t="str">
        <f>IF(C171&gt;100000000,C171,"")</f>
        <v/>
      </c>
      <c r="L171" s="28"/>
      <c r="M171" s="105" t="s">
        <v>227</v>
      </c>
      <c r="N171" s="106" t="s">
        <v>747</v>
      </c>
      <c r="O171" s="109"/>
      <c r="P171" s="32">
        <v>325.0</v>
      </c>
      <c r="Q171" s="32"/>
      <c r="R171" s="32"/>
      <c r="S171" s="32"/>
      <c r="T171" s="32"/>
      <c r="U171" s="32"/>
      <c r="V171" s="32"/>
      <c r="W171" s="32"/>
      <c r="X171" s="32"/>
      <c r="Y171" s="32"/>
      <c r="Z171" s="32"/>
    </row>
    <row r="172">
      <c r="A172" s="226" t="s">
        <v>74</v>
      </c>
      <c r="B172" s="224"/>
      <c r="C172" s="214">
        <v>1.39E7</v>
      </c>
      <c r="D172" s="215">
        <v>2024.0</v>
      </c>
      <c r="E172" s="232">
        <v>45954.0</v>
      </c>
      <c r="F172" s="227" t="s">
        <v>75</v>
      </c>
      <c r="G172" s="215" t="s">
        <v>28</v>
      </c>
      <c r="H172" s="215" t="s">
        <v>23</v>
      </c>
      <c r="I172" s="215"/>
      <c r="J172" s="215">
        <v>3.0</v>
      </c>
      <c r="K172" s="218"/>
      <c r="L172" s="219"/>
      <c r="M172" s="220" t="s">
        <v>72</v>
      </c>
      <c r="N172" s="221" t="s">
        <v>76</v>
      </c>
      <c r="O172" s="222"/>
      <c r="P172" s="223">
        <v>512.0</v>
      </c>
      <c r="Q172" s="215"/>
      <c r="R172" s="224"/>
      <c r="S172" s="224"/>
      <c r="T172" s="224"/>
      <c r="U172" s="224"/>
      <c r="V172" s="224"/>
      <c r="W172" s="224"/>
      <c r="X172" s="224"/>
      <c r="Y172" s="224"/>
      <c r="Z172" s="224"/>
    </row>
    <row r="173">
      <c r="A173" s="20" t="s">
        <v>224</v>
      </c>
      <c r="B173" s="21"/>
      <c r="C173" s="22">
        <v>4.3E7</v>
      </c>
      <c r="D173" s="26">
        <v>2024.0</v>
      </c>
      <c r="E173" s="24">
        <v>45328.0</v>
      </c>
      <c r="F173" s="38" t="s">
        <v>225</v>
      </c>
      <c r="G173" s="26" t="s">
        <v>64</v>
      </c>
      <c r="H173" s="26" t="s">
        <v>23</v>
      </c>
      <c r="I173" s="26"/>
      <c r="J173" s="26">
        <v>2.0</v>
      </c>
      <c r="K173" s="27" t="s">
        <v>226</v>
      </c>
      <c r="L173" s="28"/>
      <c r="M173" s="34" t="s">
        <v>227</v>
      </c>
      <c r="N173" s="30" t="s">
        <v>228</v>
      </c>
      <c r="O173" s="31"/>
      <c r="P173" s="32">
        <v>469.0</v>
      </c>
      <c r="Q173" s="26"/>
      <c r="R173" s="21"/>
      <c r="S173" s="21"/>
      <c r="T173" s="21"/>
      <c r="U173" s="21"/>
      <c r="V173" s="21"/>
      <c r="W173" s="21"/>
      <c r="X173" s="21"/>
      <c r="Y173" s="21"/>
      <c r="Z173" s="21"/>
    </row>
    <row r="174">
      <c r="A174" s="52" t="s">
        <v>1201</v>
      </c>
      <c r="B174" s="34" t="s">
        <v>1202</v>
      </c>
      <c r="C174" s="22">
        <v>4.12E8</v>
      </c>
      <c r="D174" s="26">
        <v>2016.0</v>
      </c>
      <c r="E174" s="101">
        <v>42675.0</v>
      </c>
      <c r="F174" s="34" t="s">
        <v>1203</v>
      </c>
      <c r="G174" s="115" t="s">
        <v>28</v>
      </c>
      <c r="H174" s="115" t="s">
        <v>23</v>
      </c>
      <c r="I174" s="53"/>
      <c r="J174" s="130">
        <v>1.0</v>
      </c>
      <c r="K174" s="27" t="s">
        <v>1204</v>
      </c>
      <c r="L174" s="28"/>
      <c r="M174" s="34" t="s">
        <v>571</v>
      </c>
      <c r="N174" s="146" t="s">
        <v>1205</v>
      </c>
      <c r="O174" s="155"/>
      <c r="P174" s="32">
        <v>203.0</v>
      </c>
      <c r="Q174" s="32"/>
      <c r="R174" s="32"/>
      <c r="S174" s="32"/>
      <c r="T174" s="32"/>
      <c r="U174" s="32"/>
      <c r="V174" s="32"/>
      <c r="W174" s="32"/>
      <c r="X174" s="32"/>
      <c r="Y174" s="32"/>
      <c r="Z174" s="32"/>
    </row>
    <row r="175">
      <c r="A175" s="20" t="s">
        <v>581</v>
      </c>
      <c r="B175" s="51"/>
      <c r="C175" s="22">
        <v>4000000.0</v>
      </c>
      <c r="D175" s="26">
        <v>2021.0</v>
      </c>
      <c r="E175" s="101">
        <v>44256.0</v>
      </c>
      <c r="F175" s="26" t="s">
        <v>582</v>
      </c>
      <c r="G175" s="26" t="s">
        <v>50</v>
      </c>
      <c r="H175" s="26" t="s">
        <v>23</v>
      </c>
      <c r="I175" s="26" t="s">
        <v>29</v>
      </c>
      <c r="J175" s="26">
        <v>3.0</v>
      </c>
      <c r="K175" s="27" t="s">
        <v>583</v>
      </c>
      <c r="L175" s="28"/>
      <c r="M175" s="34" t="s">
        <v>410</v>
      </c>
      <c r="N175" s="100" t="s">
        <v>584</v>
      </c>
      <c r="O175" s="31"/>
      <c r="P175" s="32">
        <v>373.0</v>
      </c>
      <c r="Q175" s="32"/>
      <c r="R175" s="32"/>
      <c r="S175" s="32"/>
      <c r="T175" s="32"/>
      <c r="U175" s="32"/>
      <c r="V175" s="32"/>
      <c r="W175" s="32"/>
      <c r="X175" s="32"/>
      <c r="Y175" s="32"/>
      <c r="Z175" s="32"/>
    </row>
    <row r="176">
      <c r="A176" s="165" t="s">
        <v>1601</v>
      </c>
      <c r="B176" s="28"/>
      <c r="C176" s="22">
        <v>8000000.0</v>
      </c>
      <c r="D176" s="26">
        <v>2012.0</v>
      </c>
      <c r="E176" s="101">
        <v>41091.0</v>
      </c>
      <c r="F176" s="26" t="s">
        <v>1602</v>
      </c>
      <c r="G176" s="130" t="s">
        <v>28</v>
      </c>
      <c r="H176" s="130" t="s">
        <v>23</v>
      </c>
      <c r="I176" s="28"/>
      <c r="J176" s="130">
        <v>1.0</v>
      </c>
      <c r="K176" s="57"/>
      <c r="L176" s="28"/>
      <c r="M176" s="53" t="s">
        <v>278</v>
      </c>
      <c r="N176" s="106" t="s">
        <v>1603</v>
      </c>
      <c r="O176" s="113"/>
      <c r="P176" s="32">
        <v>104.0</v>
      </c>
      <c r="Q176" s="32"/>
      <c r="R176" s="32"/>
      <c r="S176" s="32"/>
      <c r="T176" s="32"/>
      <c r="U176" s="32"/>
      <c r="V176" s="32"/>
      <c r="W176" s="32"/>
      <c r="X176" s="32"/>
      <c r="Y176" s="32"/>
      <c r="Z176" s="32"/>
    </row>
    <row r="177">
      <c r="A177" s="165" t="s">
        <v>1945</v>
      </c>
      <c r="B177" s="28"/>
      <c r="C177" s="22">
        <v>800000.0</v>
      </c>
      <c r="D177" s="26">
        <v>2007.0</v>
      </c>
      <c r="E177" s="101">
        <v>39326.0</v>
      </c>
      <c r="F177" s="26" t="s">
        <v>1946</v>
      </c>
      <c r="G177" s="130" t="s">
        <v>43</v>
      </c>
      <c r="H177" s="26" t="s">
        <v>1034</v>
      </c>
      <c r="I177" s="28"/>
      <c r="J177" s="26">
        <v>2.0</v>
      </c>
      <c r="K177" s="57"/>
      <c r="L177" s="28"/>
      <c r="M177" s="53" t="s">
        <v>1608</v>
      </c>
      <c r="N177" s="106" t="s">
        <v>1947</v>
      </c>
      <c r="O177" s="113"/>
      <c r="P177" s="32">
        <v>16.0</v>
      </c>
      <c r="Q177" s="32"/>
      <c r="R177" s="32"/>
      <c r="S177" s="32"/>
      <c r="T177" s="32"/>
      <c r="U177" s="32"/>
      <c r="V177" s="32"/>
      <c r="W177" s="32"/>
      <c r="X177" s="32"/>
      <c r="Y177" s="32"/>
      <c r="Z177" s="32"/>
    </row>
    <row r="178">
      <c r="A178" s="181" t="s">
        <v>1781</v>
      </c>
      <c r="B178" s="130" t="s">
        <v>1782</v>
      </c>
      <c r="C178" s="22">
        <v>1500000.0</v>
      </c>
      <c r="D178" s="26">
        <v>2010.0</v>
      </c>
      <c r="E178" s="101">
        <v>40513.0</v>
      </c>
      <c r="F178" s="26" t="s">
        <v>1783</v>
      </c>
      <c r="G178" s="130" t="s">
        <v>28</v>
      </c>
      <c r="H178" s="130" t="s">
        <v>23</v>
      </c>
      <c r="I178" s="28"/>
      <c r="J178" s="26">
        <v>2.0</v>
      </c>
      <c r="K178" s="57"/>
      <c r="L178" s="28"/>
      <c r="M178" s="53" t="s">
        <v>507</v>
      </c>
      <c r="N178" s="106" t="s">
        <v>1784</v>
      </c>
      <c r="O178" s="166" t="s">
        <v>1785</v>
      </c>
      <c r="P178" s="32">
        <v>58.0</v>
      </c>
      <c r="Q178" s="32"/>
      <c r="R178" s="32"/>
      <c r="S178" s="32"/>
      <c r="T178" s="32"/>
      <c r="U178" s="32"/>
      <c r="V178" s="32"/>
      <c r="W178" s="32"/>
      <c r="X178" s="32"/>
      <c r="Y178" s="32"/>
      <c r="Z178" s="32"/>
    </row>
    <row r="179">
      <c r="A179" s="103" t="s">
        <v>766</v>
      </c>
      <c r="B179" s="104"/>
      <c r="C179" s="22">
        <v>1800000.0</v>
      </c>
      <c r="D179" s="26">
        <v>2019.0</v>
      </c>
      <c r="E179" s="101">
        <v>43497.0</v>
      </c>
      <c r="F179" s="26" t="s">
        <v>761</v>
      </c>
      <c r="G179" s="26" t="s">
        <v>28</v>
      </c>
      <c r="H179" s="26" t="s">
        <v>23</v>
      </c>
      <c r="I179" s="28"/>
      <c r="J179" s="26">
        <v>1.0</v>
      </c>
      <c r="K179" s="27" t="str">
        <f>IF(C179&gt;100000000,C179,"")</f>
        <v/>
      </c>
      <c r="L179" s="28"/>
      <c r="M179" s="105" t="s">
        <v>725</v>
      </c>
      <c r="N179" s="106" t="s">
        <v>762</v>
      </c>
      <c r="O179" s="109"/>
      <c r="P179" s="32">
        <v>316.0</v>
      </c>
      <c r="Q179" s="32"/>
      <c r="R179" s="32"/>
      <c r="S179" s="32"/>
      <c r="T179" s="32"/>
      <c r="U179" s="32"/>
      <c r="V179" s="32"/>
      <c r="W179" s="32"/>
      <c r="X179" s="32"/>
      <c r="Y179" s="32"/>
      <c r="Z179" s="32"/>
    </row>
    <row r="180">
      <c r="A180" s="20" t="s">
        <v>616</v>
      </c>
      <c r="B180" s="51"/>
      <c r="C180" s="22">
        <v>1400000.0</v>
      </c>
      <c r="D180" s="26">
        <v>2020.0</v>
      </c>
      <c r="E180" s="101">
        <v>44075.0</v>
      </c>
      <c r="F180" s="26" t="s">
        <v>617</v>
      </c>
      <c r="G180" s="26" t="s">
        <v>618</v>
      </c>
      <c r="H180" s="26" t="s">
        <v>23</v>
      </c>
      <c r="I180" s="26" t="s">
        <v>29</v>
      </c>
      <c r="J180" s="26">
        <v>5.0</v>
      </c>
      <c r="K180" s="27"/>
      <c r="L180" s="28"/>
      <c r="M180" s="34" t="s">
        <v>604</v>
      </c>
      <c r="N180" s="100" t="s">
        <v>619</v>
      </c>
      <c r="O180" s="31"/>
      <c r="P180" s="32">
        <v>363.0</v>
      </c>
      <c r="Q180" s="32"/>
      <c r="R180" s="32"/>
      <c r="S180" s="32"/>
      <c r="T180" s="32"/>
      <c r="U180" s="32"/>
      <c r="V180" s="32"/>
      <c r="W180" s="32"/>
      <c r="X180" s="32"/>
      <c r="Y180" s="32"/>
      <c r="Z180" s="32"/>
    </row>
    <row r="181">
      <c r="A181" s="226" t="s">
        <v>131</v>
      </c>
      <c r="B181" s="224"/>
      <c r="C181" s="214">
        <v>162400.0</v>
      </c>
      <c r="D181" s="215">
        <v>2025.0</v>
      </c>
      <c r="E181" s="216">
        <v>45741.0</v>
      </c>
      <c r="F181" s="227" t="s">
        <v>132</v>
      </c>
      <c r="G181" s="215" t="s">
        <v>43</v>
      </c>
      <c r="H181" s="215" t="s">
        <v>23</v>
      </c>
      <c r="I181" s="215"/>
      <c r="J181" s="215">
        <v>2.0</v>
      </c>
      <c r="K181" s="218"/>
      <c r="L181" s="219"/>
      <c r="M181" s="220" t="s">
        <v>72</v>
      </c>
      <c r="N181" s="221" t="s">
        <v>133</v>
      </c>
      <c r="O181" s="222"/>
      <c r="P181" s="223">
        <v>495.0</v>
      </c>
      <c r="Q181" s="215"/>
      <c r="R181" s="224"/>
      <c r="S181" s="224"/>
      <c r="T181" s="224"/>
      <c r="U181" s="224"/>
      <c r="V181" s="224"/>
      <c r="W181" s="224"/>
      <c r="X181" s="224"/>
      <c r="Y181" s="224"/>
      <c r="Z181" s="224"/>
    </row>
    <row r="182">
      <c r="A182" s="226" t="s">
        <v>26</v>
      </c>
      <c r="B182" s="224"/>
      <c r="C182" s="214">
        <v>92000.0</v>
      </c>
      <c r="D182" s="215">
        <v>2022.0</v>
      </c>
      <c r="E182" s="232">
        <v>45710.0</v>
      </c>
      <c r="F182" s="217" t="s">
        <v>27</v>
      </c>
      <c r="G182" s="215" t="s">
        <v>28</v>
      </c>
      <c r="H182" s="215" t="s">
        <v>23</v>
      </c>
      <c r="I182" s="215" t="s">
        <v>29</v>
      </c>
      <c r="J182" s="215">
        <v>2.0</v>
      </c>
      <c r="K182" s="218"/>
      <c r="L182" s="219"/>
      <c r="M182" s="220" t="s">
        <v>30</v>
      </c>
      <c r="N182" s="221" t="s">
        <v>31</v>
      </c>
      <c r="O182" s="222"/>
      <c r="P182" s="223">
        <v>523.0</v>
      </c>
      <c r="Q182" s="215"/>
      <c r="R182" s="224"/>
      <c r="S182" s="224"/>
      <c r="T182" s="224"/>
      <c r="U182" s="224"/>
      <c r="V182" s="224"/>
      <c r="W182" s="224"/>
      <c r="X182" s="224"/>
      <c r="Y182" s="224"/>
      <c r="Z182" s="224"/>
    </row>
    <row r="183">
      <c r="A183" s="165" t="s">
        <v>1533</v>
      </c>
      <c r="B183" s="130" t="s">
        <v>1534</v>
      </c>
      <c r="C183" s="22">
        <v>1500000.0</v>
      </c>
      <c r="D183" s="26">
        <v>2012.0</v>
      </c>
      <c r="E183" s="101">
        <v>41000.0</v>
      </c>
      <c r="F183" s="26" t="s">
        <v>1535</v>
      </c>
      <c r="G183" s="26" t="s">
        <v>58</v>
      </c>
      <c r="H183" s="130" t="s">
        <v>23</v>
      </c>
      <c r="I183" s="28"/>
      <c r="J183" s="26">
        <v>3.0</v>
      </c>
      <c r="K183" s="57"/>
      <c r="L183" s="28"/>
      <c r="M183" s="34" t="s">
        <v>710</v>
      </c>
      <c r="N183" s="106" t="s">
        <v>1536</v>
      </c>
      <c r="O183" s="113"/>
      <c r="P183" s="32">
        <v>120.0</v>
      </c>
      <c r="Q183" s="32"/>
      <c r="R183" s="32"/>
      <c r="S183" s="32"/>
      <c r="T183" s="32"/>
      <c r="U183" s="32"/>
      <c r="V183" s="32"/>
      <c r="W183" s="32"/>
      <c r="X183" s="32"/>
      <c r="Y183" s="32"/>
      <c r="Z183" s="32"/>
    </row>
    <row r="184">
      <c r="A184" s="52" t="s">
        <v>1373</v>
      </c>
      <c r="B184" s="53"/>
      <c r="C184" s="22">
        <v>5000000.0</v>
      </c>
      <c r="D184" s="26">
        <v>2014.0</v>
      </c>
      <c r="E184" s="101">
        <v>41883.0</v>
      </c>
      <c r="F184" s="34" t="s">
        <v>1374</v>
      </c>
      <c r="G184" s="115" t="s">
        <v>28</v>
      </c>
      <c r="H184" s="115" t="s">
        <v>23</v>
      </c>
      <c r="I184" s="115" t="s">
        <v>29</v>
      </c>
      <c r="J184" s="130">
        <v>1.0</v>
      </c>
      <c r="K184" s="57"/>
      <c r="L184" s="53"/>
      <c r="M184" s="53" t="s">
        <v>1375</v>
      </c>
      <c r="N184" s="116" t="s">
        <v>1376</v>
      </c>
      <c r="O184" s="19"/>
      <c r="P184" s="32">
        <v>161.0</v>
      </c>
      <c r="Q184" s="32"/>
      <c r="R184" s="32"/>
      <c r="S184" s="32"/>
      <c r="T184" s="32"/>
      <c r="U184" s="32"/>
      <c r="V184" s="32"/>
      <c r="W184" s="32"/>
      <c r="X184" s="32"/>
      <c r="Y184" s="32"/>
      <c r="Z184" s="32"/>
    </row>
    <row r="185">
      <c r="A185" s="20" t="s">
        <v>280</v>
      </c>
      <c r="B185" s="21"/>
      <c r="C185" s="22">
        <v>1228000.0</v>
      </c>
      <c r="D185" s="26">
        <v>2022.0</v>
      </c>
      <c r="E185" s="24">
        <v>45282.0</v>
      </c>
      <c r="F185" s="49" t="s">
        <v>281</v>
      </c>
      <c r="G185" s="26" t="s">
        <v>28</v>
      </c>
      <c r="H185" s="26" t="s">
        <v>23</v>
      </c>
      <c r="I185" s="26" t="s">
        <v>29</v>
      </c>
      <c r="J185" s="26">
        <v>3.0</v>
      </c>
      <c r="K185" s="27"/>
      <c r="L185" s="28"/>
      <c r="M185" s="34" t="s">
        <v>85</v>
      </c>
      <c r="N185" s="35" t="s">
        <v>282</v>
      </c>
      <c r="O185" s="31"/>
      <c r="P185" s="32">
        <v>454.0</v>
      </c>
      <c r="Q185" s="38"/>
      <c r="R185" s="21"/>
      <c r="S185" s="21"/>
      <c r="T185" s="21"/>
      <c r="U185" s="21"/>
      <c r="V185" s="21"/>
      <c r="W185" s="21"/>
      <c r="X185" s="21"/>
      <c r="Y185" s="21"/>
      <c r="Z185" s="21"/>
    </row>
    <row r="186">
      <c r="A186" s="62" t="s">
        <v>463</v>
      </c>
      <c r="B186" s="78"/>
      <c r="C186" s="64">
        <v>1200000.0</v>
      </c>
      <c r="D186" s="68">
        <v>2021.0</v>
      </c>
      <c r="E186" s="66">
        <v>44501.0</v>
      </c>
      <c r="F186" s="68" t="s">
        <v>464</v>
      </c>
      <c r="G186" s="68" t="s">
        <v>28</v>
      </c>
      <c r="H186" s="68" t="s">
        <v>23</v>
      </c>
      <c r="I186" s="68"/>
      <c r="J186" s="68">
        <v>1.0</v>
      </c>
      <c r="K186" s="69"/>
      <c r="L186" s="70"/>
      <c r="M186" s="71" t="s">
        <v>465</v>
      </c>
      <c r="N186" s="72" t="s">
        <v>462</v>
      </c>
      <c r="O186" s="73"/>
      <c r="P186" s="74">
        <v>406.0</v>
      </c>
      <c r="Q186" s="74"/>
      <c r="R186" s="74"/>
      <c r="S186" s="74"/>
      <c r="T186" s="74"/>
      <c r="U186" s="74"/>
      <c r="V186" s="74"/>
      <c r="W186" s="74"/>
      <c r="X186" s="74"/>
      <c r="Y186" s="74"/>
      <c r="Z186" s="74"/>
    </row>
    <row r="187">
      <c r="A187" s="20" t="s">
        <v>836</v>
      </c>
      <c r="B187" s="26"/>
      <c r="C187" s="22">
        <v>5.25E7</v>
      </c>
      <c r="D187" s="26">
        <v>2018.0</v>
      </c>
      <c r="E187" s="101">
        <v>43435.0</v>
      </c>
      <c r="F187" s="26" t="s">
        <v>837</v>
      </c>
      <c r="G187" s="26" t="s">
        <v>28</v>
      </c>
      <c r="H187" s="112" t="s">
        <v>51</v>
      </c>
      <c r="I187" s="28"/>
      <c r="J187" s="26">
        <v>2.0</v>
      </c>
      <c r="K187" s="27" t="str">
        <f t="shared" ref="K187:K188" si="3">IF(C187&gt;100000000,C187,"")</f>
        <v/>
      </c>
      <c r="L187" s="110"/>
      <c r="M187" s="26" t="s">
        <v>314</v>
      </c>
      <c r="N187" s="106" t="s">
        <v>838</v>
      </c>
      <c r="O187" s="113"/>
      <c r="P187" s="32">
        <v>294.0</v>
      </c>
      <c r="Q187" s="32"/>
      <c r="R187" s="32"/>
      <c r="S187" s="32"/>
      <c r="T187" s="32"/>
      <c r="U187" s="32"/>
      <c r="V187" s="32"/>
      <c r="W187" s="32"/>
      <c r="X187" s="32"/>
      <c r="Y187" s="32"/>
      <c r="Z187" s="32"/>
    </row>
    <row r="188">
      <c r="A188" s="103" t="s">
        <v>823</v>
      </c>
      <c r="B188" s="104" t="s">
        <v>824</v>
      </c>
      <c r="C188" s="22">
        <v>1.4E7</v>
      </c>
      <c r="D188" s="26">
        <v>2018.0</v>
      </c>
      <c r="E188" s="101">
        <v>43344.0</v>
      </c>
      <c r="F188" s="26" t="s">
        <v>825</v>
      </c>
      <c r="G188" s="26" t="s">
        <v>58</v>
      </c>
      <c r="H188" s="26" t="s">
        <v>51</v>
      </c>
      <c r="I188" s="28"/>
      <c r="J188" s="26">
        <v>2.0</v>
      </c>
      <c r="K188" s="27" t="str">
        <f t="shared" si="3"/>
        <v/>
      </c>
      <c r="L188" s="28"/>
      <c r="M188" s="105" t="s">
        <v>702</v>
      </c>
      <c r="N188" s="106" t="s">
        <v>826</v>
      </c>
      <c r="O188" s="109"/>
      <c r="P188" s="32">
        <v>297.0</v>
      </c>
      <c r="Q188" s="32"/>
      <c r="R188" s="32"/>
      <c r="S188" s="32"/>
      <c r="T188" s="32"/>
      <c r="U188" s="32"/>
      <c r="V188" s="32"/>
      <c r="W188" s="32"/>
      <c r="X188" s="32"/>
      <c r="Y188" s="32"/>
      <c r="Z188" s="32"/>
    </row>
    <row r="189">
      <c r="A189" s="165" t="s">
        <v>1616</v>
      </c>
      <c r="B189" s="53"/>
      <c r="C189" s="22">
        <v>9000000.0</v>
      </c>
      <c r="D189" s="26">
        <v>2012.0</v>
      </c>
      <c r="E189" s="101">
        <v>41214.0</v>
      </c>
      <c r="F189" s="26" t="s">
        <v>1617</v>
      </c>
      <c r="G189" s="130" t="s">
        <v>64</v>
      </c>
      <c r="H189" s="130" t="s">
        <v>23</v>
      </c>
      <c r="I189" s="28"/>
      <c r="J189" s="26">
        <v>2.0</v>
      </c>
      <c r="K189" s="57"/>
      <c r="L189" s="28"/>
      <c r="M189" s="53" t="s">
        <v>410</v>
      </c>
      <c r="N189" s="106" t="s">
        <v>1618</v>
      </c>
      <c r="O189" s="113"/>
      <c r="P189" s="32">
        <v>101.0</v>
      </c>
      <c r="Q189" s="32"/>
      <c r="R189" s="32"/>
      <c r="S189" s="32"/>
      <c r="T189" s="32"/>
      <c r="U189" s="32"/>
      <c r="V189" s="32"/>
      <c r="W189" s="32"/>
      <c r="X189" s="32"/>
      <c r="Y189" s="32"/>
      <c r="Z189" s="32"/>
    </row>
    <row r="190">
      <c r="A190" s="20" t="s">
        <v>916</v>
      </c>
      <c r="B190" s="26"/>
      <c r="C190" s="22">
        <v>3000000.0</v>
      </c>
      <c r="D190" s="26">
        <v>2018.0</v>
      </c>
      <c r="E190" s="101">
        <v>43160.0</v>
      </c>
      <c r="F190" s="26" t="s">
        <v>917</v>
      </c>
      <c r="G190" s="26" t="s">
        <v>28</v>
      </c>
      <c r="H190" s="26" t="s">
        <v>51</v>
      </c>
      <c r="I190" s="28"/>
      <c r="J190" s="26">
        <v>3.0</v>
      </c>
      <c r="K190" s="57"/>
      <c r="L190" s="110"/>
      <c r="M190" s="26" t="s">
        <v>918</v>
      </c>
      <c r="N190" s="106" t="s">
        <v>919</v>
      </c>
      <c r="O190" s="113"/>
      <c r="P190" s="32">
        <v>275.0</v>
      </c>
      <c r="Q190" s="32"/>
      <c r="R190" s="32"/>
      <c r="S190" s="32"/>
      <c r="T190" s="32"/>
      <c r="U190" s="32"/>
      <c r="V190" s="32"/>
      <c r="W190" s="32"/>
      <c r="X190" s="32"/>
      <c r="Y190" s="32"/>
      <c r="Z190" s="32"/>
    </row>
    <row r="191">
      <c r="A191" s="165" t="s">
        <v>1892</v>
      </c>
      <c r="B191" s="130" t="s">
        <v>1893</v>
      </c>
      <c r="C191" s="22">
        <v>1.11E7</v>
      </c>
      <c r="D191" s="26">
        <v>2008.0</v>
      </c>
      <c r="E191" s="101">
        <v>39692.0</v>
      </c>
      <c r="F191" s="26" t="s">
        <v>1894</v>
      </c>
      <c r="G191" s="26" t="s">
        <v>38</v>
      </c>
      <c r="H191" s="130" t="s">
        <v>59</v>
      </c>
      <c r="I191" s="28"/>
      <c r="J191" s="26">
        <v>2.0</v>
      </c>
      <c r="K191" s="57"/>
      <c r="L191" s="28"/>
      <c r="M191" s="34" t="s">
        <v>1895</v>
      </c>
      <c r="N191" s="106" t="s">
        <v>1896</v>
      </c>
      <c r="O191" s="117"/>
      <c r="P191" s="32">
        <v>31.0</v>
      </c>
      <c r="Q191" s="32"/>
      <c r="R191" s="32"/>
      <c r="S191" s="32"/>
      <c r="T191" s="32"/>
      <c r="U191" s="32"/>
      <c r="V191" s="32"/>
      <c r="W191" s="32"/>
      <c r="X191" s="32"/>
      <c r="Y191" s="32"/>
      <c r="Z191" s="32"/>
    </row>
    <row r="192">
      <c r="A192" s="20" t="s">
        <v>532</v>
      </c>
      <c r="B192" s="98" t="s">
        <v>533</v>
      </c>
      <c r="C192" s="22">
        <v>111000.0</v>
      </c>
      <c r="D192" s="26">
        <v>2021.0</v>
      </c>
      <c r="E192" s="91">
        <v>44378.0</v>
      </c>
      <c r="F192" s="67" t="s">
        <v>534</v>
      </c>
      <c r="G192" s="26" t="s">
        <v>43</v>
      </c>
      <c r="H192" s="26" t="s">
        <v>23</v>
      </c>
      <c r="I192" s="26"/>
      <c r="J192" s="26">
        <v>2.0</v>
      </c>
      <c r="K192" s="27"/>
      <c r="L192" s="28"/>
      <c r="M192" s="34" t="s">
        <v>227</v>
      </c>
      <c r="N192" s="92" t="s">
        <v>535</v>
      </c>
      <c r="O192" s="31"/>
      <c r="P192" s="32">
        <v>386.0</v>
      </c>
      <c r="Q192" s="32"/>
      <c r="R192" s="32"/>
      <c r="S192" s="32"/>
      <c r="T192" s="32"/>
      <c r="U192" s="32"/>
      <c r="V192" s="32"/>
      <c r="W192" s="32"/>
      <c r="X192" s="32"/>
      <c r="Y192" s="32"/>
      <c r="Z192" s="32"/>
    </row>
    <row r="193">
      <c r="A193" s="114" t="s">
        <v>1255</v>
      </c>
      <c r="B193" s="53"/>
      <c r="C193" s="22">
        <v>500000.0</v>
      </c>
      <c r="D193" s="26">
        <v>2015.0</v>
      </c>
      <c r="E193" s="101">
        <v>42186.0</v>
      </c>
      <c r="F193" s="34" t="s">
        <v>1256</v>
      </c>
      <c r="G193" s="115" t="s">
        <v>28</v>
      </c>
      <c r="H193" s="115" t="s">
        <v>23</v>
      </c>
      <c r="I193" s="115" t="s">
        <v>29</v>
      </c>
      <c r="J193" s="26">
        <v>5.0</v>
      </c>
      <c r="K193" s="57"/>
      <c r="L193" s="53"/>
      <c r="M193" s="53" t="s">
        <v>325</v>
      </c>
      <c r="N193" s="116" t="s">
        <v>1257</v>
      </c>
      <c r="O193" s="19"/>
      <c r="P193" s="32">
        <v>191.0</v>
      </c>
      <c r="Q193" s="32"/>
      <c r="R193" s="32"/>
      <c r="S193" s="32"/>
      <c r="T193" s="32"/>
      <c r="U193" s="32"/>
      <c r="V193" s="32"/>
      <c r="W193" s="32"/>
      <c r="X193" s="32"/>
      <c r="Y193" s="32"/>
      <c r="Z193" s="32"/>
    </row>
    <row r="194">
      <c r="A194" s="165" t="s">
        <v>1862</v>
      </c>
      <c r="B194" s="130" t="s">
        <v>1863</v>
      </c>
      <c r="C194" s="22">
        <v>4200000.0</v>
      </c>
      <c r="D194" s="26">
        <v>2008.0</v>
      </c>
      <c r="E194" s="101">
        <v>39508.0</v>
      </c>
      <c r="F194" s="34" t="s">
        <v>1864</v>
      </c>
      <c r="G194" s="130" t="s">
        <v>43</v>
      </c>
      <c r="H194" s="130" t="s">
        <v>23</v>
      </c>
      <c r="I194" s="28"/>
      <c r="J194" s="26">
        <v>3.0</v>
      </c>
      <c r="K194" s="57"/>
      <c r="L194" s="28"/>
      <c r="M194" s="34" t="s">
        <v>1865</v>
      </c>
      <c r="N194" s="106" t="s">
        <v>1866</v>
      </c>
      <c r="O194" s="113"/>
      <c r="P194" s="32">
        <v>38.0</v>
      </c>
      <c r="Q194" s="32"/>
      <c r="R194" s="32"/>
      <c r="S194" s="32"/>
      <c r="T194" s="32"/>
      <c r="U194" s="32"/>
      <c r="V194" s="32"/>
      <c r="W194" s="32"/>
      <c r="X194" s="32"/>
      <c r="Y194" s="32"/>
      <c r="Z194" s="32"/>
    </row>
    <row r="195">
      <c r="A195" s="103" t="s">
        <v>749</v>
      </c>
      <c r="B195" s="104"/>
      <c r="C195" s="22">
        <v>2.8E7</v>
      </c>
      <c r="D195" s="26">
        <v>2019.0</v>
      </c>
      <c r="E195" s="101">
        <v>43497.0</v>
      </c>
      <c r="F195" s="26" t="s">
        <v>745</v>
      </c>
      <c r="G195" s="26" t="s">
        <v>43</v>
      </c>
      <c r="H195" s="26" t="s">
        <v>23</v>
      </c>
      <c r="I195" s="28"/>
      <c r="J195" s="26">
        <v>1.0</v>
      </c>
      <c r="K195" s="27" t="str">
        <f>IF(C195&gt;100000000,C195,"")</f>
        <v/>
      </c>
      <c r="L195" s="28"/>
      <c r="M195" s="105" t="s">
        <v>227</v>
      </c>
      <c r="N195" s="106" t="s">
        <v>747</v>
      </c>
      <c r="O195" s="109"/>
      <c r="P195" s="32">
        <v>330.0</v>
      </c>
      <c r="Q195" s="32"/>
      <c r="R195" s="32"/>
      <c r="S195" s="32"/>
      <c r="T195" s="32"/>
      <c r="U195" s="32"/>
      <c r="V195" s="32"/>
      <c r="W195" s="32"/>
      <c r="X195" s="32"/>
      <c r="Y195" s="32"/>
      <c r="Z195" s="32"/>
    </row>
    <row r="196">
      <c r="A196" s="226" t="s">
        <v>115</v>
      </c>
      <c r="B196" s="224"/>
      <c r="C196" s="214">
        <v>27100.0</v>
      </c>
      <c r="D196" s="215">
        <v>2021.0</v>
      </c>
      <c r="E196" s="216">
        <v>44429.0</v>
      </c>
      <c r="F196" s="227" t="s">
        <v>116</v>
      </c>
      <c r="G196" s="215" t="s">
        <v>110</v>
      </c>
      <c r="H196" s="215" t="s">
        <v>23</v>
      </c>
      <c r="I196" s="215"/>
      <c r="J196" s="215">
        <v>3.0</v>
      </c>
      <c r="K196" s="218"/>
      <c r="L196" s="219"/>
      <c r="M196" s="220" t="s">
        <v>72</v>
      </c>
      <c r="N196" s="221" t="s">
        <v>117</v>
      </c>
      <c r="O196" s="222"/>
      <c r="P196" s="223">
        <v>500.0</v>
      </c>
      <c r="Q196" s="215"/>
      <c r="R196" s="224"/>
      <c r="S196" s="224"/>
      <c r="T196" s="224"/>
      <c r="U196" s="224"/>
      <c r="V196" s="224"/>
      <c r="W196" s="224"/>
      <c r="X196" s="224"/>
      <c r="Y196" s="224"/>
      <c r="Z196" s="224"/>
    </row>
    <row r="197">
      <c r="A197" s="165" t="s">
        <v>1853</v>
      </c>
      <c r="B197" s="130" t="s">
        <v>1854</v>
      </c>
      <c r="C197" s="22">
        <v>1500000.0</v>
      </c>
      <c r="D197" s="26">
        <v>2009.0</v>
      </c>
      <c r="E197" s="101">
        <v>40118.0</v>
      </c>
      <c r="F197" s="26" t="s">
        <v>1855</v>
      </c>
      <c r="G197" s="26" t="s">
        <v>258</v>
      </c>
      <c r="H197" s="26" t="s">
        <v>1034</v>
      </c>
      <c r="I197" s="130" t="s">
        <v>29</v>
      </c>
      <c r="J197" s="26">
        <v>4.0</v>
      </c>
      <c r="K197" s="57"/>
      <c r="L197" s="28"/>
      <c r="M197" s="120" t="s">
        <v>1839</v>
      </c>
      <c r="N197" s="106" t="s">
        <v>1856</v>
      </c>
      <c r="O197" s="113"/>
      <c r="P197" s="32">
        <v>41.0</v>
      </c>
      <c r="Q197" s="32"/>
      <c r="R197" s="32"/>
      <c r="S197" s="32"/>
      <c r="T197" s="32"/>
      <c r="U197" s="32"/>
      <c r="V197" s="32"/>
      <c r="W197" s="32"/>
      <c r="X197" s="32"/>
      <c r="Y197" s="32"/>
      <c r="Z197" s="32"/>
    </row>
    <row r="198">
      <c r="A198" s="165" t="s">
        <v>1706</v>
      </c>
      <c r="B198" s="115" t="s">
        <v>1707</v>
      </c>
      <c r="C198" s="22">
        <v>1900000.0</v>
      </c>
      <c r="D198" s="26">
        <v>2011.0</v>
      </c>
      <c r="E198" s="101">
        <v>40603.0</v>
      </c>
      <c r="F198" s="26" t="s">
        <v>1708</v>
      </c>
      <c r="G198" s="26" t="s">
        <v>258</v>
      </c>
      <c r="H198" s="26" t="s">
        <v>1034</v>
      </c>
      <c r="I198" s="28"/>
      <c r="J198" s="225" t="s">
        <v>1677</v>
      </c>
      <c r="K198" s="57"/>
      <c r="L198" s="28"/>
      <c r="M198" s="34" t="s">
        <v>1709</v>
      </c>
      <c r="N198" s="106" t="s">
        <v>1710</v>
      </c>
      <c r="O198" s="109"/>
      <c r="P198" s="32">
        <v>76.0</v>
      </c>
      <c r="Q198" s="32"/>
      <c r="R198" s="32"/>
      <c r="S198" s="32"/>
      <c r="T198" s="32"/>
      <c r="U198" s="32"/>
      <c r="V198" s="32"/>
      <c r="W198" s="32"/>
      <c r="X198" s="32"/>
      <c r="Y198" s="32"/>
      <c r="Z198" s="32"/>
    </row>
    <row r="199">
      <c r="A199" s="165" t="s">
        <v>1822</v>
      </c>
      <c r="B199" s="130" t="s">
        <v>1823</v>
      </c>
      <c r="C199" s="22">
        <v>1.3E8</v>
      </c>
      <c r="D199" s="26">
        <v>2009.0</v>
      </c>
      <c r="E199" s="101">
        <v>39814.0</v>
      </c>
      <c r="F199" s="26" t="s">
        <v>1824</v>
      </c>
      <c r="G199" s="26" t="s">
        <v>58</v>
      </c>
      <c r="H199" s="130" t="s">
        <v>23</v>
      </c>
      <c r="I199" s="130" t="s">
        <v>29</v>
      </c>
      <c r="J199" s="26">
        <v>3.0</v>
      </c>
      <c r="K199" s="27" t="s">
        <v>1825</v>
      </c>
      <c r="L199" s="28"/>
      <c r="M199" s="105" t="s">
        <v>1826</v>
      </c>
      <c r="N199" s="106" t="s">
        <v>1827</v>
      </c>
      <c r="O199" s="109"/>
      <c r="P199" s="32">
        <v>48.0</v>
      </c>
      <c r="Q199" s="32"/>
      <c r="R199" s="32"/>
      <c r="S199" s="32"/>
      <c r="T199" s="32"/>
      <c r="U199" s="32"/>
      <c r="V199" s="32"/>
      <c r="W199" s="32"/>
      <c r="X199" s="32"/>
      <c r="Y199" s="32"/>
      <c r="Z199" s="32"/>
    </row>
    <row r="200">
      <c r="A200" s="20" t="s">
        <v>893</v>
      </c>
      <c r="B200" s="26" t="s">
        <v>894</v>
      </c>
      <c r="C200" s="22">
        <v>3000000.0</v>
      </c>
      <c r="D200" s="26">
        <v>2018.0</v>
      </c>
      <c r="E200" s="101">
        <v>43132.0</v>
      </c>
      <c r="F200" s="26" t="s">
        <v>895</v>
      </c>
      <c r="G200" s="26" t="s">
        <v>258</v>
      </c>
      <c r="H200" s="26" t="s">
        <v>23</v>
      </c>
      <c r="I200" s="28"/>
      <c r="J200" s="26">
        <v>4.0</v>
      </c>
      <c r="K200" s="57"/>
      <c r="L200" s="110"/>
      <c r="M200" s="26" t="s">
        <v>896</v>
      </c>
      <c r="N200" s="106" t="s">
        <v>897</v>
      </c>
      <c r="O200" s="113"/>
      <c r="P200" s="32">
        <v>280.0</v>
      </c>
      <c r="Q200" s="32"/>
      <c r="R200" s="32"/>
      <c r="S200" s="32"/>
      <c r="T200" s="32"/>
      <c r="U200" s="32"/>
      <c r="V200" s="32"/>
      <c r="W200" s="32"/>
      <c r="X200" s="32"/>
      <c r="Y200" s="32"/>
      <c r="Z200" s="32"/>
    </row>
    <row r="201">
      <c r="A201" s="62" t="s">
        <v>429</v>
      </c>
      <c r="B201" s="63"/>
      <c r="C201" s="64">
        <v>50000.0</v>
      </c>
      <c r="D201" s="68">
        <v>2022.0</v>
      </c>
      <c r="E201" s="66">
        <v>44652.0</v>
      </c>
      <c r="F201" s="68" t="s">
        <v>430</v>
      </c>
      <c r="G201" s="68" t="s">
        <v>50</v>
      </c>
      <c r="H201" s="68" t="s">
        <v>23</v>
      </c>
      <c r="I201" s="68"/>
      <c r="J201" s="68">
        <v>2.0</v>
      </c>
      <c r="K201" s="69"/>
      <c r="L201" s="70"/>
      <c r="M201" s="71" t="s">
        <v>85</v>
      </c>
      <c r="N201" s="72" t="s">
        <v>431</v>
      </c>
      <c r="O201" s="73"/>
      <c r="P201" s="74">
        <v>416.0</v>
      </c>
      <c r="Q201" s="74"/>
      <c r="R201" s="74"/>
      <c r="S201" s="74"/>
      <c r="T201" s="74"/>
      <c r="U201" s="74"/>
      <c r="V201" s="74"/>
      <c r="W201" s="74"/>
      <c r="X201" s="74"/>
      <c r="Y201" s="74"/>
      <c r="Z201" s="74"/>
    </row>
    <row r="202">
      <c r="A202" s="165" t="s">
        <v>1987</v>
      </c>
      <c r="B202" s="28"/>
      <c r="C202" s="22">
        <v>200000.0</v>
      </c>
      <c r="D202" s="26">
        <v>2006.0</v>
      </c>
      <c r="E202" s="101">
        <v>38777.0</v>
      </c>
      <c r="F202" s="111" t="s">
        <v>1988</v>
      </c>
      <c r="G202" s="130" t="s">
        <v>1612</v>
      </c>
      <c r="H202" s="26" t="s">
        <v>1034</v>
      </c>
      <c r="I202" s="130" t="s">
        <v>29</v>
      </c>
      <c r="J202" s="26">
        <v>2.0</v>
      </c>
      <c r="K202" s="57"/>
      <c r="L202" s="28"/>
      <c r="M202" s="34" t="s">
        <v>1224</v>
      </c>
      <c r="N202" s="106" t="s">
        <v>1989</v>
      </c>
      <c r="O202" s="113"/>
      <c r="P202" s="32">
        <v>6.0</v>
      </c>
      <c r="Q202" s="32"/>
      <c r="R202" s="32"/>
      <c r="S202" s="32"/>
      <c r="T202" s="32"/>
      <c r="U202" s="32"/>
      <c r="V202" s="32"/>
      <c r="W202" s="32"/>
      <c r="X202" s="32"/>
      <c r="Y202" s="32"/>
      <c r="Z202" s="32"/>
    </row>
    <row r="203">
      <c r="A203" s="20" t="s">
        <v>955</v>
      </c>
      <c r="B203" s="111" t="s">
        <v>956</v>
      </c>
      <c r="C203" s="22">
        <v>411000.0</v>
      </c>
      <c r="D203" s="26">
        <v>2018.0</v>
      </c>
      <c r="E203" s="101">
        <v>43405.0</v>
      </c>
      <c r="F203" s="26" t="s">
        <v>957</v>
      </c>
      <c r="G203" s="130" t="s">
        <v>28</v>
      </c>
      <c r="H203" s="26" t="s">
        <v>23</v>
      </c>
      <c r="I203" s="28"/>
      <c r="J203" s="26">
        <v>2.0</v>
      </c>
      <c r="K203" s="27"/>
      <c r="L203" s="28"/>
      <c r="M203" s="105" t="s">
        <v>958</v>
      </c>
      <c r="N203" s="106" t="s">
        <v>959</v>
      </c>
      <c r="O203" s="109"/>
      <c r="P203" s="32">
        <v>265.0</v>
      </c>
      <c r="Q203" s="32"/>
      <c r="R203" s="32"/>
      <c r="S203" s="32"/>
      <c r="T203" s="32"/>
      <c r="U203" s="32"/>
      <c r="V203" s="32"/>
      <c r="W203" s="32"/>
      <c r="X203" s="32"/>
      <c r="Y203" s="32"/>
      <c r="Z203" s="32"/>
    </row>
    <row r="204">
      <c r="A204" s="20" t="s">
        <v>606</v>
      </c>
      <c r="B204" s="51"/>
      <c r="C204" s="22">
        <v>2500000.0</v>
      </c>
      <c r="D204" s="26">
        <v>2020.0</v>
      </c>
      <c r="E204" s="101">
        <v>44166.0</v>
      </c>
      <c r="F204" s="26" t="s">
        <v>607</v>
      </c>
      <c r="G204" s="26" t="s">
        <v>129</v>
      </c>
      <c r="H204" s="26" t="s">
        <v>23</v>
      </c>
      <c r="I204" s="26"/>
      <c r="J204" s="26">
        <v>2.0</v>
      </c>
      <c r="K204" s="27"/>
      <c r="L204" s="28"/>
      <c r="M204" s="34" t="s">
        <v>608</v>
      </c>
      <c r="N204" s="100" t="s">
        <v>609</v>
      </c>
      <c r="O204" s="31"/>
      <c r="P204" s="32">
        <v>366.0</v>
      </c>
      <c r="Q204" s="32"/>
      <c r="R204" s="32"/>
      <c r="S204" s="32"/>
      <c r="T204" s="32"/>
      <c r="U204" s="32"/>
      <c r="V204" s="32"/>
      <c r="W204" s="32"/>
      <c r="X204" s="32"/>
      <c r="Y204" s="32"/>
      <c r="Z204" s="32"/>
    </row>
    <row r="205">
      <c r="A205" s="114" t="s">
        <v>1377</v>
      </c>
      <c r="B205" s="53"/>
      <c r="C205" s="22">
        <v>5.6E7</v>
      </c>
      <c r="D205" s="26">
        <v>2014.0</v>
      </c>
      <c r="E205" s="101">
        <v>41883.0</v>
      </c>
      <c r="F205" s="34" t="s">
        <v>1378</v>
      </c>
      <c r="G205" s="115" t="s">
        <v>43</v>
      </c>
      <c r="H205" s="115" t="s">
        <v>23</v>
      </c>
      <c r="I205" s="115" t="s">
        <v>29</v>
      </c>
      <c r="J205" s="26">
        <v>3.0</v>
      </c>
      <c r="K205" s="57"/>
      <c r="L205" s="53"/>
      <c r="M205" s="53" t="s">
        <v>702</v>
      </c>
      <c r="N205" s="116" t="s">
        <v>1379</v>
      </c>
      <c r="O205" s="19"/>
      <c r="P205" s="32">
        <v>160.0</v>
      </c>
      <c r="Q205" s="32"/>
      <c r="R205" s="32"/>
      <c r="S205" s="32"/>
      <c r="T205" s="32"/>
      <c r="U205" s="32"/>
      <c r="V205" s="32"/>
      <c r="W205" s="32"/>
      <c r="X205" s="32"/>
      <c r="Y205" s="32"/>
      <c r="Z205" s="32"/>
    </row>
    <row r="206">
      <c r="A206" s="165" t="s">
        <v>1731</v>
      </c>
      <c r="B206" s="53"/>
      <c r="C206" s="22">
        <v>283000.0</v>
      </c>
      <c r="D206" s="26">
        <v>2011.0</v>
      </c>
      <c r="E206" s="101">
        <v>40664.0</v>
      </c>
      <c r="F206" s="26" t="s">
        <v>1732</v>
      </c>
      <c r="G206" s="130" t="s">
        <v>43</v>
      </c>
      <c r="H206" s="26" t="s">
        <v>23</v>
      </c>
      <c r="I206" s="130" t="s">
        <v>29</v>
      </c>
      <c r="J206" s="26">
        <v>2.0</v>
      </c>
      <c r="K206" s="57"/>
      <c r="L206" s="28"/>
      <c r="M206" s="34" t="s">
        <v>1733</v>
      </c>
      <c r="N206" s="106" t="s">
        <v>1734</v>
      </c>
      <c r="O206" s="113"/>
      <c r="P206" s="32">
        <v>70.0</v>
      </c>
      <c r="Q206" s="32"/>
      <c r="R206" s="32"/>
      <c r="S206" s="32"/>
      <c r="T206" s="32"/>
      <c r="U206" s="32"/>
      <c r="V206" s="32"/>
      <c r="W206" s="32"/>
      <c r="X206" s="32"/>
      <c r="Y206" s="32"/>
      <c r="Z206" s="32"/>
    </row>
    <row r="207">
      <c r="A207" s="20" t="s">
        <v>1032</v>
      </c>
      <c r="B207" s="130"/>
      <c r="C207" s="22">
        <v>3700000.0</v>
      </c>
      <c r="D207" s="26">
        <v>2017.0</v>
      </c>
      <c r="E207" s="101">
        <v>42795.0</v>
      </c>
      <c r="F207" s="26" t="s">
        <v>1033</v>
      </c>
      <c r="G207" s="26" t="s">
        <v>64</v>
      </c>
      <c r="H207" s="26" t="s">
        <v>1034</v>
      </c>
      <c r="I207" s="130"/>
      <c r="J207" s="26">
        <v>2.0</v>
      </c>
      <c r="K207" s="57"/>
      <c r="L207" s="110"/>
      <c r="M207" s="53" t="s">
        <v>1035</v>
      </c>
      <c r="N207" s="106" t="s">
        <v>1036</v>
      </c>
      <c r="O207" s="113"/>
      <c r="P207" s="32">
        <v>245.0</v>
      </c>
      <c r="Q207" s="32"/>
      <c r="R207" s="32"/>
      <c r="S207" s="32"/>
      <c r="T207" s="32"/>
      <c r="U207" s="32"/>
      <c r="V207" s="32"/>
      <c r="W207" s="32"/>
      <c r="X207" s="32"/>
      <c r="Y207" s="32"/>
      <c r="Z207" s="32"/>
    </row>
    <row r="208">
      <c r="A208" s="103" t="s">
        <v>764</v>
      </c>
      <c r="B208" s="104"/>
      <c r="C208" s="22">
        <v>5.7E7</v>
      </c>
      <c r="D208" s="26">
        <v>2019.0</v>
      </c>
      <c r="E208" s="101">
        <v>43497.0</v>
      </c>
      <c r="F208" s="26" t="s">
        <v>761</v>
      </c>
      <c r="G208" s="26" t="s">
        <v>43</v>
      </c>
      <c r="H208" s="26" t="s">
        <v>23</v>
      </c>
      <c r="I208" s="28"/>
      <c r="J208" s="26">
        <v>2.0</v>
      </c>
      <c r="K208" s="27" t="str">
        <f>IF(C208&gt;100000000,C208,"")</f>
        <v/>
      </c>
      <c r="L208" s="28"/>
      <c r="M208" s="105" t="s">
        <v>725</v>
      </c>
      <c r="N208" s="106" t="s">
        <v>765</v>
      </c>
      <c r="O208" s="109"/>
      <c r="P208" s="32">
        <v>317.0</v>
      </c>
      <c r="Q208" s="32"/>
      <c r="R208" s="32"/>
      <c r="S208" s="32"/>
      <c r="T208" s="32"/>
      <c r="U208" s="32"/>
      <c r="V208" s="32"/>
      <c r="W208" s="32"/>
      <c r="X208" s="32"/>
      <c r="Y208" s="32"/>
      <c r="Z208" s="32"/>
    </row>
    <row r="209">
      <c r="A209" s="20" t="s">
        <v>1362</v>
      </c>
      <c r="B209" s="26"/>
      <c r="C209" s="22">
        <v>2700000.0</v>
      </c>
      <c r="D209" s="26">
        <v>2014.0</v>
      </c>
      <c r="E209" s="101">
        <v>41944.0</v>
      </c>
      <c r="F209" s="26" t="s">
        <v>1363</v>
      </c>
      <c r="G209" s="26" t="s">
        <v>58</v>
      </c>
      <c r="H209" s="150" t="s">
        <v>23</v>
      </c>
      <c r="I209" s="28"/>
      <c r="J209" s="26">
        <v>4.0</v>
      </c>
      <c r="K209" s="57"/>
      <c r="L209" s="110"/>
      <c r="M209" s="53" t="s">
        <v>286</v>
      </c>
      <c r="N209" s="106" t="s">
        <v>1364</v>
      </c>
      <c r="O209" s="113"/>
      <c r="P209" s="32">
        <v>164.0</v>
      </c>
      <c r="Q209" s="32"/>
      <c r="R209" s="32"/>
      <c r="S209" s="32"/>
      <c r="T209" s="32"/>
      <c r="U209" s="32"/>
      <c r="V209" s="32"/>
      <c r="W209" s="32"/>
      <c r="X209" s="32"/>
      <c r="Y209" s="32"/>
      <c r="Z209" s="32"/>
    </row>
    <row r="210">
      <c r="A210" s="118" t="s">
        <v>1054</v>
      </c>
      <c r="B210" s="127"/>
      <c r="C210" s="133">
        <v>1700000.0</v>
      </c>
      <c r="D210" s="150">
        <v>2017.0</v>
      </c>
      <c r="E210" s="134">
        <v>42856.0</v>
      </c>
      <c r="F210" s="105" t="s">
        <v>1051</v>
      </c>
      <c r="G210" s="26" t="s">
        <v>28</v>
      </c>
      <c r="H210" s="127" t="s">
        <v>23</v>
      </c>
      <c r="I210" s="127"/>
      <c r="J210" s="150">
        <v>4.0</v>
      </c>
      <c r="K210" s="57"/>
      <c r="L210" s="120"/>
      <c r="M210" s="53" t="s">
        <v>1054</v>
      </c>
      <c r="N210" s="122" t="s">
        <v>1055</v>
      </c>
      <c r="O210" s="140"/>
      <c r="P210" s="32">
        <v>240.0</v>
      </c>
      <c r="Q210" s="32"/>
      <c r="R210" s="32"/>
      <c r="S210" s="32"/>
      <c r="T210" s="32"/>
      <c r="U210" s="32"/>
      <c r="V210" s="32"/>
      <c r="W210" s="32"/>
      <c r="X210" s="32"/>
      <c r="Y210" s="32"/>
      <c r="Z210" s="32"/>
    </row>
    <row r="211">
      <c r="A211" s="52" t="s">
        <v>782</v>
      </c>
      <c r="B211" s="53"/>
      <c r="C211" s="22">
        <v>2.75265298E8</v>
      </c>
      <c r="D211" s="26">
        <v>2019.0</v>
      </c>
      <c r="E211" s="101">
        <v>43586.0</v>
      </c>
      <c r="F211" s="34" t="s">
        <v>783</v>
      </c>
      <c r="G211" s="34" t="s">
        <v>28</v>
      </c>
      <c r="H211" s="34" t="s">
        <v>51</v>
      </c>
      <c r="I211" s="53"/>
      <c r="J211" s="26">
        <v>2.0</v>
      </c>
      <c r="K211" s="27" t="s">
        <v>784</v>
      </c>
      <c r="L211" s="53"/>
      <c r="M211" s="34" t="s">
        <v>85</v>
      </c>
      <c r="N211" s="102" t="s">
        <v>785</v>
      </c>
      <c r="O211" s="53"/>
      <c r="P211" s="32">
        <v>308.0</v>
      </c>
      <c r="Q211" s="32"/>
      <c r="R211" s="32"/>
      <c r="S211" s="32"/>
      <c r="T211" s="32"/>
      <c r="U211" s="32"/>
      <c r="V211" s="32"/>
      <c r="W211" s="32"/>
      <c r="X211" s="32"/>
      <c r="Y211" s="32"/>
      <c r="Z211" s="32"/>
    </row>
    <row r="212">
      <c r="A212" s="20" t="s">
        <v>394</v>
      </c>
      <c r="B212" s="47"/>
      <c r="C212" s="22">
        <v>3.0E7</v>
      </c>
      <c r="D212" s="26">
        <v>2022.0</v>
      </c>
      <c r="E212" s="24">
        <v>44896.0</v>
      </c>
      <c r="F212" s="34" t="s">
        <v>395</v>
      </c>
      <c r="G212" s="26" t="s">
        <v>22</v>
      </c>
      <c r="H212" s="26" t="s">
        <v>23</v>
      </c>
      <c r="I212" s="26"/>
      <c r="J212" s="26">
        <v>2.0</v>
      </c>
      <c r="K212" s="27"/>
      <c r="L212" s="28"/>
      <c r="M212" s="34" t="s">
        <v>396</v>
      </c>
      <c r="N212" s="48" t="s">
        <v>397</v>
      </c>
      <c r="O212" s="31"/>
      <c r="P212" s="32">
        <v>425.0</v>
      </c>
      <c r="Q212" s="34"/>
      <c r="R212" s="32"/>
      <c r="S212" s="32"/>
      <c r="T212" s="32"/>
      <c r="U212" s="32"/>
      <c r="V212" s="32"/>
      <c r="W212" s="32"/>
      <c r="X212" s="32"/>
      <c r="Y212" s="32"/>
      <c r="Z212" s="32"/>
    </row>
    <row r="213">
      <c r="A213" s="165" t="s">
        <v>1338</v>
      </c>
      <c r="B213" s="53"/>
      <c r="C213" s="22">
        <v>146000.0</v>
      </c>
      <c r="D213" s="26">
        <v>2014.0</v>
      </c>
      <c r="E213" s="101">
        <v>41671.0</v>
      </c>
      <c r="F213" s="26" t="s">
        <v>1339</v>
      </c>
      <c r="G213" s="26" t="s">
        <v>110</v>
      </c>
      <c r="H213" s="130" t="s">
        <v>51</v>
      </c>
      <c r="I213" s="28"/>
      <c r="J213" s="26">
        <v>2.0</v>
      </c>
      <c r="K213" s="57"/>
      <c r="L213" s="28"/>
      <c r="M213" s="53" t="s">
        <v>1338</v>
      </c>
      <c r="N213" s="166" t="s">
        <v>1340</v>
      </c>
      <c r="O213" s="166" t="s">
        <v>1341</v>
      </c>
      <c r="P213" s="32">
        <v>170.0</v>
      </c>
      <c r="Q213" s="32"/>
      <c r="R213" s="32"/>
      <c r="S213" s="32"/>
      <c r="T213" s="32"/>
      <c r="U213" s="32"/>
      <c r="V213" s="32"/>
      <c r="W213" s="32"/>
      <c r="X213" s="32"/>
      <c r="Y213" s="32"/>
      <c r="Z213" s="32"/>
    </row>
    <row r="214">
      <c r="A214" s="40" t="s">
        <v>385</v>
      </c>
      <c r="B214" s="20" t="s">
        <v>386</v>
      </c>
      <c r="C214" s="22">
        <v>2.79E8</v>
      </c>
      <c r="D214" s="26">
        <v>2022.0</v>
      </c>
      <c r="E214" s="24">
        <v>44317.0</v>
      </c>
      <c r="F214" s="26" t="s">
        <v>387</v>
      </c>
      <c r="G214" s="26" t="s">
        <v>64</v>
      </c>
      <c r="H214" s="26" t="s">
        <v>23</v>
      </c>
      <c r="I214" s="26" t="s">
        <v>29</v>
      </c>
      <c r="J214" s="26">
        <v>3.0</v>
      </c>
      <c r="K214" s="27"/>
      <c r="L214" s="28"/>
      <c r="M214" s="34" t="s">
        <v>388</v>
      </c>
      <c r="N214" s="35" t="s">
        <v>389</v>
      </c>
      <c r="O214" s="31"/>
      <c r="P214" s="32">
        <v>427.0</v>
      </c>
      <c r="Q214" s="26"/>
      <c r="R214" s="32"/>
      <c r="S214" s="32"/>
      <c r="T214" s="32"/>
      <c r="U214" s="32"/>
      <c r="V214" s="32"/>
      <c r="W214" s="32"/>
      <c r="X214" s="32"/>
      <c r="Y214" s="32"/>
      <c r="Z214" s="32"/>
    </row>
    <row r="215">
      <c r="A215" s="20" t="s">
        <v>398</v>
      </c>
      <c r="B215" s="47"/>
      <c r="C215" s="22">
        <v>1.0E9</v>
      </c>
      <c r="D215" s="26">
        <v>2022.0</v>
      </c>
      <c r="E215" s="24">
        <v>44835.0</v>
      </c>
      <c r="F215" s="34" t="s">
        <v>399</v>
      </c>
      <c r="G215" s="26" t="s">
        <v>129</v>
      </c>
      <c r="H215" s="26" t="s">
        <v>23</v>
      </c>
      <c r="I215" s="26"/>
      <c r="J215" s="26">
        <v>3.0</v>
      </c>
      <c r="K215" s="27" t="s">
        <v>400</v>
      </c>
      <c r="L215" s="28"/>
      <c r="M215" s="34" t="s">
        <v>401</v>
      </c>
      <c r="N215" s="48" t="s">
        <v>402</v>
      </c>
      <c r="O215" s="31"/>
      <c r="P215" s="32">
        <v>424.0</v>
      </c>
      <c r="Q215" s="34"/>
      <c r="R215" s="32"/>
      <c r="S215" s="32"/>
      <c r="T215" s="32"/>
      <c r="U215" s="32"/>
      <c r="V215" s="32"/>
      <c r="W215" s="32"/>
      <c r="X215" s="32"/>
      <c r="Y215" s="32"/>
      <c r="Z215" s="32"/>
    </row>
    <row r="216">
      <c r="A216" s="52" t="s">
        <v>1068</v>
      </c>
      <c r="B216" s="53"/>
      <c r="C216" s="22">
        <v>6000000.0</v>
      </c>
      <c r="D216" s="26">
        <v>2017.0</v>
      </c>
      <c r="E216" s="101">
        <v>42979.0</v>
      </c>
      <c r="F216" s="34" t="s">
        <v>1069</v>
      </c>
      <c r="G216" s="26" t="s">
        <v>28</v>
      </c>
      <c r="H216" s="26" t="s">
        <v>23</v>
      </c>
      <c r="I216" s="115"/>
      <c r="J216" s="26">
        <v>1.0</v>
      </c>
      <c r="K216" s="57"/>
      <c r="L216" s="53"/>
      <c r="M216" s="53" t="s">
        <v>314</v>
      </c>
      <c r="N216" s="135" t="s">
        <v>1070</v>
      </c>
      <c r="O216" s="136"/>
      <c r="P216" s="32">
        <v>236.0</v>
      </c>
      <c r="Q216" s="32"/>
      <c r="R216" s="32"/>
      <c r="S216" s="32"/>
      <c r="T216" s="32"/>
      <c r="U216" s="32"/>
      <c r="V216" s="32"/>
      <c r="W216" s="32"/>
      <c r="X216" s="32"/>
      <c r="Y216" s="32"/>
      <c r="Z216" s="32"/>
    </row>
    <row r="217">
      <c r="A217" s="226" t="s">
        <v>98</v>
      </c>
      <c r="B217" s="224"/>
      <c r="C217" s="214">
        <v>3.3E7</v>
      </c>
      <c r="D217" s="215">
        <v>2024.0</v>
      </c>
      <c r="E217" s="216">
        <v>45589.0</v>
      </c>
      <c r="F217" s="227" t="s">
        <v>99</v>
      </c>
      <c r="G217" s="215" t="s">
        <v>28</v>
      </c>
      <c r="H217" s="215" t="s">
        <v>23</v>
      </c>
      <c r="I217" s="215"/>
      <c r="J217" s="215">
        <v>1.0</v>
      </c>
      <c r="K217" s="218"/>
      <c r="L217" s="219"/>
      <c r="M217" s="220" t="s">
        <v>85</v>
      </c>
      <c r="N217" s="229" t="s">
        <v>100</v>
      </c>
      <c r="O217" s="230"/>
      <c r="P217" s="223">
        <v>505.0</v>
      </c>
      <c r="Q217" s="215"/>
      <c r="R217" s="224"/>
      <c r="S217" s="224"/>
      <c r="T217" s="224"/>
      <c r="U217" s="224"/>
      <c r="V217" s="224"/>
      <c r="W217" s="224"/>
      <c r="X217" s="224"/>
      <c r="Y217" s="224"/>
      <c r="Z217" s="224"/>
    </row>
    <row r="218">
      <c r="A218" s="20" t="s">
        <v>1194</v>
      </c>
      <c r="B218" s="26"/>
      <c r="C218" s="22">
        <v>1.0E7</v>
      </c>
      <c r="D218" s="26">
        <v>2016.0</v>
      </c>
      <c r="E218" s="101">
        <v>42552.0</v>
      </c>
      <c r="F218" s="34" t="s">
        <v>1195</v>
      </c>
      <c r="G218" s="26" t="s">
        <v>28</v>
      </c>
      <c r="H218" s="26" t="s">
        <v>23</v>
      </c>
      <c r="I218" s="28"/>
      <c r="J218" s="26">
        <v>2.0</v>
      </c>
      <c r="K218" s="57"/>
      <c r="L218" s="28"/>
      <c r="M218" s="53" t="s">
        <v>1196</v>
      </c>
      <c r="N218" s="106" t="s">
        <v>1197</v>
      </c>
      <c r="O218" s="113"/>
      <c r="P218" s="32">
        <v>205.0</v>
      </c>
      <c r="Q218" s="32"/>
      <c r="R218" s="32"/>
      <c r="S218" s="32"/>
      <c r="T218" s="32"/>
      <c r="U218" s="32"/>
      <c r="V218" s="32"/>
      <c r="W218" s="32"/>
      <c r="X218" s="32"/>
      <c r="Y218" s="32"/>
      <c r="Z218" s="32"/>
    </row>
    <row r="219">
      <c r="A219" s="20" t="s">
        <v>1240</v>
      </c>
      <c r="B219" s="111" t="s">
        <v>1241</v>
      </c>
      <c r="C219" s="22">
        <v>40000.0</v>
      </c>
      <c r="D219" s="26">
        <v>2015.0</v>
      </c>
      <c r="E219" s="101">
        <v>42339.0</v>
      </c>
      <c r="F219" s="26" t="s">
        <v>1242</v>
      </c>
      <c r="G219" s="26" t="s">
        <v>58</v>
      </c>
      <c r="H219" s="26" t="s">
        <v>23</v>
      </c>
      <c r="I219" s="28"/>
      <c r="J219" s="26">
        <v>4.0</v>
      </c>
      <c r="K219" s="57"/>
      <c r="L219" s="28"/>
      <c r="M219" s="53" t="s">
        <v>1243</v>
      </c>
      <c r="N219" s="106" t="s">
        <v>1244</v>
      </c>
      <c r="O219" s="113"/>
      <c r="P219" s="32">
        <v>194.0</v>
      </c>
      <c r="Q219" s="32"/>
      <c r="R219" s="32"/>
      <c r="S219" s="32"/>
      <c r="T219" s="32"/>
      <c r="U219" s="32"/>
      <c r="V219" s="32"/>
      <c r="W219" s="32"/>
      <c r="X219" s="32"/>
      <c r="Y219" s="32"/>
      <c r="Z219" s="32"/>
    </row>
    <row r="220">
      <c r="A220" s="20" t="s">
        <v>249</v>
      </c>
      <c r="B220" s="47"/>
      <c r="C220" s="22">
        <v>512000.0</v>
      </c>
      <c r="D220" s="26">
        <v>2023.0</v>
      </c>
      <c r="E220" s="24">
        <v>45222.0</v>
      </c>
      <c r="F220" s="37" t="s">
        <v>250</v>
      </c>
      <c r="G220" s="26" t="s">
        <v>22</v>
      </c>
      <c r="H220" s="26" t="s">
        <v>51</v>
      </c>
      <c r="I220" s="26"/>
      <c r="J220" s="26">
        <v>3.0</v>
      </c>
      <c r="K220" s="27"/>
      <c r="L220" s="28"/>
      <c r="M220" s="34" t="s">
        <v>251</v>
      </c>
      <c r="N220" s="48" t="s">
        <v>252</v>
      </c>
      <c r="O220" s="31"/>
      <c r="P220" s="32">
        <v>463.0</v>
      </c>
      <c r="Q220" s="34"/>
      <c r="R220" s="32"/>
      <c r="S220" s="32"/>
      <c r="T220" s="32"/>
      <c r="U220" s="32"/>
      <c r="V220" s="32"/>
      <c r="W220" s="32"/>
      <c r="X220" s="32"/>
      <c r="Y220" s="32"/>
      <c r="Z220" s="32"/>
    </row>
    <row r="221">
      <c r="A221" s="114" t="s">
        <v>1272</v>
      </c>
      <c r="B221" s="115" t="s">
        <v>1273</v>
      </c>
      <c r="C221" s="22">
        <v>100000.0</v>
      </c>
      <c r="D221" s="26">
        <v>2015.0</v>
      </c>
      <c r="E221" s="101">
        <v>42125.0</v>
      </c>
      <c r="F221" s="34" t="s">
        <v>1274</v>
      </c>
      <c r="G221" s="115" t="s">
        <v>64</v>
      </c>
      <c r="H221" s="34" t="s">
        <v>23</v>
      </c>
      <c r="I221" s="53"/>
      <c r="J221" s="130">
        <v>1.0</v>
      </c>
      <c r="K221" s="57"/>
      <c r="L221" s="53"/>
      <c r="M221" s="53" t="s">
        <v>1088</v>
      </c>
      <c r="N221" s="160" t="s">
        <v>1275</v>
      </c>
      <c r="O221" s="19"/>
      <c r="P221" s="32">
        <v>186.0</v>
      </c>
      <c r="Q221" s="32"/>
      <c r="R221" s="32"/>
      <c r="S221" s="32"/>
      <c r="T221" s="32"/>
      <c r="U221" s="32"/>
      <c r="V221" s="32"/>
      <c r="W221" s="32"/>
      <c r="X221" s="32"/>
      <c r="Y221" s="32"/>
      <c r="Z221" s="32"/>
    </row>
    <row r="222">
      <c r="A222" s="20" t="s">
        <v>685</v>
      </c>
      <c r="B222" s="51"/>
      <c r="C222" s="22">
        <v>6500000.0</v>
      </c>
      <c r="D222" s="26">
        <v>2020.0</v>
      </c>
      <c r="E222" s="101">
        <v>43862.0</v>
      </c>
      <c r="F222" s="26" t="s">
        <v>686</v>
      </c>
      <c r="G222" s="26" t="s">
        <v>64</v>
      </c>
      <c r="H222" s="26" t="s">
        <v>51</v>
      </c>
      <c r="I222" s="28"/>
      <c r="J222" s="26">
        <v>2.0</v>
      </c>
      <c r="K222" s="27" t="s">
        <v>687</v>
      </c>
      <c r="L222" s="28"/>
      <c r="M222" s="34" t="s">
        <v>688</v>
      </c>
      <c r="N222" s="102" t="s">
        <v>689</v>
      </c>
      <c r="O222" s="31"/>
      <c r="P222" s="32">
        <v>347.0</v>
      </c>
      <c r="Q222" s="32"/>
      <c r="R222" s="32"/>
      <c r="S222" s="32"/>
      <c r="T222" s="32"/>
      <c r="U222" s="32"/>
      <c r="V222" s="32"/>
      <c r="W222" s="32"/>
      <c r="X222" s="32"/>
      <c r="Y222" s="32"/>
      <c r="Z222" s="32"/>
    </row>
    <row r="223">
      <c r="A223" s="103" t="s">
        <v>760</v>
      </c>
      <c r="B223" s="104"/>
      <c r="C223" s="22">
        <v>1.8E7</v>
      </c>
      <c r="D223" s="26">
        <v>2019.0</v>
      </c>
      <c r="E223" s="101">
        <v>43497.0</v>
      </c>
      <c r="F223" s="26" t="s">
        <v>761</v>
      </c>
      <c r="G223" s="26" t="s">
        <v>22</v>
      </c>
      <c r="H223" s="26" t="s">
        <v>51</v>
      </c>
      <c r="I223" s="28"/>
      <c r="J223" s="26">
        <v>1.0</v>
      </c>
      <c r="K223" s="27" t="str">
        <f>IF(C223&gt;100000000,C223,"")</f>
        <v/>
      </c>
      <c r="L223" s="28"/>
      <c r="M223" s="105" t="s">
        <v>725</v>
      </c>
      <c r="N223" s="106" t="s">
        <v>762</v>
      </c>
      <c r="O223" s="109"/>
      <c r="P223" s="32">
        <v>319.0</v>
      </c>
      <c r="Q223" s="32"/>
      <c r="R223" s="32"/>
      <c r="S223" s="32"/>
      <c r="T223" s="32"/>
      <c r="U223" s="32"/>
      <c r="V223" s="32"/>
      <c r="W223" s="32"/>
      <c r="X223" s="32"/>
      <c r="Y223" s="32"/>
      <c r="Z223" s="32"/>
    </row>
    <row r="224">
      <c r="A224" s="165" t="s">
        <v>1365</v>
      </c>
      <c r="B224" s="53"/>
      <c r="C224" s="22">
        <v>750000.0</v>
      </c>
      <c r="D224" s="26">
        <v>2014.0</v>
      </c>
      <c r="E224" s="101">
        <v>41883.0</v>
      </c>
      <c r="F224" s="26" t="s">
        <v>1366</v>
      </c>
      <c r="G224" s="130" t="s">
        <v>22</v>
      </c>
      <c r="H224" s="130" t="s">
        <v>23</v>
      </c>
      <c r="I224" s="28"/>
      <c r="J224" s="26">
        <v>2.0</v>
      </c>
      <c r="K224" s="57"/>
      <c r="L224" s="28"/>
      <c r="M224" s="34" t="s">
        <v>1367</v>
      </c>
      <c r="N224" s="166" t="s">
        <v>1368</v>
      </c>
      <c r="O224" s="166" t="s">
        <v>1369</v>
      </c>
      <c r="P224" s="32">
        <v>163.0</v>
      </c>
      <c r="Q224" s="32"/>
      <c r="R224" s="32"/>
      <c r="S224" s="32"/>
      <c r="T224" s="32"/>
      <c r="U224" s="32"/>
      <c r="V224" s="32"/>
      <c r="W224" s="32"/>
      <c r="X224" s="32"/>
      <c r="Y224" s="32"/>
      <c r="Z224" s="32"/>
    </row>
    <row r="225">
      <c r="A225" s="114" t="s">
        <v>1354</v>
      </c>
      <c r="B225" s="53"/>
      <c r="C225" s="22">
        <v>7.6E7</v>
      </c>
      <c r="D225" s="26">
        <v>2014.0</v>
      </c>
      <c r="E225" s="101">
        <v>41913.0</v>
      </c>
      <c r="F225" s="34" t="s">
        <v>1355</v>
      </c>
      <c r="G225" s="26" t="s">
        <v>58</v>
      </c>
      <c r="H225" s="115" t="s">
        <v>23</v>
      </c>
      <c r="I225" s="115" t="s">
        <v>29</v>
      </c>
      <c r="J225" s="26">
        <v>3.0</v>
      </c>
      <c r="K225" s="27" t="s">
        <v>1356</v>
      </c>
      <c r="L225" s="53"/>
      <c r="M225" s="53" t="s">
        <v>1357</v>
      </c>
      <c r="N225" s="116" t="s">
        <v>1358</v>
      </c>
      <c r="O225" s="19"/>
      <c r="P225" s="32">
        <v>166.0</v>
      </c>
      <c r="Q225" s="32"/>
      <c r="R225" s="32"/>
      <c r="S225" s="32"/>
      <c r="T225" s="32"/>
      <c r="U225" s="32"/>
      <c r="V225" s="32"/>
      <c r="W225" s="32"/>
      <c r="X225" s="32"/>
      <c r="Y225" s="32"/>
      <c r="Z225" s="32"/>
    </row>
    <row r="226">
      <c r="A226" s="165" t="s">
        <v>1354</v>
      </c>
      <c r="B226" s="28"/>
      <c r="C226" s="22">
        <v>2600000.0</v>
      </c>
      <c r="D226" s="26">
        <v>2007.0</v>
      </c>
      <c r="E226" s="101">
        <v>39203.0</v>
      </c>
      <c r="F226" s="26" t="s">
        <v>1958</v>
      </c>
      <c r="G226" s="26" t="s">
        <v>58</v>
      </c>
      <c r="H226" s="26" t="s">
        <v>1034</v>
      </c>
      <c r="I226" s="130" t="s">
        <v>29</v>
      </c>
      <c r="J226" s="26">
        <v>3.0</v>
      </c>
      <c r="K226" s="57"/>
      <c r="L226" s="28"/>
      <c r="M226" s="105" t="s">
        <v>1608</v>
      </c>
      <c r="N226" s="106" t="s">
        <v>1959</v>
      </c>
      <c r="O226" s="113"/>
      <c r="P226" s="32">
        <v>13.0</v>
      </c>
      <c r="Q226" s="32"/>
      <c r="R226" s="32"/>
      <c r="S226" s="32"/>
      <c r="T226" s="32"/>
      <c r="U226" s="32"/>
      <c r="V226" s="32"/>
      <c r="W226" s="32"/>
      <c r="X226" s="32"/>
      <c r="Y226" s="32"/>
      <c r="Z226" s="32"/>
    </row>
    <row r="227">
      <c r="A227" s="20" t="s">
        <v>140</v>
      </c>
      <c r="B227" s="21"/>
      <c r="C227" s="22">
        <v>1.34E7</v>
      </c>
      <c r="D227" s="26">
        <v>2024.0</v>
      </c>
      <c r="E227" s="24">
        <v>45408.0</v>
      </c>
      <c r="F227" s="38" t="s">
        <v>141</v>
      </c>
      <c r="G227" s="26" t="s">
        <v>89</v>
      </c>
      <c r="H227" s="26" t="s">
        <v>142</v>
      </c>
      <c r="I227" s="26"/>
      <c r="J227" s="26">
        <v>3.0</v>
      </c>
      <c r="K227" s="27"/>
      <c r="L227" s="28"/>
      <c r="M227" s="46" t="s">
        <v>85</v>
      </c>
      <c r="N227" s="35" t="s">
        <v>143</v>
      </c>
      <c r="O227" s="31"/>
      <c r="P227" s="32">
        <v>492.0</v>
      </c>
      <c r="Q227" s="26"/>
      <c r="R227" s="21"/>
      <c r="S227" s="21"/>
      <c r="T227" s="21"/>
      <c r="U227" s="21"/>
      <c r="V227" s="21"/>
      <c r="W227" s="21"/>
      <c r="X227" s="21"/>
      <c r="Y227" s="21"/>
      <c r="Z227" s="21"/>
    </row>
    <row r="228">
      <c r="A228" s="165" t="s">
        <v>1983</v>
      </c>
      <c r="B228" s="130" t="s">
        <v>1984</v>
      </c>
      <c r="C228" s="22">
        <v>4000000.0</v>
      </c>
      <c r="D228" s="26">
        <v>2006.0</v>
      </c>
      <c r="E228" s="101">
        <v>38869.0</v>
      </c>
      <c r="F228" s="26" t="s">
        <v>1985</v>
      </c>
      <c r="G228" s="130" t="s">
        <v>129</v>
      </c>
      <c r="H228" s="130" t="s">
        <v>23</v>
      </c>
      <c r="I228" s="130" t="s">
        <v>29</v>
      </c>
      <c r="J228" s="130">
        <v>1.0</v>
      </c>
      <c r="K228" s="57"/>
      <c r="L228" s="28"/>
      <c r="M228" s="120" t="s">
        <v>1839</v>
      </c>
      <c r="N228" s="106" t="s">
        <v>1986</v>
      </c>
      <c r="O228" s="113"/>
      <c r="P228" s="32">
        <v>7.0</v>
      </c>
      <c r="Q228" s="32"/>
      <c r="R228" s="32"/>
      <c r="S228" s="32"/>
      <c r="T228" s="32"/>
      <c r="U228" s="32"/>
      <c r="V228" s="32"/>
      <c r="W228" s="32"/>
      <c r="X228" s="32"/>
      <c r="Y228" s="32"/>
      <c r="Z228" s="32"/>
    </row>
    <row r="229">
      <c r="A229" s="165" t="s">
        <v>1481</v>
      </c>
      <c r="B229" s="130" t="s">
        <v>1482</v>
      </c>
      <c r="C229" s="22">
        <v>125000.0</v>
      </c>
      <c r="D229" s="26">
        <v>2013.0</v>
      </c>
      <c r="E229" s="101">
        <v>41365.0</v>
      </c>
      <c r="F229" s="26" t="s">
        <v>1483</v>
      </c>
      <c r="G229" s="26" t="s">
        <v>110</v>
      </c>
      <c r="H229" s="130" t="s">
        <v>23</v>
      </c>
      <c r="I229" s="28"/>
      <c r="J229" s="26">
        <v>2.0</v>
      </c>
      <c r="K229" s="57"/>
      <c r="L229" s="28"/>
      <c r="M229" s="105" t="s">
        <v>1434</v>
      </c>
      <c r="N229" s="106" t="s">
        <v>1484</v>
      </c>
      <c r="O229" s="109"/>
      <c r="P229" s="32">
        <v>133.0</v>
      </c>
      <c r="Q229" s="32"/>
      <c r="R229" s="32"/>
      <c r="S229" s="32"/>
      <c r="T229" s="32"/>
      <c r="U229" s="32"/>
      <c r="V229" s="32"/>
      <c r="W229" s="32"/>
      <c r="X229" s="32"/>
      <c r="Y229" s="32"/>
      <c r="Z229" s="32"/>
    </row>
    <row r="230">
      <c r="A230" s="147" t="s">
        <v>1162</v>
      </c>
      <c r="B230" s="148" t="s">
        <v>1163</v>
      </c>
      <c r="C230" s="149">
        <v>1500000.0</v>
      </c>
      <c r="D230" s="26">
        <v>2016.0</v>
      </c>
      <c r="E230" s="134">
        <v>42430.0</v>
      </c>
      <c r="F230" s="150" t="s">
        <v>1164</v>
      </c>
      <c r="G230" s="150" t="s">
        <v>28</v>
      </c>
      <c r="H230" s="150" t="s">
        <v>23</v>
      </c>
      <c r="I230" s="151"/>
      <c r="J230" s="150">
        <v>4.0</v>
      </c>
      <c r="K230" s="57"/>
      <c r="L230" s="151"/>
      <c r="M230" s="53" t="s">
        <v>886</v>
      </c>
      <c r="N230" s="106" t="s">
        <v>1165</v>
      </c>
      <c r="O230" s="113"/>
      <c r="P230" s="32">
        <v>213.0</v>
      </c>
      <c r="Q230" s="32"/>
      <c r="R230" s="32"/>
      <c r="S230" s="32"/>
      <c r="T230" s="32"/>
      <c r="U230" s="32"/>
      <c r="V230" s="32"/>
      <c r="W230" s="32"/>
      <c r="X230" s="32"/>
      <c r="Y230" s="32"/>
      <c r="Z230" s="32"/>
    </row>
    <row r="231">
      <c r="A231" s="114" t="s">
        <v>1380</v>
      </c>
      <c r="B231" s="53"/>
      <c r="C231" s="22">
        <v>2.0E7</v>
      </c>
      <c r="D231" s="26">
        <v>2014.0</v>
      </c>
      <c r="E231" s="101">
        <v>41640.0</v>
      </c>
      <c r="F231" s="34" t="s">
        <v>1381</v>
      </c>
      <c r="G231" s="26" t="s">
        <v>58</v>
      </c>
      <c r="H231" s="115" t="s">
        <v>59</v>
      </c>
      <c r="I231" s="53"/>
      <c r="J231" s="26">
        <v>5.0</v>
      </c>
      <c r="K231" s="57"/>
      <c r="L231" s="53"/>
      <c r="M231" s="53" t="s">
        <v>1382</v>
      </c>
      <c r="N231" s="116" t="s">
        <v>1383</v>
      </c>
      <c r="O231" s="19"/>
      <c r="P231" s="32">
        <v>159.0</v>
      </c>
      <c r="Q231" s="32"/>
      <c r="R231" s="32"/>
      <c r="S231" s="32"/>
      <c r="T231" s="32"/>
      <c r="U231" s="32"/>
      <c r="V231" s="32"/>
      <c r="W231" s="32"/>
      <c r="X231" s="32"/>
      <c r="Y231" s="32"/>
      <c r="Z231" s="32"/>
    </row>
    <row r="232">
      <c r="A232" s="212" t="s">
        <v>83</v>
      </c>
      <c r="B232" s="226"/>
      <c r="C232" s="214">
        <v>161676.0</v>
      </c>
      <c r="D232" s="215">
        <v>2024.0</v>
      </c>
      <c r="E232" s="216">
        <v>45620.0</v>
      </c>
      <c r="F232" s="227" t="s">
        <v>84</v>
      </c>
      <c r="G232" s="215" t="s">
        <v>43</v>
      </c>
      <c r="H232" s="215" t="s">
        <v>23</v>
      </c>
      <c r="I232" s="215"/>
      <c r="J232" s="215">
        <v>3.0</v>
      </c>
      <c r="K232" s="218"/>
      <c r="L232" s="219"/>
      <c r="M232" s="220" t="s">
        <v>85</v>
      </c>
      <c r="N232" s="229" t="s">
        <v>86</v>
      </c>
      <c r="O232" s="222"/>
      <c r="P232" s="223">
        <v>509.0</v>
      </c>
      <c r="Q232" s="215"/>
      <c r="R232" s="224"/>
      <c r="S232" s="224"/>
      <c r="T232" s="224"/>
      <c r="U232" s="224"/>
      <c r="V232" s="224"/>
      <c r="W232" s="224"/>
      <c r="X232" s="224"/>
      <c r="Y232" s="224"/>
      <c r="Z232" s="224"/>
    </row>
    <row r="233">
      <c r="A233" s="20" t="s">
        <v>1235</v>
      </c>
      <c r="B233" s="26" t="s">
        <v>1236</v>
      </c>
      <c r="C233" s="22">
        <v>1.3E7</v>
      </c>
      <c r="D233" s="26">
        <v>2015.0</v>
      </c>
      <c r="E233" s="101">
        <v>42339.0</v>
      </c>
      <c r="F233" s="26" t="s">
        <v>1237</v>
      </c>
      <c r="G233" s="26" t="s">
        <v>28</v>
      </c>
      <c r="H233" s="26" t="s">
        <v>23</v>
      </c>
      <c r="I233" s="28"/>
      <c r="J233" s="26">
        <v>1.0</v>
      </c>
      <c r="K233" s="57"/>
      <c r="L233" s="28"/>
      <c r="M233" s="34" t="s">
        <v>147</v>
      </c>
      <c r="N233" s="106" t="s">
        <v>1238</v>
      </c>
      <c r="O233" s="106" t="s">
        <v>1239</v>
      </c>
      <c r="P233" s="32">
        <v>195.0</v>
      </c>
      <c r="Q233" s="32"/>
      <c r="R233" s="32"/>
      <c r="S233" s="32"/>
      <c r="T233" s="32"/>
      <c r="U233" s="32"/>
      <c r="V233" s="32"/>
      <c r="W233" s="32"/>
      <c r="X233" s="32"/>
      <c r="Y233" s="32"/>
      <c r="Z233" s="32"/>
    </row>
    <row r="234">
      <c r="A234" s="114" t="s">
        <v>1583</v>
      </c>
      <c r="B234" s="115" t="s">
        <v>1584</v>
      </c>
      <c r="C234" s="22">
        <v>8700000.0</v>
      </c>
      <c r="D234" s="26">
        <v>2012.0</v>
      </c>
      <c r="E234" s="101">
        <v>41091.0</v>
      </c>
      <c r="F234" s="34" t="s">
        <v>1585</v>
      </c>
      <c r="G234" s="130" t="s">
        <v>129</v>
      </c>
      <c r="H234" s="115" t="s">
        <v>23</v>
      </c>
      <c r="I234" s="53"/>
      <c r="J234" s="26">
        <v>2.0</v>
      </c>
      <c r="K234" s="57"/>
      <c r="L234" s="53"/>
      <c r="M234" s="34" t="s">
        <v>1586</v>
      </c>
      <c r="N234" s="135" t="s">
        <v>1587</v>
      </c>
      <c r="O234" s="116" t="s">
        <v>1588</v>
      </c>
      <c r="P234" s="32">
        <v>108.0</v>
      </c>
      <c r="Q234" s="32"/>
      <c r="R234" s="32"/>
      <c r="S234" s="32"/>
      <c r="T234" s="32"/>
      <c r="U234" s="32"/>
      <c r="V234" s="32"/>
      <c r="W234" s="32"/>
      <c r="X234" s="32"/>
      <c r="Y234" s="32"/>
      <c r="Z234" s="32"/>
    </row>
    <row r="235">
      <c r="A235" s="44" t="s">
        <v>1592</v>
      </c>
      <c r="B235" s="26" t="s">
        <v>1593</v>
      </c>
      <c r="C235" s="22">
        <v>4.35E7</v>
      </c>
      <c r="D235" s="26">
        <v>2012.0</v>
      </c>
      <c r="E235" s="101">
        <v>42614.0</v>
      </c>
      <c r="F235" s="26" t="s">
        <v>1594</v>
      </c>
      <c r="G235" s="26" t="s">
        <v>28</v>
      </c>
      <c r="H235" s="26" t="s">
        <v>23</v>
      </c>
      <c r="I235" s="28"/>
      <c r="J235" s="26">
        <v>1.0</v>
      </c>
      <c r="K235" s="57"/>
      <c r="L235" s="28"/>
      <c r="M235" s="53" t="s">
        <v>608</v>
      </c>
      <c r="N235" s="106" t="s">
        <v>1595</v>
      </c>
      <c r="O235" s="106" t="s">
        <v>1596</v>
      </c>
      <c r="P235" s="32">
        <v>106.0</v>
      </c>
      <c r="Q235" s="32"/>
      <c r="R235" s="32"/>
      <c r="S235" s="32"/>
      <c r="T235" s="32"/>
      <c r="U235" s="32"/>
      <c r="V235" s="32"/>
      <c r="W235" s="32"/>
      <c r="X235" s="32"/>
      <c r="Y235" s="32"/>
      <c r="Z235" s="32"/>
    </row>
    <row r="236">
      <c r="A236" s="20" t="s">
        <v>403</v>
      </c>
      <c r="B236" s="47"/>
      <c r="C236" s="22">
        <v>3.3E7</v>
      </c>
      <c r="D236" s="26">
        <v>2022.0</v>
      </c>
      <c r="E236" s="24">
        <v>44774.0</v>
      </c>
      <c r="F236" s="40" t="s">
        <v>404</v>
      </c>
      <c r="G236" s="26" t="s">
        <v>28</v>
      </c>
      <c r="H236" s="26" t="s">
        <v>23</v>
      </c>
      <c r="I236" s="26"/>
      <c r="J236" s="26">
        <v>2.0</v>
      </c>
      <c r="K236" s="27"/>
      <c r="L236" s="28"/>
      <c r="M236" s="34" t="s">
        <v>34</v>
      </c>
      <c r="N236" s="48" t="s">
        <v>405</v>
      </c>
      <c r="O236" s="35" t="s">
        <v>406</v>
      </c>
      <c r="P236" s="32">
        <v>423.0</v>
      </c>
      <c r="Q236" s="34"/>
      <c r="R236" s="32"/>
      <c r="S236" s="32"/>
      <c r="T236" s="32"/>
      <c r="U236" s="32"/>
      <c r="V236" s="32"/>
      <c r="W236" s="32"/>
      <c r="X236" s="32"/>
      <c r="Y236" s="32"/>
      <c r="Z236" s="32"/>
    </row>
    <row r="237">
      <c r="A237" s="20" t="s">
        <v>374</v>
      </c>
      <c r="B237" s="51"/>
      <c r="C237" s="22">
        <v>1.4E7</v>
      </c>
      <c r="D237" s="26">
        <v>2023.0</v>
      </c>
      <c r="E237" s="24">
        <v>45017.0</v>
      </c>
      <c r="F237" s="26" t="s">
        <v>375</v>
      </c>
      <c r="G237" s="26" t="s">
        <v>58</v>
      </c>
      <c r="H237" s="26" t="s">
        <v>23</v>
      </c>
      <c r="I237" s="28"/>
      <c r="J237" s="26">
        <v>2.0</v>
      </c>
      <c r="K237" s="27"/>
      <c r="L237" s="28"/>
      <c r="M237" s="34" t="s">
        <v>376</v>
      </c>
      <c r="N237" s="35" t="s">
        <v>377</v>
      </c>
      <c r="O237" s="31"/>
      <c r="P237" s="32">
        <v>430.0</v>
      </c>
      <c r="Q237" s="26"/>
      <c r="R237" s="32"/>
      <c r="S237" s="32"/>
      <c r="T237" s="32"/>
      <c r="U237" s="32"/>
      <c r="V237" s="32"/>
      <c r="W237" s="32"/>
      <c r="X237" s="32"/>
      <c r="Y237" s="32"/>
      <c r="Z237" s="32"/>
    </row>
    <row r="238">
      <c r="A238" s="20" t="s">
        <v>593</v>
      </c>
      <c r="B238" s="51"/>
      <c r="C238" s="22">
        <v>270000.0</v>
      </c>
      <c r="D238" s="26">
        <v>2020.0</v>
      </c>
      <c r="E238" s="101">
        <v>44166.0</v>
      </c>
      <c r="F238" s="26" t="s">
        <v>594</v>
      </c>
      <c r="G238" s="26" t="s">
        <v>58</v>
      </c>
      <c r="H238" s="26" t="s">
        <v>23</v>
      </c>
      <c r="I238" s="26"/>
      <c r="J238" s="26">
        <v>2.0</v>
      </c>
      <c r="K238" s="27"/>
      <c r="L238" s="28"/>
      <c r="M238" s="34" t="s">
        <v>85</v>
      </c>
      <c r="N238" s="100" t="s">
        <v>595</v>
      </c>
      <c r="O238" s="31"/>
      <c r="P238" s="32">
        <v>370.0</v>
      </c>
      <c r="Q238" s="32"/>
      <c r="R238" s="32"/>
      <c r="S238" s="32"/>
      <c r="T238" s="32"/>
      <c r="U238" s="32"/>
      <c r="V238" s="32"/>
      <c r="W238" s="32"/>
      <c r="X238" s="32"/>
      <c r="Y238" s="32"/>
      <c r="Z238" s="32"/>
    </row>
    <row r="239">
      <c r="A239" s="226" t="s">
        <v>36</v>
      </c>
      <c r="B239" s="224"/>
      <c r="C239" s="214">
        <v>39000.0</v>
      </c>
      <c r="D239" s="215">
        <v>2025.0</v>
      </c>
      <c r="E239" s="216">
        <v>45691.0</v>
      </c>
      <c r="F239" s="233" t="s">
        <v>37</v>
      </c>
      <c r="G239" s="215" t="s">
        <v>38</v>
      </c>
      <c r="H239" s="215" t="s">
        <v>23</v>
      </c>
      <c r="I239" s="215"/>
      <c r="J239" s="215">
        <v>2.0</v>
      </c>
      <c r="K239" s="218"/>
      <c r="L239" s="219"/>
      <c r="M239" s="234" t="s">
        <v>39</v>
      </c>
      <c r="N239" s="221" t="s">
        <v>40</v>
      </c>
      <c r="O239" s="222"/>
      <c r="P239" s="223">
        <v>521.0</v>
      </c>
      <c r="Q239" s="215"/>
      <c r="R239" s="224"/>
      <c r="S239" s="224"/>
      <c r="T239" s="224"/>
      <c r="U239" s="224"/>
      <c r="V239" s="224"/>
      <c r="W239" s="224"/>
      <c r="X239" s="224"/>
      <c r="Y239" s="224"/>
      <c r="Z239" s="224"/>
    </row>
    <row r="240">
      <c r="A240" s="226" t="s">
        <v>48</v>
      </c>
      <c r="B240" s="224"/>
      <c r="C240" s="214">
        <v>364000.0</v>
      </c>
      <c r="D240" s="215">
        <v>2024.0</v>
      </c>
      <c r="E240" s="216">
        <v>45651.0</v>
      </c>
      <c r="F240" s="227" t="s">
        <v>49</v>
      </c>
      <c r="G240" s="215" t="s">
        <v>50</v>
      </c>
      <c r="H240" s="215" t="s">
        <v>51</v>
      </c>
      <c r="I240" s="215"/>
      <c r="J240" s="215">
        <v>2.0</v>
      </c>
      <c r="K240" s="218"/>
      <c r="L240" s="219"/>
      <c r="M240" s="220" t="s">
        <v>39</v>
      </c>
      <c r="N240" s="221" t="s">
        <v>52</v>
      </c>
      <c r="O240" s="222"/>
      <c r="P240" s="223">
        <v>518.0</v>
      </c>
      <c r="Q240" s="215"/>
      <c r="R240" s="224"/>
      <c r="S240" s="224"/>
      <c r="T240" s="224"/>
      <c r="U240" s="224"/>
      <c r="V240" s="224"/>
      <c r="W240" s="224"/>
      <c r="X240" s="224"/>
      <c r="Y240" s="224"/>
      <c r="Z240" s="224"/>
    </row>
    <row r="241">
      <c r="A241" s="114" t="s">
        <v>1806</v>
      </c>
      <c r="B241" s="28"/>
      <c r="C241" s="22">
        <v>130495.0</v>
      </c>
      <c r="D241" s="26">
        <v>2010.0</v>
      </c>
      <c r="E241" s="101">
        <v>40330.0</v>
      </c>
      <c r="F241" s="26" t="s">
        <v>1807</v>
      </c>
      <c r="G241" s="26" t="s">
        <v>258</v>
      </c>
      <c r="H241" s="26" t="s">
        <v>1034</v>
      </c>
      <c r="I241" s="28"/>
      <c r="J241" s="26">
        <v>4.0</v>
      </c>
      <c r="K241" s="57"/>
      <c r="L241" s="28"/>
      <c r="M241" s="34" t="s">
        <v>1808</v>
      </c>
      <c r="N241" s="135" t="s">
        <v>1809</v>
      </c>
      <c r="O241" s="136"/>
      <c r="P241" s="32">
        <v>52.0</v>
      </c>
      <c r="Q241" s="32"/>
      <c r="R241" s="32"/>
      <c r="S241" s="32"/>
      <c r="T241" s="32"/>
      <c r="U241" s="32"/>
      <c r="V241" s="32"/>
      <c r="W241" s="32"/>
      <c r="X241" s="32"/>
      <c r="Y241" s="32"/>
      <c r="Z241" s="32"/>
    </row>
    <row r="242">
      <c r="A242" s="62" t="s">
        <v>457</v>
      </c>
      <c r="B242" s="78"/>
      <c r="C242" s="64">
        <v>133000.0</v>
      </c>
      <c r="D242" s="68">
        <v>2021.0</v>
      </c>
      <c r="E242" s="66">
        <v>44531.0</v>
      </c>
      <c r="F242" s="85"/>
      <c r="G242" s="26" t="s">
        <v>58</v>
      </c>
      <c r="H242" s="68" t="s">
        <v>380</v>
      </c>
      <c r="I242" s="68"/>
      <c r="J242" s="68">
        <v>2.0</v>
      </c>
      <c r="K242" s="69"/>
      <c r="L242" s="70"/>
      <c r="M242" s="71" t="s">
        <v>227</v>
      </c>
      <c r="N242" s="72" t="s">
        <v>458</v>
      </c>
      <c r="O242" s="73"/>
      <c r="P242" s="74">
        <v>408.0</v>
      </c>
      <c r="Q242" s="74"/>
      <c r="R242" s="74"/>
      <c r="S242" s="74"/>
      <c r="T242" s="74"/>
      <c r="U242" s="74"/>
      <c r="V242" s="74"/>
      <c r="W242" s="74"/>
      <c r="X242" s="74"/>
      <c r="Y242" s="74"/>
      <c r="Z242" s="74"/>
    </row>
    <row r="243">
      <c r="A243" s="20" t="s">
        <v>536</v>
      </c>
      <c r="B243" s="98"/>
      <c r="C243" s="22">
        <v>7.0E8</v>
      </c>
      <c r="D243" s="26">
        <v>2021.0</v>
      </c>
      <c r="E243" s="91">
        <v>44378.0</v>
      </c>
      <c r="F243" s="67" t="s">
        <v>537</v>
      </c>
      <c r="G243" s="26" t="s">
        <v>409</v>
      </c>
      <c r="H243" s="26" t="s">
        <v>23</v>
      </c>
      <c r="I243" s="26"/>
      <c r="J243" s="26">
        <v>1.0</v>
      </c>
      <c r="K243" s="27" t="s">
        <v>538</v>
      </c>
      <c r="L243" s="28"/>
      <c r="M243" s="34" t="s">
        <v>539</v>
      </c>
      <c r="N243" s="92" t="s">
        <v>540</v>
      </c>
      <c r="O243" s="31"/>
      <c r="P243" s="32">
        <v>385.0</v>
      </c>
      <c r="Q243" s="32"/>
      <c r="R243" s="32"/>
      <c r="S243" s="32"/>
      <c r="T243" s="32"/>
      <c r="U243" s="32"/>
      <c r="V243" s="32"/>
      <c r="W243" s="32"/>
      <c r="X243" s="32"/>
      <c r="Y243" s="32"/>
      <c r="Z243" s="32"/>
    </row>
    <row r="244">
      <c r="A244" s="20" t="s">
        <v>1085</v>
      </c>
      <c r="B244" s="138"/>
      <c r="C244" s="22">
        <v>1.17E8</v>
      </c>
      <c r="D244" s="26">
        <v>2016.0</v>
      </c>
      <c r="E244" s="101">
        <v>42491.0</v>
      </c>
      <c r="F244" s="26" t="s">
        <v>1086</v>
      </c>
      <c r="G244" s="26" t="s">
        <v>28</v>
      </c>
      <c r="H244" s="26" t="s">
        <v>23</v>
      </c>
      <c r="I244" s="28"/>
      <c r="J244" s="26">
        <v>1.0</v>
      </c>
      <c r="K244" s="27" t="s">
        <v>1087</v>
      </c>
      <c r="L244" s="28"/>
      <c r="M244" s="53" t="s">
        <v>1088</v>
      </c>
      <c r="N244" s="106" t="s">
        <v>1089</v>
      </c>
      <c r="O244" s="106" t="s">
        <v>1090</v>
      </c>
      <c r="P244" s="32">
        <v>232.0</v>
      </c>
      <c r="Q244" s="32"/>
      <c r="R244" s="32"/>
      <c r="S244" s="32"/>
      <c r="T244" s="32"/>
      <c r="U244" s="32"/>
      <c r="V244" s="32"/>
      <c r="W244" s="32"/>
      <c r="X244" s="32"/>
      <c r="Y244" s="32"/>
      <c r="Z244" s="32"/>
    </row>
    <row r="245">
      <c r="A245" s="114" t="s">
        <v>1597</v>
      </c>
      <c r="B245" s="53"/>
      <c r="C245" s="22">
        <v>8000000.0</v>
      </c>
      <c r="D245" s="26">
        <v>2012.0</v>
      </c>
      <c r="E245" s="101">
        <v>41061.0</v>
      </c>
      <c r="F245" s="34" t="s">
        <v>1598</v>
      </c>
      <c r="G245" s="130" t="s">
        <v>28</v>
      </c>
      <c r="H245" s="26" t="s">
        <v>23</v>
      </c>
      <c r="I245" s="53"/>
      <c r="J245" s="26">
        <v>1.0</v>
      </c>
      <c r="K245" s="57"/>
      <c r="L245" s="53"/>
      <c r="M245" s="53" t="s">
        <v>1599</v>
      </c>
      <c r="N245" s="135" t="s">
        <v>1600</v>
      </c>
      <c r="O245" s="136"/>
      <c r="P245" s="32">
        <v>105.0</v>
      </c>
      <c r="Q245" s="32"/>
      <c r="R245" s="32"/>
      <c r="S245" s="32"/>
      <c r="T245" s="32"/>
      <c r="U245" s="32"/>
      <c r="V245" s="32"/>
      <c r="W245" s="32"/>
      <c r="X245" s="32"/>
      <c r="Y245" s="32"/>
      <c r="Z245" s="32"/>
    </row>
    <row r="246">
      <c r="A246" s="144" t="s">
        <v>1135</v>
      </c>
      <c r="B246" s="142"/>
      <c r="C246" s="119">
        <v>2000000.0</v>
      </c>
      <c r="D246" s="26">
        <v>2016.0</v>
      </c>
      <c r="E246" s="101">
        <v>42552.0</v>
      </c>
      <c r="F246" s="34" t="s">
        <v>1136</v>
      </c>
      <c r="G246" s="28" t="s">
        <v>28</v>
      </c>
      <c r="H246" s="28" t="s">
        <v>23</v>
      </c>
      <c r="I246" s="53"/>
      <c r="J246" s="28">
        <v>1.0</v>
      </c>
      <c r="K246" s="57"/>
      <c r="L246" s="53"/>
      <c r="M246" s="34" t="s">
        <v>575</v>
      </c>
      <c r="N246" s="106" t="s">
        <v>1137</v>
      </c>
      <c r="O246" s="117"/>
      <c r="P246" s="32">
        <v>220.0</v>
      </c>
      <c r="Q246" s="32"/>
      <c r="R246" s="32"/>
      <c r="S246" s="32"/>
      <c r="T246" s="32"/>
      <c r="U246" s="32"/>
      <c r="V246" s="32"/>
      <c r="W246" s="32"/>
      <c r="X246" s="32"/>
      <c r="Y246" s="32"/>
      <c r="Z246" s="32"/>
    </row>
    <row r="247">
      <c r="A247" s="165" t="s">
        <v>1415</v>
      </c>
      <c r="B247" s="130" t="s">
        <v>1416</v>
      </c>
      <c r="C247" s="22">
        <v>5.0E7</v>
      </c>
      <c r="D247" s="26">
        <v>2013.0</v>
      </c>
      <c r="E247" s="101">
        <v>41365.0</v>
      </c>
      <c r="F247" s="26" t="s">
        <v>1417</v>
      </c>
      <c r="G247" s="130" t="s">
        <v>28</v>
      </c>
      <c r="H247" s="130" t="s">
        <v>23</v>
      </c>
      <c r="I247" s="28"/>
      <c r="J247" s="26">
        <v>1.0</v>
      </c>
      <c r="K247" s="57"/>
      <c r="L247" s="28"/>
      <c r="M247" s="34" t="s">
        <v>1418</v>
      </c>
      <c r="N247" s="116" t="s">
        <v>1419</v>
      </c>
      <c r="O247" s="166" t="s">
        <v>1420</v>
      </c>
      <c r="P247" s="32">
        <v>151.0</v>
      </c>
      <c r="Q247" s="32"/>
      <c r="R247" s="32"/>
      <c r="S247" s="32"/>
      <c r="T247" s="32"/>
      <c r="U247" s="32"/>
      <c r="V247" s="32"/>
      <c r="W247" s="32"/>
      <c r="X247" s="32"/>
      <c r="Y247" s="32"/>
      <c r="Z247" s="32"/>
    </row>
    <row r="248">
      <c r="A248" s="20" t="s">
        <v>929</v>
      </c>
      <c r="B248" s="26" t="s">
        <v>930</v>
      </c>
      <c r="C248" s="22">
        <v>4.8E7</v>
      </c>
      <c r="D248" s="26">
        <v>2018.0</v>
      </c>
      <c r="E248" s="101">
        <v>43221.0</v>
      </c>
      <c r="F248" s="26" t="s">
        <v>931</v>
      </c>
      <c r="G248" s="26" t="s">
        <v>28</v>
      </c>
      <c r="H248" s="26" t="s">
        <v>51</v>
      </c>
      <c r="I248" s="28"/>
      <c r="J248" s="26">
        <v>2.0</v>
      </c>
      <c r="K248" s="57"/>
      <c r="L248" s="110"/>
      <c r="M248" s="26" t="s">
        <v>932</v>
      </c>
      <c r="N248" s="106" t="s">
        <v>933</v>
      </c>
      <c r="O248" s="113"/>
      <c r="P248" s="32">
        <v>272.0</v>
      </c>
      <c r="Q248" s="32"/>
      <c r="R248" s="32"/>
      <c r="S248" s="32"/>
      <c r="T248" s="32"/>
      <c r="U248" s="32"/>
      <c r="V248" s="32"/>
      <c r="W248" s="32"/>
      <c r="X248" s="32"/>
      <c r="Y248" s="32"/>
      <c r="Z248" s="32"/>
    </row>
    <row r="249">
      <c r="A249" s="44" t="s">
        <v>1130</v>
      </c>
      <c r="B249" s="26" t="s">
        <v>1131</v>
      </c>
      <c r="C249" s="22">
        <v>9500000.0</v>
      </c>
      <c r="D249" s="26">
        <v>2016.0</v>
      </c>
      <c r="E249" s="101">
        <v>42705.0</v>
      </c>
      <c r="F249" s="26" t="s">
        <v>1132</v>
      </c>
      <c r="G249" s="26" t="s">
        <v>28</v>
      </c>
      <c r="H249" s="26" t="s">
        <v>23</v>
      </c>
      <c r="I249" s="28"/>
      <c r="J249" s="26">
        <v>1.0</v>
      </c>
      <c r="K249" s="57"/>
      <c r="L249" s="28"/>
      <c r="M249" s="53" t="s">
        <v>1133</v>
      </c>
      <c r="N249" s="106" t="s">
        <v>1134</v>
      </c>
      <c r="O249" s="113"/>
      <c r="P249" s="32">
        <v>221.0</v>
      </c>
      <c r="Q249" s="32"/>
      <c r="R249" s="32"/>
      <c r="S249" s="32"/>
      <c r="T249" s="32"/>
      <c r="U249" s="32"/>
      <c r="V249" s="32"/>
      <c r="W249" s="32"/>
      <c r="X249" s="32"/>
      <c r="Y249" s="32"/>
      <c r="Z249" s="32"/>
    </row>
    <row r="250">
      <c r="A250" s="20" t="s">
        <v>544</v>
      </c>
      <c r="B250" s="98"/>
      <c r="C250" s="22">
        <v>1.0E7</v>
      </c>
      <c r="D250" s="26">
        <v>2021.0</v>
      </c>
      <c r="E250" s="91">
        <v>44348.0</v>
      </c>
      <c r="F250" s="67" t="s">
        <v>545</v>
      </c>
      <c r="G250" s="26" t="s">
        <v>43</v>
      </c>
      <c r="H250" s="26" t="s">
        <v>23</v>
      </c>
      <c r="I250" s="26"/>
      <c r="J250" s="26">
        <v>2.0</v>
      </c>
      <c r="K250" s="27" t="s">
        <v>360</v>
      </c>
      <c r="L250" s="28"/>
      <c r="M250" s="34" t="s">
        <v>546</v>
      </c>
      <c r="N250" s="92" t="s">
        <v>547</v>
      </c>
      <c r="O250" s="31"/>
      <c r="P250" s="32">
        <v>383.0</v>
      </c>
      <c r="Q250" s="32"/>
      <c r="R250" s="32"/>
      <c r="S250" s="32"/>
      <c r="T250" s="32"/>
      <c r="U250" s="32"/>
      <c r="V250" s="32"/>
      <c r="W250" s="32"/>
      <c r="X250" s="32"/>
      <c r="Y250" s="32"/>
      <c r="Z250" s="32"/>
    </row>
    <row r="251">
      <c r="A251" s="181" t="s">
        <v>1503</v>
      </c>
      <c r="B251" s="28"/>
      <c r="C251" s="22">
        <v>860000.0</v>
      </c>
      <c r="D251" s="26">
        <v>2013.0</v>
      </c>
      <c r="E251" s="101">
        <v>41579.0</v>
      </c>
      <c r="F251" s="98" t="s">
        <v>1504</v>
      </c>
      <c r="G251" s="130" t="s">
        <v>28</v>
      </c>
      <c r="H251" s="130" t="s">
        <v>23</v>
      </c>
      <c r="I251" s="28"/>
      <c r="J251" s="130">
        <v>1.0</v>
      </c>
      <c r="K251" s="57"/>
      <c r="L251" s="28"/>
      <c r="M251" s="53" t="s">
        <v>410</v>
      </c>
      <c r="N251" s="106" t="s">
        <v>1505</v>
      </c>
      <c r="O251" s="113"/>
      <c r="P251" s="32">
        <v>128.0</v>
      </c>
      <c r="Q251" s="32"/>
      <c r="R251" s="32"/>
      <c r="S251" s="32"/>
      <c r="T251" s="32"/>
      <c r="U251" s="32"/>
      <c r="V251" s="32"/>
      <c r="W251" s="32"/>
      <c r="X251" s="32"/>
      <c r="Y251" s="32"/>
      <c r="Z251" s="32"/>
    </row>
    <row r="252">
      <c r="A252" s="20" t="s">
        <v>1123</v>
      </c>
      <c r="B252" s="26" t="s">
        <v>1124</v>
      </c>
      <c r="C252" s="22">
        <v>2.5E7</v>
      </c>
      <c r="D252" s="26">
        <v>2016.0</v>
      </c>
      <c r="E252" s="101">
        <v>42583.0</v>
      </c>
      <c r="F252" s="26" t="s">
        <v>1125</v>
      </c>
      <c r="G252" s="26" t="s">
        <v>28</v>
      </c>
      <c r="H252" s="26" t="s">
        <v>23</v>
      </c>
      <c r="I252" s="28"/>
      <c r="J252" s="26">
        <v>2.0</v>
      </c>
      <c r="K252" s="57"/>
      <c r="L252" s="28"/>
      <c r="M252" s="53" t="s">
        <v>608</v>
      </c>
      <c r="N252" s="106" t="s">
        <v>1126</v>
      </c>
      <c r="O252" s="113"/>
      <c r="P252" s="32">
        <v>223.0</v>
      </c>
      <c r="Q252" s="32"/>
      <c r="R252" s="32"/>
      <c r="S252" s="32"/>
      <c r="T252" s="32"/>
      <c r="U252" s="32"/>
      <c r="V252" s="32"/>
      <c r="W252" s="32"/>
      <c r="X252" s="32"/>
      <c r="Y252" s="32"/>
      <c r="Z252" s="32"/>
    </row>
    <row r="253">
      <c r="A253" s="62" t="s">
        <v>432</v>
      </c>
      <c r="B253" s="63"/>
      <c r="C253" s="64">
        <v>106586.0</v>
      </c>
      <c r="D253" s="68">
        <v>2022.0</v>
      </c>
      <c r="E253" s="66">
        <v>44652.0</v>
      </c>
      <c r="F253" s="71" t="s">
        <v>433</v>
      </c>
      <c r="G253" s="68" t="s">
        <v>50</v>
      </c>
      <c r="H253" s="68" t="s">
        <v>23</v>
      </c>
      <c r="I253" s="68"/>
      <c r="J253" s="68">
        <v>1.0</v>
      </c>
      <c r="K253" s="69"/>
      <c r="L253" s="70"/>
      <c r="M253" s="71" t="s">
        <v>85</v>
      </c>
      <c r="N253" s="77" t="s">
        <v>434</v>
      </c>
      <c r="O253" s="73"/>
      <c r="P253" s="74">
        <v>415.0</v>
      </c>
      <c r="Q253" s="74"/>
      <c r="R253" s="74"/>
      <c r="S253" s="74"/>
      <c r="T253" s="74"/>
      <c r="U253" s="74"/>
      <c r="V253" s="74"/>
      <c r="W253" s="74"/>
      <c r="X253" s="74"/>
      <c r="Y253" s="74"/>
      <c r="Z253" s="74"/>
    </row>
    <row r="254">
      <c r="A254" s="20" t="s">
        <v>253</v>
      </c>
      <c r="B254" s="47"/>
      <c r="C254" s="22">
        <v>1300000.0</v>
      </c>
      <c r="D254" s="26">
        <v>2023.0</v>
      </c>
      <c r="E254" s="24">
        <v>45069.0</v>
      </c>
      <c r="F254" s="25" t="s">
        <v>254</v>
      </c>
      <c r="G254" s="26" t="s">
        <v>64</v>
      </c>
      <c r="H254" s="26" t="s">
        <v>23</v>
      </c>
      <c r="I254" s="26"/>
      <c r="J254" s="26">
        <v>4.0</v>
      </c>
      <c r="K254" s="27"/>
      <c r="L254" s="28"/>
      <c r="M254" s="34" t="s">
        <v>34</v>
      </c>
      <c r="N254" s="48" t="s">
        <v>255</v>
      </c>
      <c r="O254" s="31"/>
      <c r="P254" s="32">
        <v>462.0</v>
      </c>
      <c r="Q254" s="34"/>
      <c r="R254" s="32"/>
      <c r="S254" s="32"/>
      <c r="T254" s="32"/>
      <c r="U254" s="32"/>
      <c r="V254" s="32"/>
      <c r="W254" s="32"/>
      <c r="X254" s="32"/>
      <c r="Y254" s="32"/>
      <c r="Z254" s="32"/>
    </row>
    <row r="255">
      <c r="A255" s="20" t="s">
        <v>1064</v>
      </c>
      <c r="B255" s="26"/>
      <c r="C255" s="22">
        <v>81309.0</v>
      </c>
      <c r="D255" s="150">
        <v>2017.0</v>
      </c>
      <c r="E255" s="101">
        <v>43009.0</v>
      </c>
      <c r="F255" s="26" t="s">
        <v>1065</v>
      </c>
      <c r="G255" s="26" t="s">
        <v>258</v>
      </c>
      <c r="H255" s="26" t="s">
        <v>23</v>
      </c>
      <c r="I255" s="28"/>
      <c r="J255" s="26">
        <v>4.0</v>
      </c>
      <c r="K255" s="57"/>
      <c r="L255" s="110"/>
      <c r="M255" s="26" t="s">
        <v>1066</v>
      </c>
      <c r="N255" s="106" t="s">
        <v>1067</v>
      </c>
      <c r="O255" s="113"/>
      <c r="P255" s="32">
        <v>237.0</v>
      </c>
      <c r="Q255" s="32"/>
      <c r="R255" s="32"/>
      <c r="S255" s="32"/>
      <c r="T255" s="32"/>
      <c r="U255" s="32"/>
      <c r="V255" s="32"/>
      <c r="W255" s="32"/>
      <c r="X255" s="32"/>
      <c r="Y255" s="32"/>
      <c r="Z255" s="32"/>
    </row>
    <row r="256">
      <c r="A256" s="20" t="s">
        <v>1060</v>
      </c>
      <c r="B256" s="26"/>
      <c r="C256" s="22">
        <v>4.62E7</v>
      </c>
      <c r="D256" s="150">
        <v>2017.0</v>
      </c>
      <c r="E256" s="101">
        <v>43009.0</v>
      </c>
      <c r="F256" s="26" t="s">
        <v>1061</v>
      </c>
      <c r="G256" s="26" t="s">
        <v>129</v>
      </c>
      <c r="H256" s="26" t="s">
        <v>23</v>
      </c>
      <c r="I256" s="28"/>
      <c r="J256" s="26">
        <v>4.0</v>
      </c>
      <c r="K256" s="57"/>
      <c r="L256" s="110"/>
      <c r="M256" s="26" t="s">
        <v>1062</v>
      </c>
      <c r="N256" s="106" t="s">
        <v>1063</v>
      </c>
      <c r="O256" s="113"/>
      <c r="P256" s="32">
        <v>238.0</v>
      </c>
      <c r="Q256" s="32"/>
      <c r="R256" s="32"/>
      <c r="S256" s="32"/>
      <c r="T256" s="32"/>
      <c r="U256" s="32"/>
      <c r="V256" s="32"/>
      <c r="W256" s="32"/>
      <c r="X256" s="32"/>
      <c r="Y256" s="32"/>
      <c r="Z256" s="32"/>
    </row>
    <row r="257">
      <c r="A257" s="20" t="s">
        <v>675</v>
      </c>
      <c r="B257" s="51"/>
      <c r="C257" s="22">
        <v>5200000.0</v>
      </c>
      <c r="D257" s="26">
        <v>2020.0</v>
      </c>
      <c r="E257" s="101">
        <v>43891.0</v>
      </c>
      <c r="F257" s="26" t="s">
        <v>676</v>
      </c>
      <c r="G257" s="26" t="s">
        <v>43</v>
      </c>
      <c r="H257" s="26" t="s">
        <v>59</v>
      </c>
      <c r="I257" s="28"/>
      <c r="J257" s="26">
        <v>2.0</v>
      </c>
      <c r="K257" s="27" t="s">
        <v>677</v>
      </c>
      <c r="L257" s="28"/>
      <c r="M257" s="34" t="s">
        <v>678</v>
      </c>
      <c r="N257" s="100" t="s">
        <v>679</v>
      </c>
      <c r="O257" s="31"/>
      <c r="P257" s="32">
        <v>349.0</v>
      </c>
      <c r="Q257" s="32"/>
      <c r="R257" s="32"/>
      <c r="S257" s="32"/>
      <c r="T257" s="32"/>
      <c r="U257" s="32"/>
      <c r="V257" s="32"/>
      <c r="W257" s="32"/>
      <c r="X257" s="32"/>
      <c r="Y257" s="32"/>
      <c r="Z257" s="32"/>
    </row>
    <row r="258">
      <c r="A258" s="20" t="s">
        <v>843</v>
      </c>
      <c r="B258" s="26"/>
      <c r="C258" s="22">
        <v>3.83E8</v>
      </c>
      <c r="D258" s="26">
        <v>2018.0</v>
      </c>
      <c r="E258" s="101">
        <v>43405.0</v>
      </c>
      <c r="F258" s="26" t="s">
        <v>844</v>
      </c>
      <c r="G258" s="26" t="s">
        <v>43</v>
      </c>
      <c r="H258" s="105" t="s">
        <v>23</v>
      </c>
      <c r="I258" s="28"/>
      <c r="J258" s="26">
        <v>3.0</v>
      </c>
      <c r="K258" s="27" t="s">
        <v>845</v>
      </c>
      <c r="L258" s="110"/>
      <c r="M258" s="26" t="s">
        <v>846</v>
      </c>
      <c r="N258" s="106" t="s">
        <v>847</v>
      </c>
      <c r="O258" s="106" t="s">
        <v>848</v>
      </c>
      <c r="P258" s="32">
        <v>292.0</v>
      </c>
      <c r="Q258" s="32"/>
      <c r="R258" s="32"/>
      <c r="S258" s="32"/>
      <c r="T258" s="32"/>
      <c r="U258" s="32"/>
      <c r="V258" s="32"/>
      <c r="W258" s="32"/>
      <c r="X258" s="32"/>
      <c r="Y258" s="32"/>
      <c r="Z258" s="32"/>
    </row>
    <row r="259">
      <c r="A259" s="165" t="s">
        <v>1735</v>
      </c>
      <c r="B259" s="130" t="s">
        <v>1736</v>
      </c>
      <c r="C259" s="22">
        <v>210000.0</v>
      </c>
      <c r="D259" s="26">
        <v>2011.0</v>
      </c>
      <c r="E259" s="101">
        <v>40664.0</v>
      </c>
      <c r="F259" s="26" t="s">
        <v>1737</v>
      </c>
      <c r="G259" s="130" t="s">
        <v>64</v>
      </c>
      <c r="H259" s="26" t="s">
        <v>23</v>
      </c>
      <c r="I259" s="130" t="s">
        <v>29</v>
      </c>
      <c r="J259" s="26">
        <v>5.0</v>
      </c>
      <c r="K259" s="57"/>
      <c r="L259" s="28"/>
      <c r="M259" s="105" t="s">
        <v>918</v>
      </c>
      <c r="N259" s="106" t="s">
        <v>1738</v>
      </c>
      <c r="O259" s="113"/>
      <c r="P259" s="32">
        <v>69.0</v>
      </c>
      <c r="Q259" s="32"/>
      <c r="R259" s="32"/>
      <c r="S259" s="32"/>
      <c r="T259" s="32"/>
      <c r="U259" s="32"/>
      <c r="V259" s="32"/>
      <c r="W259" s="32"/>
      <c r="X259" s="32"/>
      <c r="Y259" s="32"/>
      <c r="Z259" s="32"/>
    </row>
    <row r="260">
      <c r="A260" s="165" t="s">
        <v>1390</v>
      </c>
      <c r="B260" s="130" t="s">
        <v>1391</v>
      </c>
      <c r="C260" s="22">
        <v>1.6E8</v>
      </c>
      <c r="D260" s="26">
        <v>2013.0</v>
      </c>
      <c r="E260" s="101">
        <v>41456.0</v>
      </c>
      <c r="F260" s="26" t="s">
        <v>1392</v>
      </c>
      <c r="G260" s="26" t="s">
        <v>58</v>
      </c>
      <c r="H260" s="130" t="s">
        <v>23</v>
      </c>
      <c r="I260" s="130" t="s">
        <v>29</v>
      </c>
      <c r="J260" s="26">
        <v>5.0</v>
      </c>
      <c r="K260" s="27" t="s">
        <v>1393</v>
      </c>
      <c r="L260" s="28"/>
      <c r="M260" s="34" t="s">
        <v>1394</v>
      </c>
      <c r="N260" s="106" t="s">
        <v>1395</v>
      </c>
      <c r="O260" s="113"/>
      <c r="P260" s="32">
        <v>156.0</v>
      </c>
      <c r="Q260" s="32"/>
      <c r="R260" s="32"/>
      <c r="S260" s="32"/>
      <c r="T260" s="32"/>
      <c r="U260" s="32"/>
      <c r="V260" s="32"/>
      <c r="W260" s="32"/>
      <c r="X260" s="32"/>
      <c r="Y260" s="32"/>
      <c r="Z260" s="32"/>
    </row>
    <row r="261">
      <c r="A261" s="20" t="s">
        <v>260</v>
      </c>
      <c r="B261" s="47"/>
      <c r="C261" s="22">
        <v>1.0E7</v>
      </c>
      <c r="D261" s="26">
        <v>2023.0</v>
      </c>
      <c r="E261" s="24">
        <v>45130.0</v>
      </c>
      <c r="F261" s="38" t="s">
        <v>261</v>
      </c>
      <c r="G261" s="26" t="s">
        <v>64</v>
      </c>
      <c r="H261" s="26" t="s">
        <v>23</v>
      </c>
      <c r="I261" s="26"/>
      <c r="J261" s="26">
        <v>4.0</v>
      </c>
      <c r="K261" s="27"/>
      <c r="L261" s="28"/>
      <c r="M261" s="34" t="s">
        <v>85</v>
      </c>
      <c r="N261" s="48" t="s">
        <v>262</v>
      </c>
      <c r="O261" s="31"/>
      <c r="P261" s="32">
        <v>460.0</v>
      </c>
      <c r="Q261" s="34"/>
      <c r="R261" s="32"/>
      <c r="S261" s="32"/>
      <c r="T261" s="32"/>
      <c r="U261" s="32"/>
      <c r="V261" s="32"/>
      <c r="W261" s="32"/>
      <c r="X261" s="32"/>
      <c r="Y261" s="32"/>
      <c r="Z261" s="32"/>
    </row>
    <row r="262">
      <c r="A262" s="20" t="s">
        <v>924</v>
      </c>
      <c r="B262" s="26" t="s">
        <v>925</v>
      </c>
      <c r="C262" s="22">
        <v>1300000.0</v>
      </c>
      <c r="D262" s="26">
        <v>2018.0</v>
      </c>
      <c r="E262" s="101">
        <v>43160.0</v>
      </c>
      <c r="F262" s="26" t="s">
        <v>926</v>
      </c>
      <c r="G262" s="26" t="s">
        <v>43</v>
      </c>
      <c r="H262" s="127" t="s">
        <v>51</v>
      </c>
      <c r="I262" s="28"/>
      <c r="J262" s="26">
        <v>4.0</v>
      </c>
      <c r="K262" s="57"/>
      <c r="L262" s="123"/>
      <c r="M262" s="26" t="s">
        <v>927</v>
      </c>
      <c r="N262" s="106" t="s">
        <v>928</v>
      </c>
      <c r="O262" s="113"/>
      <c r="P262" s="32">
        <v>273.0</v>
      </c>
      <c r="Q262" s="32"/>
      <c r="R262" s="32"/>
      <c r="S262" s="32"/>
      <c r="T262" s="32"/>
      <c r="U262" s="32"/>
      <c r="V262" s="32"/>
      <c r="W262" s="32"/>
      <c r="X262" s="32"/>
      <c r="Y262" s="32"/>
      <c r="Z262" s="32"/>
    </row>
    <row r="263">
      <c r="A263" s="165" t="s">
        <v>1558</v>
      </c>
      <c r="B263" s="130" t="s">
        <v>1559</v>
      </c>
      <c r="C263" s="22">
        <v>780000.0</v>
      </c>
      <c r="D263" s="26">
        <v>2012.0</v>
      </c>
      <c r="E263" s="101">
        <v>41000.0</v>
      </c>
      <c r="F263" s="26" t="s">
        <v>1560</v>
      </c>
      <c r="G263" s="26" t="s">
        <v>1561</v>
      </c>
      <c r="H263" s="130" t="s">
        <v>23</v>
      </c>
      <c r="I263" s="130" t="s">
        <v>29</v>
      </c>
      <c r="J263" s="225" t="s">
        <v>1562</v>
      </c>
      <c r="K263" s="57"/>
      <c r="L263" s="28"/>
      <c r="M263" s="105" t="s">
        <v>286</v>
      </c>
      <c r="N263" s="106" t="s">
        <v>1563</v>
      </c>
      <c r="O263" s="113"/>
      <c r="P263" s="32">
        <v>114.0</v>
      </c>
      <c r="Q263" s="32"/>
      <c r="R263" s="32"/>
      <c r="S263" s="32"/>
      <c r="T263" s="32"/>
      <c r="U263" s="32"/>
      <c r="V263" s="32"/>
      <c r="W263" s="32"/>
      <c r="X263" s="32"/>
      <c r="Y263" s="32"/>
      <c r="Z263" s="32"/>
    </row>
    <row r="264">
      <c r="A264" s="20" t="s">
        <v>967</v>
      </c>
      <c r="B264" s="111" t="s">
        <v>968</v>
      </c>
      <c r="C264" s="22">
        <v>93689.0</v>
      </c>
      <c r="D264" s="26">
        <v>2018.0</v>
      </c>
      <c r="E264" s="101">
        <v>43405.0</v>
      </c>
      <c r="F264" s="26" t="s">
        <v>969</v>
      </c>
      <c r="G264" s="26" t="s">
        <v>258</v>
      </c>
      <c r="H264" s="26" t="s">
        <v>23</v>
      </c>
      <c r="I264" s="28"/>
      <c r="J264" s="26">
        <v>2.0</v>
      </c>
      <c r="K264" s="27"/>
      <c r="L264" s="28"/>
      <c r="M264" s="105" t="s">
        <v>970</v>
      </c>
      <c r="N264" s="106" t="s">
        <v>971</v>
      </c>
      <c r="O264" s="109"/>
      <c r="P264" s="32">
        <v>262.0</v>
      </c>
      <c r="Q264" s="32"/>
      <c r="R264" s="32"/>
      <c r="S264" s="32"/>
      <c r="T264" s="32"/>
      <c r="U264" s="32"/>
      <c r="V264" s="32"/>
      <c r="W264" s="32"/>
      <c r="X264" s="32"/>
      <c r="Y264" s="32"/>
      <c r="Z264" s="32"/>
    </row>
    <row r="265">
      <c r="A265" s="20" t="s">
        <v>573</v>
      </c>
      <c r="B265" s="51"/>
      <c r="C265" s="22">
        <v>2240000.0</v>
      </c>
      <c r="D265" s="26">
        <v>2021.0</v>
      </c>
      <c r="E265" s="91">
        <v>44228.0</v>
      </c>
      <c r="F265" s="26" t="s">
        <v>574</v>
      </c>
      <c r="G265" s="26" t="s">
        <v>50</v>
      </c>
      <c r="H265" s="26" t="s">
        <v>23</v>
      </c>
      <c r="I265" s="26"/>
      <c r="J265" s="26">
        <v>4.0</v>
      </c>
      <c r="K265" s="27"/>
      <c r="L265" s="28"/>
      <c r="M265" s="34" t="s">
        <v>575</v>
      </c>
      <c r="N265" s="100" t="s">
        <v>576</v>
      </c>
      <c r="O265" s="31"/>
      <c r="P265" s="32">
        <v>375.0</v>
      </c>
      <c r="Q265" s="32"/>
      <c r="R265" s="32"/>
      <c r="S265" s="32"/>
      <c r="T265" s="32"/>
      <c r="U265" s="32"/>
      <c r="V265" s="32"/>
      <c r="W265" s="32"/>
      <c r="X265" s="32"/>
      <c r="Y265" s="32"/>
      <c r="Z265" s="32"/>
    </row>
    <row r="266">
      <c r="A266" s="114" t="s">
        <v>1571</v>
      </c>
      <c r="B266" s="130" t="s">
        <v>1572</v>
      </c>
      <c r="C266" s="22">
        <v>102153.0</v>
      </c>
      <c r="D266" s="26">
        <v>2012.0</v>
      </c>
      <c r="E266" s="101">
        <v>41000.0</v>
      </c>
      <c r="F266" s="26" t="s">
        <v>1573</v>
      </c>
      <c r="G266" s="26" t="s">
        <v>258</v>
      </c>
      <c r="H266" s="26" t="s">
        <v>1034</v>
      </c>
      <c r="I266" s="28"/>
      <c r="J266" s="26">
        <v>2.0</v>
      </c>
      <c r="K266" s="57"/>
      <c r="L266" s="28"/>
      <c r="M266" s="34" t="s">
        <v>1574</v>
      </c>
      <c r="N266" s="135" t="s">
        <v>1575</v>
      </c>
      <c r="O266" s="136"/>
      <c r="P266" s="32">
        <v>111.0</v>
      </c>
      <c r="Q266" s="32"/>
      <c r="R266" s="32"/>
      <c r="S266" s="32"/>
      <c r="T266" s="32"/>
      <c r="U266" s="32"/>
      <c r="V266" s="32"/>
      <c r="W266" s="32"/>
      <c r="X266" s="32"/>
      <c r="Y266" s="32"/>
      <c r="Z266" s="32"/>
    </row>
    <row r="267">
      <c r="A267" s="20" t="s">
        <v>283</v>
      </c>
      <c r="B267" s="21"/>
      <c r="C267" s="22">
        <v>1.06E7</v>
      </c>
      <c r="D267" s="26">
        <v>2023.0</v>
      </c>
      <c r="E267" s="50" t="s">
        <v>284</v>
      </c>
      <c r="F267" s="49" t="s">
        <v>285</v>
      </c>
      <c r="G267" s="26" t="s">
        <v>43</v>
      </c>
      <c r="H267" s="26" t="s">
        <v>23</v>
      </c>
      <c r="I267" s="26" t="s">
        <v>29</v>
      </c>
      <c r="J267" s="26">
        <v>3.0</v>
      </c>
      <c r="K267" s="27"/>
      <c r="L267" s="28"/>
      <c r="M267" s="34" t="s">
        <v>286</v>
      </c>
      <c r="N267" s="35" t="s">
        <v>287</v>
      </c>
      <c r="O267" s="31"/>
      <c r="P267" s="32">
        <v>453.0</v>
      </c>
      <c r="Q267" s="38"/>
      <c r="R267" s="21"/>
      <c r="S267" s="21"/>
      <c r="T267" s="21"/>
      <c r="U267" s="21"/>
      <c r="V267" s="21"/>
      <c r="W267" s="21"/>
      <c r="X267" s="21"/>
      <c r="Y267" s="21"/>
      <c r="Z267" s="21"/>
    </row>
    <row r="268">
      <c r="A268" s="20" t="s">
        <v>690</v>
      </c>
      <c r="B268" s="51"/>
      <c r="C268" s="22">
        <v>1.06E7</v>
      </c>
      <c r="D268" s="26">
        <v>2020.0</v>
      </c>
      <c r="E268" s="101">
        <v>43862.0</v>
      </c>
      <c r="F268" s="26" t="s">
        <v>691</v>
      </c>
      <c r="G268" s="26" t="s">
        <v>43</v>
      </c>
      <c r="H268" s="26" t="s">
        <v>23</v>
      </c>
      <c r="I268" s="28"/>
      <c r="J268" s="26">
        <v>2.0</v>
      </c>
      <c r="K268" s="27" t="s">
        <v>692</v>
      </c>
      <c r="L268" s="28"/>
      <c r="M268" s="34" t="s">
        <v>571</v>
      </c>
      <c r="N268" s="102" t="s">
        <v>693</v>
      </c>
      <c r="O268" s="31"/>
      <c r="P268" s="32">
        <v>346.0</v>
      </c>
      <c r="Q268" s="32"/>
      <c r="R268" s="32"/>
      <c r="S268" s="32"/>
      <c r="T268" s="32"/>
      <c r="U268" s="32"/>
      <c r="V268" s="32"/>
      <c r="W268" s="32"/>
      <c r="X268" s="32"/>
      <c r="Y268" s="32"/>
      <c r="Z268" s="32"/>
    </row>
    <row r="269">
      <c r="A269" s="20" t="s">
        <v>356</v>
      </c>
      <c r="B269" s="51"/>
      <c r="C269" s="22">
        <v>3.0E7</v>
      </c>
      <c r="D269" s="26">
        <v>2023.0</v>
      </c>
      <c r="E269" s="24">
        <v>45078.0</v>
      </c>
      <c r="F269" s="38" t="s">
        <v>357</v>
      </c>
      <c r="G269" s="26" t="s">
        <v>28</v>
      </c>
      <c r="H269" s="26" t="s">
        <v>23</v>
      </c>
      <c r="I269" s="28"/>
      <c r="J269" s="26">
        <v>2.0</v>
      </c>
      <c r="K269" s="27"/>
      <c r="L269" s="28"/>
      <c r="M269" s="34" t="s">
        <v>85</v>
      </c>
      <c r="N269" s="55" t="s">
        <v>358</v>
      </c>
      <c r="O269" s="31"/>
      <c r="P269" s="32">
        <v>435.0</v>
      </c>
      <c r="Q269" s="26"/>
      <c r="R269" s="32"/>
      <c r="S269" s="32"/>
      <c r="T269" s="32"/>
      <c r="U269" s="32"/>
      <c r="V269" s="32"/>
      <c r="W269" s="32"/>
      <c r="X269" s="32"/>
      <c r="Y269" s="32"/>
      <c r="Z269" s="32"/>
    </row>
    <row r="270">
      <c r="A270" s="20" t="s">
        <v>356</v>
      </c>
      <c r="B270" s="51"/>
      <c r="C270" s="22">
        <v>1.0E7</v>
      </c>
      <c r="D270" s="26">
        <v>2023.0</v>
      </c>
      <c r="E270" s="24">
        <v>45047.0</v>
      </c>
      <c r="F270" s="38" t="s">
        <v>359</v>
      </c>
      <c r="G270" s="26" t="s">
        <v>28</v>
      </c>
      <c r="H270" s="26" t="s">
        <v>23</v>
      </c>
      <c r="I270" s="28"/>
      <c r="J270" s="26">
        <v>3.0</v>
      </c>
      <c r="K270" s="27" t="s">
        <v>360</v>
      </c>
      <c r="L270" s="28"/>
      <c r="M270" s="34" t="s">
        <v>361</v>
      </c>
      <c r="N270" s="35" t="s">
        <v>362</v>
      </c>
      <c r="O270" s="35" t="s">
        <v>363</v>
      </c>
      <c r="P270" s="32">
        <v>434.0</v>
      </c>
      <c r="Q270" s="26"/>
      <c r="R270" s="32"/>
      <c r="S270" s="32"/>
      <c r="T270" s="32"/>
      <c r="U270" s="32"/>
      <c r="V270" s="32"/>
      <c r="W270" s="32"/>
      <c r="X270" s="32"/>
      <c r="Y270" s="32"/>
      <c r="Z270" s="21"/>
    </row>
    <row r="271">
      <c r="A271" s="20" t="s">
        <v>356</v>
      </c>
      <c r="B271" s="51"/>
      <c r="C271" s="22">
        <v>2.5E8</v>
      </c>
      <c r="D271" s="26">
        <v>2020.0</v>
      </c>
      <c r="E271" s="101">
        <v>43831.0</v>
      </c>
      <c r="F271" s="26" t="s">
        <v>654</v>
      </c>
      <c r="G271" s="26" t="s">
        <v>28</v>
      </c>
      <c r="H271" s="26" t="s">
        <v>51</v>
      </c>
      <c r="I271" s="28"/>
      <c r="J271" s="26">
        <v>1.0</v>
      </c>
      <c r="K271" s="27" t="s">
        <v>655</v>
      </c>
      <c r="L271" s="28"/>
      <c r="M271" s="34" t="s">
        <v>278</v>
      </c>
      <c r="N271" s="100" t="s">
        <v>656</v>
      </c>
      <c r="O271" s="31"/>
      <c r="P271" s="32">
        <v>354.0</v>
      </c>
      <c r="Q271" s="32"/>
      <c r="R271" s="32"/>
      <c r="S271" s="32"/>
      <c r="T271" s="32"/>
      <c r="U271" s="32"/>
      <c r="V271" s="32"/>
      <c r="W271" s="32"/>
      <c r="X271" s="32"/>
      <c r="Y271" s="32"/>
      <c r="Z271" s="32"/>
    </row>
    <row r="272">
      <c r="A272" s="181" t="s">
        <v>1604</v>
      </c>
      <c r="B272" s="130" t="s">
        <v>1605</v>
      </c>
      <c r="C272" s="22">
        <v>163792.0</v>
      </c>
      <c r="D272" s="26">
        <v>2012.0</v>
      </c>
      <c r="E272" s="101">
        <v>40969.0</v>
      </c>
      <c r="F272" s="26" t="s">
        <v>1606</v>
      </c>
      <c r="G272" s="130" t="s">
        <v>1607</v>
      </c>
      <c r="H272" s="26" t="s">
        <v>23</v>
      </c>
      <c r="I272" s="28"/>
      <c r="J272" s="26">
        <v>1.0</v>
      </c>
      <c r="K272" s="57"/>
      <c r="L272" s="28"/>
      <c r="M272" s="53" t="s">
        <v>1608</v>
      </c>
      <c r="N272" s="106" t="s">
        <v>1609</v>
      </c>
      <c r="O272" s="113"/>
      <c r="P272" s="32">
        <v>103.0</v>
      </c>
      <c r="Q272" s="32"/>
      <c r="R272" s="32"/>
      <c r="S272" s="32"/>
      <c r="T272" s="32"/>
      <c r="U272" s="32"/>
      <c r="V272" s="32"/>
      <c r="W272" s="32"/>
      <c r="X272" s="32"/>
      <c r="Y272" s="32"/>
      <c r="Z272" s="32"/>
    </row>
    <row r="273">
      <c r="A273" s="20" t="s">
        <v>1112</v>
      </c>
      <c r="B273" s="143" t="s">
        <v>1113</v>
      </c>
      <c r="C273" s="22">
        <v>7000000.0</v>
      </c>
      <c r="D273" s="26">
        <v>2016.0</v>
      </c>
      <c r="E273" s="101">
        <v>42461.0</v>
      </c>
      <c r="F273" s="26" t="s">
        <v>1114</v>
      </c>
      <c r="G273" s="26" t="s">
        <v>236</v>
      </c>
      <c r="H273" s="26" t="s">
        <v>23</v>
      </c>
      <c r="I273" s="28"/>
      <c r="J273" s="26">
        <v>1.0</v>
      </c>
      <c r="K273" s="57"/>
      <c r="L273" s="28"/>
      <c r="M273" s="34" t="s">
        <v>147</v>
      </c>
      <c r="N273" s="106" t="s">
        <v>1115</v>
      </c>
      <c r="O273" s="113"/>
      <c r="P273" s="32">
        <v>226.0</v>
      </c>
      <c r="Q273" s="32"/>
      <c r="R273" s="32"/>
      <c r="S273" s="32"/>
      <c r="T273" s="32"/>
      <c r="U273" s="32"/>
      <c r="V273" s="32"/>
      <c r="W273" s="32"/>
      <c r="X273" s="32"/>
      <c r="Y273" s="32"/>
      <c r="Z273" s="32"/>
    </row>
    <row r="274">
      <c r="A274" s="181" t="s">
        <v>1931</v>
      </c>
      <c r="B274" s="130" t="s">
        <v>1932</v>
      </c>
      <c r="C274" s="22">
        <v>1600000.0</v>
      </c>
      <c r="D274" s="26">
        <v>2007.0</v>
      </c>
      <c r="E274" s="101">
        <v>39295.0</v>
      </c>
      <c r="F274" s="26" t="s">
        <v>1933</v>
      </c>
      <c r="G274" s="130" t="s">
        <v>28</v>
      </c>
      <c r="H274" s="130" t="s">
        <v>23</v>
      </c>
      <c r="I274" s="130" t="s">
        <v>29</v>
      </c>
      <c r="J274" s="26">
        <v>2.0</v>
      </c>
      <c r="K274" s="57"/>
      <c r="L274" s="28"/>
      <c r="M274" s="53" t="s">
        <v>905</v>
      </c>
      <c r="N274" s="106" t="s">
        <v>1934</v>
      </c>
      <c r="O274" s="113"/>
      <c r="P274" s="32">
        <v>20.0</v>
      </c>
      <c r="Q274" s="32"/>
      <c r="R274" s="32"/>
      <c r="S274" s="32"/>
      <c r="T274" s="32"/>
      <c r="U274" s="32"/>
      <c r="V274" s="32"/>
      <c r="W274" s="32"/>
      <c r="X274" s="32"/>
      <c r="Y274" s="32"/>
      <c r="Z274" s="32"/>
    </row>
    <row r="275">
      <c r="A275" s="165" t="s">
        <v>1652</v>
      </c>
      <c r="B275" s="28"/>
      <c r="C275" s="22">
        <v>34000.0</v>
      </c>
      <c r="D275" s="26">
        <v>2011.0</v>
      </c>
      <c r="E275" s="101">
        <v>40725.0</v>
      </c>
      <c r="F275" s="26" t="s">
        <v>1653</v>
      </c>
      <c r="G275" s="26" t="s">
        <v>58</v>
      </c>
      <c r="H275" s="26" t="s">
        <v>1034</v>
      </c>
      <c r="I275" s="130" t="s">
        <v>29</v>
      </c>
      <c r="J275" s="26">
        <v>3.0</v>
      </c>
      <c r="K275" s="57"/>
      <c r="L275" s="28"/>
      <c r="M275" s="34" t="s">
        <v>829</v>
      </c>
      <c r="N275" s="106" t="s">
        <v>1654</v>
      </c>
      <c r="O275" s="113"/>
      <c r="P275" s="32">
        <v>92.0</v>
      </c>
      <c r="Q275" s="32"/>
      <c r="R275" s="32"/>
      <c r="S275" s="32"/>
      <c r="T275" s="32"/>
      <c r="U275" s="32"/>
      <c r="V275" s="32"/>
      <c r="W275" s="32"/>
      <c r="X275" s="32"/>
      <c r="Y275" s="32"/>
      <c r="Z275" s="32"/>
    </row>
    <row r="276">
      <c r="A276" s="20" t="s">
        <v>1098</v>
      </c>
      <c r="B276" s="111" t="s">
        <v>1099</v>
      </c>
      <c r="C276" s="22">
        <v>1.15E7</v>
      </c>
      <c r="D276" s="26">
        <v>2016.0</v>
      </c>
      <c r="E276" s="101">
        <v>42461.0</v>
      </c>
      <c r="F276" s="26" t="s">
        <v>1100</v>
      </c>
      <c r="G276" s="26" t="s">
        <v>38</v>
      </c>
      <c r="H276" s="26" t="s">
        <v>23</v>
      </c>
      <c r="I276" s="26" t="s">
        <v>29</v>
      </c>
      <c r="J276" s="26">
        <v>5.0</v>
      </c>
      <c r="K276" s="57"/>
      <c r="L276" s="28"/>
      <c r="M276" s="53" t="s">
        <v>1101</v>
      </c>
      <c r="N276" s="106" t="s">
        <v>1102</v>
      </c>
      <c r="O276" s="113"/>
      <c r="P276" s="32">
        <v>229.0</v>
      </c>
      <c r="Q276" s="32"/>
      <c r="R276" s="32"/>
      <c r="S276" s="32"/>
      <c r="T276" s="32"/>
      <c r="U276" s="32"/>
      <c r="V276" s="32"/>
      <c r="W276" s="32"/>
      <c r="X276" s="32"/>
      <c r="Y276" s="32"/>
      <c r="Z276" s="32"/>
    </row>
    <row r="277">
      <c r="A277" s="20" t="s">
        <v>979</v>
      </c>
      <c r="B277" s="98" t="s">
        <v>980</v>
      </c>
      <c r="C277" s="22">
        <v>1100.0</v>
      </c>
      <c r="D277" s="26">
        <v>2016.0</v>
      </c>
      <c r="E277" s="101">
        <v>42430.0</v>
      </c>
      <c r="F277" s="26" t="s">
        <v>981</v>
      </c>
      <c r="G277" s="26" t="s">
        <v>58</v>
      </c>
      <c r="H277" s="26" t="s">
        <v>59</v>
      </c>
      <c r="I277" s="28"/>
      <c r="J277" s="26">
        <v>5.0</v>
      </c>
      <c r="K277" s="27" t="s">
        <v>982</v>
      </c>
      <c r="L277" s="28"/>
      <c r="M277" s="34" t="s">
        <v>983</v>
      </c>
      <c r="N277" s="102" t="s">
        <v>984</v>
      </c>
      <c r="O277" s="31"/>
      <c r="P277" s="32">
        <v>259.0</v>
      </c>
      <c r="Q277" s="32"/>
      <c r="R277" s="32"/>
      <c r="S277" s="32"/>
      <c r="T277" s="32"/>
      <c r="U277" s="32"/>
      <c r="V277" s="32"/>
      <c r="W277" s="32"/>
      <c r="X277" s="32"/>
      <c r="Y277" s="32"/>
      <c r="Z277" s="32"/>
    </row>
    <row r="278">
      <c r="A278" s="165" t="s">
        <v>1387</v>
      </c>
      <c r="B278" s="28"/>
      <c r="C278" s="22">
        <v>76000.0</v>
      </c>
      <c r="D278" s="26">
        <v>2014.0</v>
      </c>
      <c r="E278" s="101">
        <v>41852.0</v>
      </c>
      <c r="F278" s="26" t="s">
        <v>1388</v>
      </c>
      <c r="G278" s="130" t="s">
        <v>28</v>
      </c>
      <c r="H278" s="130" t="s">
        <v>51</v>
      </c>
      <c r="I278" s="28"/>
      <c r="J278" s="26">
        <v>2.0</v>
      </c>
      <c r="K278" s="57"/>
      <c r="L278" s="28"/>
      <c r="M278" s="53" t="s">
        <v>325</v>
      </c>
      <c r="N278" s="166" t="s">
        <v>1389</v>
      </c>
      <c r="O278" s="113"/>
      <c r="P278" s="32">
        <v>157.0</v>
      </c>
      <c r="Q278" s="32"/>
      <c r="R278" s="32"/>
      <c r="S278" s="32"/>
      <c r="T278" s="32"/>
      <c r="U278" s="32"/>
      <c r="V278" s="32"/>
      <c r="W278" s="32"/>
      <c r="X278" s="32"/>
      <c r="Y278" s="32"/>
      <c r="Z278" s="32"/>
    </row>
    <row r="279">
      <c r="A279" s="20" t="s">
        <v>337</v>
      </c>
      <c r="B279" s="51"/>
      <c r="C279" s="22">
        <v>1.0E7</v>
      </c>
      <c r="D279" s="26">
        <v>2023.0</v>
      </c>
      <c r="E279" s="24">
        <v>45017.0</v>
      </c>
      <c r="F279" s="38" t="s">
        <v>338</v>
      </c>
      <c r="G279" s="26" t="s">
        <v>50</v>
      </c>
      <c r="H279" s="26" t="s">
        <v>23</v>
      </c>
      <c r="I279" s="28"/>
      <c r="J279" s="26">
        <v>1.0</v>
      </c>
      <c r="K279" s="27"/>
      <c r="L279" s="28"/>
      <c r="M279" s="34" t="s">
        <v>152</v>
      </c>
      <c r="N279" s="35" t="s">
        <v>339</v>
      </c>
      <c r="O279" s="35" t="s">
        <v>340</v>
      </c>
      <c r="P279" s="32">
        <v>440.0</v>
      </c>
      <c r="Q279" s="26"/>
      <c r="R279" s="32"/>
      <c r="S279" s="32"/>
      <c r="T279" s="32"/>
      <c r="U279" s="32"/>
      <c r="V279" s="32"/>
      <c r="W279" s="32"/>
      <c r="X279" s="32"/>
      <c r="Y279" s="32"/>
      <c r="Z279" s="32"/>
    </row>
    <row r="280">
      <c r="A280" s="114" t="s">
        <v>1276</v>
      </c>
      <c r="B280" s="115" t="s">
        <v>1277</v>
      </c>
      <c r="C280" s="22">
        <v>400000.0</v>
      </c>
      <c r="D280" s="26">
        <v>2015.0</v>
      </c>
      <c r="E280" s="101">
        <v>42125.0</v>
      </c>
      <c r="F280" s="34" t="s">
        <v>1278</v>
      </c>
      <c r="G280" s="26" t="s">
        <v>28</v>
      </c>
      <c r="H280" s="115" t="s">
        <v>23</v>
      </c>
      <c r="I280" s="53"/>
      <c r="J280" s="26">
        <v>2.0</v>
      </c>
      <c r="K280" s="57"/>
      <c r="L280" s="53"/>
      <c r="M280" s="53" t="s">
        <v>702</v>
      </c>
      <c r="N280" s="162" t="s">
        <v>1279</v>
      </c>
      <c r="O280" s="19"/>
      <c r="P280" s="32">
        <v>185.0</v>
      </c>
      <c r="Q280" s="32"/>
      <c r="R280" s="32"/>
      <c r="S280" s="32"/>
      <c r="T280" s="32"/>
      <c r="U280" s="32"/>
      <c r="V280" s="32"/>
      <c r="W280" s="32"/>
      <c r="X280" s="32"/>
      <c r="Y280" s="32"/>
      <c r="Z280" s="32"/>
    </row>
    <row r="281">
      <c r="A281" s="20" t="s">
        <v>1154</v>
      </c>
      <c r="B281" s="111" t="s">
        <v>1155</v>
      </c>
      <c r="C281" s="22">
        <v>112000.0</v>
      </c>
      <c r="D281" s="26">
        <v>2016.0</v>
      </c>
      <c r="E281" s="101">
        <v>42522.0</v>
      </c>
      <c r="F281" s="26" t="s">
        <v>1156</v>
      </c>
      <c r="G281" s="26" t="s">
        <v>258</v>
      </c>
      <c r="H281" s="26" t="s">
        <v>59</v>
      </c>
      <c r="I281" s="28"/>
      <c r="J281" s="26">
        <v>5.0</v>
      </c>
      <c r="K281" s="57"/>
      <c r="L281" s="28"/>
      <c r="M281" s="53" t="s">
        <v>905</v>
      </c>
      <c r="N281" s="106" t="s">
        <v>1157</v>
      </c>
      <c r="O281" s="113"/>
      <c r="P281" s="32">
        <v>215.0</v>
      </c>
      <c r="Q281" s="32"/>
      <c r="R281" s="32"/>
      <c r="S281" s="32"/>
      <c r="T281" s="32"/>
      <c r="U281" s="32"/>
      <c r="V281" s="32"/>
      <c r="W281" s="32"/>
      <c r="X281" s="32"/>
      <c r="Y281" s="32"/>
      <c r="Z281" s="32"/>
    </row>
    <row r="282">
      <c r="A282" s="118" t="s">
        <v>888</v>
      </c>
      <c r="B282" s="112" t="s">
        <v>889</v>
      </c>
      <c r="C282" s="119">
        <v>1.5E8</v>
      </c>
      <c r="D282" s="139">
        <v>2018.0</v>
      </c>
      <c r="E282" s="101">
        <v>43160.0</v>
      </c>
      <c r="F282" s="34" t="s">
        <v>890</v>
      </c>
      <c r="G282" s="26" t="s">
        <v>28</v>
      </c>
      <c r="H282" s="112" t="s">
        <v>23</v>
      </c>
      <c r="I282" s="120"/>
      <c r="J282" s="139">
        <v>1.0</v>
      </c>
      <c r="K282" s="27" t="s">
        <v>891</v>
      </c>
      <c r="L282" s="120"/>
      <c r="M282" s="112" t="s">
        <v>507</v>
      </c>
      <c r="N282" s="121" t="s">
        <v>892</v>
      </c>
      <c r="O282" s="117"/>
      <c r="P282" s="32">
        <v>281.0</v>
      </c>
      <c r="Q282" s="32"/>
      <c r="R282" s="32"/>
      <c r="S282" s="32"/>
      <c r="T282" s="32"/>
      <c r="U282" s="32"/>
      <c r="V282" s="32"/>
      <c r="W282" s="32"/>
      <c r="X282" s="32"/>
      <c r="Y282" s="32"/>
      <c r="Z282" s="32"/>
    </row>
    <row r="283">
      <c r="A283" s="20" t="s">
        <v>865</v>
      </c>
      <c r="B283" s="26"/>
      <c r="C283" s="22">
        <v>9.2283889E7</v>
      </c>
      <c r="D283" s="26">
        <v>2018.0</v>
      </c>
      <c r="E283" s="101">
        <v>43252.0</v>
      </c>
      <c r="F283" s="26" t="s">
        <v>866</v>
      </c>
      <c r="G283" s="26" t="s">
        <v>28</v>
      </c>
      <c r="H283" s="105" t="s">
        <v>23</v>
      </c>
      <c r="I283" s="28"/>
      <c r="J283" s="26">
        <v>1.0</v>
      </c>
      <c r="K283" s="57"/>
      <c r="L283" s="123"/>
      <c r="M283" s="26" t="s">
        <v>867</v>
      </c>
      <c r="N283" s="106" t="s">
        <v>868</v>
      </c>
      <c r="O283" s="113"/>
      <c r="P283" s="32">
        <v>287.0</v>
      </c>
      <c r="Q283" s="32"/>
      <c r="R283" s="32"/>
      <c r="S283" s="32"/>
      <c r="T283" s="32"/>
      <c r="U283" s="32"/>
      <c r="V283" s="32"/>
      <c r="W283" s="32"/>
      <c r="X283" s="32"/>
      <c r="Y283" s="32"/>
      <c r="Z283" s="32"/>
    </row>
    <row r="284">
      <c r="A284" s="20" t="s">
        <v>1171</v>
      </c>
      <c r="B284" s="138"/>
      <c r="C284" s="22">
        <v>1.64E8</v>
      </c>
      <c r="D284" s="26">
        <v>2016.0</v>
      </c>
      <c r="E284" s="101">
        <v>42491.0</v>
      </c>
      <c r="F284" s="26" t="s">
        <v>1172</v>
      </c>
      <c r="G284" s="26" t="s">
        <v>28</v>
      </c>
      <c r="H284" s="26" t="s">
        <v>23</v>
      </c>
      <c r="I284" s="28"/>
      <c r="J284" s="26">
        <v>1.0</v>
      </c>
      <c r="K284" s="27" t="s">
        <v>1173</v>
      </c>
      <c r="L284" s="28"/>
      <c r="M284" s="34" t="s">
        <v>30</v>
      </c>
      <c r="N284" s="106" t="s">
        <v>1174</v>
      </c>
      <c r="O284" s="113"/>
      <c r="P284" s="32">
        <v>211.0</v>
      </c>
      <c r="Q284" s="32"/>
      <c r="R284" s="32"/>
      <c r="S284" s="32"/>
      <c r="T284" s="32"/>
      <c r="U284" s="32"/>
      <c r="V284" s="32"/>
      <c r="W284" s="32"/>
      <c r="X284" s="32"/>
      <c r="Y284" s="32"/>
      <c r="Z284" s="32"/>
    </row>
    <row r="285">
      <c r="A285" s="20" t="s">
        <v>898</v>
      </c>
      <c r="B285" s="26" t="s">
        <v>899</v>
      </c>
      <c r="C285" s="22">
        <v>1.2E8</v>
      </c>
      <c r="D285" s="26">
        <v>2018.0</v>
      </c>
      <c r="E285" s="101">
        <v>43252.0</v>
      </c>
      <c r="F285" s="26" t="s">
        <v>900</v>
      </c>
      <c r="G285" s="26" t="s">
        <v>28</v>
      </c>
      <c r="H285" s="26" t="s">
        <v>51</v>
      </c>
      <c r="I285" s="26" t="s">
        <v>29</v>
      </c>
      <c r="J285" s="26">
        <v>1.0</v>
      </c>
      <c r="K285" s="27" t="s">
        <v>901</v>
      </c>
      <c r="L285" s="110"/>
      <c r="M285" s="26" t="s">
        <v>902</v>
      </c>
      <c r="N285" s="106" t="s">
        <v>903</v>
      </c>
      <c r="O285" s="113"/>
      <c r="P285" s="32">
        <v>279.0</v>
      </c>
      <c r="Q285" s="32"/>
      <c r="R285" s="32"/>
      <c r="S285" s="32"/>
      <c r="T285" s="32"/>
      <c r="U285" s="32"/>
      <c r="V285" s="32"/>
      <c r="W285" s="32"/>
      <c r="X285" s="32"/>
      <c r="Y285" s="32"/>
      <c r="Z285" s="32"/>
    </row>
    <row r="286">
      <c r="A286" s="165" t="s">
        <v>1455</v>
      </c>
      <c r="B286" s="111" t="s">
        <v>1456</v>
      </c>
      <c r="C286" s="22">
        <v>500000.0</v>
      </c>
      <c r="D286" s="26">
        <v>2013.0</v>
      </c>
      <c r="E286" s="101">
        <v>41456.0</v>
      </c>
      <c r="F286" s="26" t="s">
        <v>1457</v>
      </c>
      <c r="G286" s="26" t="s">
        <v>58</v>
      </c>
      <c r="H286" s="130" t="s">
        <v>23</v>
      </c>
      <c r="I286" s="130" t="s">
        <v>29</v>
      </c>
      <c r="J286" s="130">
        <v>1.0</v>
      </c>
      <c r="K286" s="57"/>
      <c r="L286" s="28"/>
      <c r="M286" s="53" t="s">
        <v>286</v>
      </c>
      <c r="N286" s="106" t="s">
        <v>1458</v>
      </c>
      <c r="O286" s="113"/>
      <c r="P286" s="32">
        <v>140.0</v>
      </c>
      <c r="Q286" s="32"/>
      <c r="R286" s="32"/>
      <c r="S286" s="32"/>
      <c r="T286" s="32"/>
      <c r="U286" s="32"/>
      <c r="V286" s="32"/>
      <c r="W286" s="32"/>
      <c r="X286" s="32"/>
      <c r="Y286" s="32"/>
      <c r="Z286" s="32"/>
    </row>
    <row r="287">
      <c r="A287" s="226" t="s">
        <v>101</v>
      </c>
      <c r="B287" s="224"/>
      <c r="C287" s="22">
        <v>1.0E9</v>
      </c>
      <c r="D287" s="215">
        <v>2024.0</v>
      </c>
      <c r="E287" s="216">
        <v>45528.0</v>
      </c>
      <c r="F287" s="227" t="s">
        <v>102</v>
      </c>
      <c r="G287" s="215" t="s">
        <v>64</v>
      </c>
      <c r="H287" s="215" t="s">
        <v>23</v>
      </c>
      <c r="I287" s="215"/>
      <c r="J287" s="215">
        <v>2.0</v>
      </c>
      <c r="K287" s="218" t="s">
        <v>103</v>
      </c>
      <c r="L287" s="219"/>
      <c r="M287" s="220" t="s">
        <v>85</v>
      </c>
      <c r="N287" s="221" t="s">
        <v>104</v>
      </c>
      <c r="O287" s="222"/>
      <c r="P287" s="223">
        <v>504.0</v>
      </c>
      <c r="Q287" s="215"/>
      <c r="R287" s="224"/>
      <c r="S287" s="224"/>
      <c r="T287" s="224"/>
      <c r="U287" s="224"/>
      <c r="V287" s="224"/>
      <c r="W287" s="224"/>
      <c r="X287" s="224"/>
      <c r="Y287" s="224"/>
      <c r="Z287" s="224"/>
    </row>
    <row r="288">
      <c r="A288" s="20" t="s">
        <v>1470</v>
      </c>
      <c r="B288" s="26"/>
      <c r="C288" s="22">
        <v>1500000.0</v>
      </c>
      <c r="D288" s="26">
        <v>2013.0</v>
      </c>
      <c r="E288" s="101">
        <v>41426.0</v>
      </c>
      <c r="F288" s="34" t="s">
        <v>1471</v>
      </c>
      <c r="G288" s="26" t="s">
        <v>64</v>
      </c>
      <c r="H288" s="26" t="s">
        <v>59</v>
      </c>
      <c r="I288" s="26" t="s">
        <v>29</v>
      </c>
      <c r="J288" s="26">
        <v>5.0</v>
      </c>
      <c r="K288" s="57"/>
      <c r="L288" s="28"/>
      <c r="M288" s="53" t="s">
        <v>591</v>
      </c>
      <c r="N288" s="106" t="s">
        <v>1472</v>
      </c>
      <c r="O288" s="113"/>
      <c r="P288" s="32">
        <v>136.0</v>
      </c>
      <c r="Q288" s="32"/>
      <c r="R288" s="32"/>
      <c r="S288" s="32"/>
      <c r="T288" s="32"/>
      <c r="U288" s="32"/>
      <c r="V288" s="32"/>
      <c r="W288" s="32"/>
      <c r="X288" s="32"/>
      <c r="Y288" s="32"/>
      <c r="Z288" s="32"/>
    </row>
    <row r="289">
      <c r="A289" s="20" t="s">
        <v>306</v>
      </c>
      <c r="B289" s="51"/>
      <c r="C289" s="22">
        <v>8000.0</v>
      </c>
      <c r="D289" s="26">
        <v>2023.0</v>
      </c>
      <c r="E289" s="24">
        <v>45108.0</v>
      </c>
      <c r="F289" s="26" t="s">
        <v>307</v>
      </c>
      <c r="G289" s="26" t="s">
        <v>64</v>
      </c>
      <c r="H289" s="26" t="s">
        <v>23</v>
      </c>
      <c r="I289" s="26" t="s">
        <v>29</v>
      </c>
      <c r="J289" s="26">
        <v>4.0</v>
      </c>
      <c r="K289" s="27"/>
      <c r="L289" s="28"/>
      <c r="M289" s="34" t="s">
        <v>227</v>
      </c>
      <c r="N289" s="35" t="s">
        <v>308</v>
      </c>
      <c r="O289" s="31"/>
      <c r="P289" s="32">
        <v>447.0</v>
      </c>
      <c r="Q289" s="26"/>
      <c r="R289" s="21"/>
      <c r="S289" s="21"/>
      <c r="T289" s="21"/>
      <c r="U289" s="21"/>
      <c r="V289" s="21"/>
      <c r="W289" s="21"/>
      <c r="X289" s="21"/>
      <c r="Y289" s="21"/>
      <c r="Z289" s="21"/>
    </row>
    <row r="290">
      <c r="A290" s="20" t="s">
        <v>509</v>
      </c>
      <c r="B290" s="51"/>
      <c r="C290" s="22">
        <v>4600000.0</v>
      </c>
      <c r="D290" s="26">
        <v>2021.0</v>
      </c>
      <c r="E290" s="91">
        <v>44440.0</v>
      </c>
      <c r="F290" s="34" t="s">
        <v>510</v>
      </c>
      <c r="G290" s="26" t="s">
        <v>43</v>
      </c>
      <c r="H290" s="26" t="s">
        <v>23</v>
      </c>
      <c r="I290" s="26"/>
      <c r="J290" s="26">
        <v>3.0</v>
      </c>
      <c r="K290" s="27"/>
      <c r="L290" s="28"/>
      <c r="M290" s="34" t="s">
        <v>247</v>
      </c>
      <c r="N290" s="92" t="s">
        <v>511</v>
      </c>
      <c r="O290" s="31"/>
      <c r="P290" s="32">
        <v>392.0</v>
      </c>
      <c r="Q290" s="32"/>
      <c r="R290" s="32"/>
      <c r="S290" s="32"/>
      <c r="T290" s="32"/>
      <c r="U290" s="32"/>
      <c r="V290" s="32"/>
      <c r="W290" s="32"/>
      <c r="X290" s="32"/>
      <c r="Y290" s="32"/>
      <c r="Z290" s="32"/>
    </row>
    <row r="291">
      <c r="A291" s="165" t="s">
        <v>509</v>
      </c>
      <c r="B291" s="130" t="s">
        <v>1320</v>
      </c>
      <c r="C291" s="22">
        <v>1100000.0</v>
      </c>
      <c r="D291" s="26">
        <v>2014.0</v>
      </c>
      <c r="E291" s="101">
        <v>41640.0</v>
      </c>
      <c r="F291" s="111" t="s">
        <v>1321</v>
      </c>
      <c r="G291" s="130" t="s">
        <v>43</v>
      </c>
      <c r="H291" s="130" t="s">
        <v>23</v>
      </c>
      <c r="I291" s="28"/>
      <c r="J291" s="26">
        <v>2.0</v>
      </c>
      <c r="K291" s="57"/>
      <c r="L291" s="28"/>
      <c r="M291" s="53" t="s">
        <v>841</v>
      </c>
      <c r="N291" s="166" t="s">
        <v>1322</v>
      </c>
      <c r="O291" s="166" t="s">
        <v>1323</v>
      </c>
      <c r="P291" s="32">
        <v>175.0</v>
      </c>
      <c r="Q291" s="32"/>
      <c r="R291" s="32"/>
      <c r="S291" s="32"/>
      <c r="T291" s="32"/>
      <c r="U291" s="32"/>
      <c r="V291" s="32"/>
      <c r="W291" s="32"/>
      <c r="X291" s="32"/>
      <c r="Y291" s="32"/>
      <c r="Z291" s="32"/>
    </row>
    <row r="292">
      <c r="A292" s="114" t="s">
        <v>1755</v>
      </c>
      <c r="B292" s="130" t="s">
        <v>1756</v>
      </c>
      <c r="C292" s="22">
        <v>1600000.0</v>
      </c>
      <c r="D292" s="26">
        <v>2011.0</v>
      </c>
      <c r="E292" s="101">
        <v>40817.0</v>
      </c>
      <c r="F292" s="26" t="s">
        <v>1757</v>
      </c>
      <c r="G292" s="26" t="s">
        <v>258</v>
      </c>
      <c r="H292" s="26" t="s">
        <v>1034</v>
      </c>
      <c r="I292" s="28"/>
      <c r="J292" s="26">
        <v>4.0</v>
      </c>
      <c r="K292" s="57"/>
      <c r="L292" s="53"/>
      <c r="M292" s="34" t="s">
        <v>1758</v>
      </c>
      <c r="N292" s="135" t="s">
        <v>1759</v>
      </c>
      <c r="O292" s="136"/>
      <c r="P292" s="32">
        <v>64.0</v>
      </c>
      <c r="Q292" s="32"/>
      <c r="R292" s="32"/>
      <c r="S292" s="32"/>
      <c r="T292" s="32"/>
      <c r="U292" s="32"/>
      <c r="V292" s="32"/>
      <c r="W292" s="32"/>
      <c r="X292" s="32"/>
      <c r="Y292" s="32"/>
      <c r="Z292" s="32"/>
    </row>
    <row r="293">
      <c r="A293" s="165" t="s">
        <v>1841</v>
      </c>
      <c r="B293" s="130" t="s">
        <v>1842</v>
      </c>
      <c r="C293" s="22">
        <v>573000.0</v>
      </c>
      <c r="D293" s="26">
        <v>2009.0</v>
      </c>
      <c r="E293" s="101">
        <v>39995.0</v>
      </c>
      <c r="F293" s="26" t="s">
        <v>1843</v>
      </c>
      <c r="G293" s="26" t="s">
        <v>28</v>
      </c>
      <c r="H293" s="130" t="s">
        <v>23</v>
      </c>
      <c r="I293" s="28"/>
      <c r="J293" s="26">
        <v>3.0</v>
      </c>
      <c r="K293" s="57"/>
      <c r="L293" s="28"/>
      <c r="M293" s="34" t="s">
        <v>710</v>
      </c>
      <c r="N293" s="106" t="s">
        <v>1844</v>
      </c>
      <c r="O293" s="117"/>
      <c r="P293" s="32">
        <v>44.0</v>
      </c>
      <c r="Q293" s="32"/>
      <c r="R293" s="32"/>
      <c r="S293" s="32"/>
      <c r="T293" s="32"/>
      <c r="U293" s="32"/>
      <c r="V293" s="32"/>
      <c r="W293" s="32"/>
      <c r="X293" s="32"/>
      <c r="Y293" s="32"/>
      <c r="Z293" s="32"/>
    </row>
    <row r="294">
      <c r="A294" s="114" t="s">
        <v>1627</v>
      </c>
      <c r="B294" s="130" t="s">
        <v>1628</v>
      </c>
      <c r="C294" s="22">
        <v>1700000.0</v>
      </c>
      <c r="D294" s="26">
        <v>2011.0</v>
      </c>
      <c r="E294" s="101">
        <v>40575.0</v>
      </c>
      <c r="F294" s="26" t="s">
        <v>1629</v>
      </c>
      <c r="G294" s="26" t="s">
        <v>258</v>
      </c>
      <c r="H294" s="26" t="s">
        <v>1034</v>
      </c>
      <c r="I294" s="28"/>
      <c r="J294" s="26">
        <v>4.0</v>
      </c>
      <c r="K294" s="57"/>
      <c r="L294" s="53"/>
      <c r="M294" s="34" t="s">
        <v>1630</v>
      </c>
      <c r="N294" s="135" t="s">
        <v>1631</v>
      </c>
      <c r="O294" s="19"/>
      <c r="P294" s="32">
        <v>98.0</v>
      </c>
      <c r="Q294" s="32"/>
      <c r="R294" s="32"/>
      <c r="S294" s="32"/>
      <c r="T294" s="32"/>
      <c r="U294" s="32"/>
      <c r="V294" s="32"/>
      <c r="W294" s="32"/>
      <c r="X294" s="32"/>
      <c r="Y294" s="32"/>
      <c r="Z294" s="32"/>
    </row>
    <row r="295">
      <c r="A295" s="165" t="s">
        <v>1568</v>
      </c>
      <c r="B295" s="28"/>
      <c r="C295" s="22">
        <v>1800000.0</v>
      </c>
      <c r="D295" s="26">
        <v>2012.0</v>
      </c>
      <c r="E295" s="101">
        <v>40909.0</v>
      </c>
      <c r="F295" s="26" t="s">
        <v>1569</v>
      </c>
      <c r="G295" s="26" t="s">
        <v>38</v>
      </c>
      <c r="H295" s="130" t="s">
        <v>59</v>
      </c>
      <c r="I295" s="28"/>
      <c r="J295" s="26">
        <v>2.0</v>
      </c>
      <c r="K295" s="57"/>
      <c r="L295" s="28"/>
      <c r="M295" s="105" t="s">
        <v>1026</v>
      </c>
      <c r="N295" s="146" t="s">
        <v>1570</v>
      </c>
      <c r="O295" s="113"/>
      <c r="P295" s="32">
        <v>112.0</v>
      </c>
      <c r="Q295" s="32"/>
      <c r="R295" s="32"/>
      <c r="S295" s="32"/>
      <c r="T295" s="32"/>
      <c r="U295" s="32"/>
      <c r="V295" s="32"/>
      <c r="W295" s="32"/>
      <c r="X295" s="32"/>
      <c r="Y295" s="32"/>
      <c r="Z295" s="32"/>
    </row>
    <row r="296">
      <c r="A296" s="165" t="s">
        <v>1359</v>
      </c>
      <c r="B296" s="28"/>
      <c r="C296" s="22">
        <v>52000.0</v>
      </c>
      <c r="D296" s="26">
        <v>2014.0</v>
      </c>
      <c r="E296" s="101">
        <v>41791.0</v>
      </c>
      <c r="F296" s="26" t="s">
        <v>1360</v>
      </c>
      <c r="G296" s="130" t="s">
        <v>22</v>
      </c>
      <c r="H296" s="130" t="s">
        <v>51</v>
      </c>
      <c r="I296" s="130" t="s">
        <v>29</v>
      </c>
      <c r="J296" s="130">
        <v>1.0</v>
      </c>
      <c r="K296" s="57"/>
      <c r="L296" s="28"/>
      <c r="M296" s="53" t="s">
        <v>902</v>
      </c>
      <c r="N296" s="166" t="s">
        <v>1361</v>
      </c>
      <c r="O296" s="113"/>
      <c r="P296" s="32">
        <v>165.0</v>
      </c>
      <c r="Q296" s="32"/>
      <c r="R296" s="32"/>
      <c r="S296" s="32"/>
      <c r="T296" s="32"/>
      <c r="U296" s="32"/>
      <c r="V296" s="32"/>
      <c r="W296" s="32"/>
      <c r="X296" s="32"/>
      <c r="Y296" s="32"/>
      <c r="Z296" s="32"/>
    </row>
    <row r="297">
      <c r="A297" s="20" t="s">
        <v>976</v>
      </c>
      <c r="B297" s="26"/>
      <c r="C297" s="22">
        <v>4.5E7</v>
      </c>
      <c r="D297" s="26">
        <v>2018.0</v>
      </c>
      <c r="E297" s="101">
        <v>43344.0</v>
      </c>
      <c r="F297" s="26" t="s">
        <v>977</v>
      </c>
      <c r="G297" s="26" t="s">
        <v>43</v>
      </c>
      <c r="H297" s="26" t="s">
        <v>23</v>
      </c>
      <c r="I297" s="26" t="s">
        <v>29</v>
      </c>
      <c r="J297" s="26">
        <v>3.0</v>
      </c>
      <c r="K297" s="57"/>
      <c r="L297" s="110"/>
      <c r="M297" s="26" t="s">
        <v>880</v>
      </c>
      <c r="N297" s="106" t="s">
        <v>978</v>
      </c>
      <c r="O297" s="113"/>
      <c r="P297" s="32">
        <v>260.0</v>
      </c>
      <c r="Q297" s="32"/>
      <c r="R297" s="32"/>
      <c r="S297" s="32"/>
      <c r="T297" s="32"/>
      <c r="U297" s="32"/>
      <c r="V297" s="32"/>
      <c r="W297" s="32"/>
      <c r="X297" s="32"/>
      <c r="Y297" s="32"/>
      <c r="Z297" s="32"/>
    </row>
    <row r="298">
      <c r="A298" s="165" t="s">
        <v>1751</v>
      </c>
      <c r="B298" s="105" t="s">
        <v>1752</v>
      </c>
      <c r="C298" s="22">
        <v>1.32E7</v>
      </c>
      <c r="D298" s="26">
        <v>2011.0</v>
      </c>
      <c r="E298" s="101">
        <v>40848.0</v>
      </c>
      <c r="F298" s="26" t="s">
        <v>1753</v>
      </c>
      <c r="G298" s="130" t="s">
        <v>28</v>
      </c>
      <c r="H298" s="130" t="s">
        <v>23</v>
      </c>
      <c r="I298" s="28"/>
      <c r="J298" s="26">
        <v>2.0</v>
      </c>
      <c r="K298" s="57"/>
      <c r="L298" s="28"/>
      <c r="M298" s="34" t="s">
        <v>286</v>
      </c>
      <c r="N298" s="106" t="s">
        <v>1754</v>
      </c>
      <c r="O298" s="113"/>
      <c r="P298" s="32">
        <v>65.0</v>
      </c>
      <c r="Q298" s="32"/>
      <c r="R298" s="32"/>
      <c r="S298" s="32"/>
      <c r="T298" s="32"/>
      <c r="U298" s="32"/>
      <c r="V298" s="32"/>
      <c r="W298" s="32"/>
      <c r="X298" s="32"/>
      <c r="Y298" s="32"/>
      <c r="Z298" s="32"/>
    </row>
    <row r="299">
      <c r="A299" s="165" t="s">
        <v>1720</v>
      </c>
      <c r="B299" s="130" t="s">
        <v>1721</v>
      </c>
      <c r="C299" s="22">
        <v>8600000.0</v>
      </c>
      <c r="D299" s="26">
        <v>2011.0</v>
      </c>
      <c r="E299" s="101">
        <v>40695.0</v>
      </c>
      <c r="F299" s="26" t="s">
        <v>1722</v>
      </c>
      <c r="G299" s="26" t="s">
        <v>258</v>
      </c>
      <c r="H299" s="26" t="s">
        <v>1034</v>
      </c>
      <c r="I299" s="130" t="s">
        <v>29</v>
      </c>
      <c r="J299" s="26">
        <v>4.0</v>
      </c>
      <c r="K299" s="57"/>
      <c r="L299" s="28"/>
      <c r="M299" s="105" t="s">
        <v>1723</v>
      </c>
      <c r="N299" s="106" t="s">
        <v>1724</v>
      </c>
      <c r="O299" s="113"/>
      <c r="P299" s="32">
        <v>73.0</v>
      </c>
      <c r="Q299" s="32"/>
      <c r="R299" s="32"/>
      <c r="S299" s="32"/>
      <c r="T299" s="32"/>
      <c r="U299" s="32"/>
      <c r="V299" s="32"/>
      <c r="W299" s="32"/>
      <c r="X299" s="32"/>
      <c r="Y299" s="32"/>
      <c r="Z299" s="32"/>
    </row>
    <row r="300">
      <c r="A300" s="20" t="s">
        <v>631</v>
      </c>
      <c r="B300" s="51"/>
      <c r="C300" s="22">
        <v>300000.0</v>
      </c>
      <c r="D300" s="26">
        <v>2020.0</v>
      </c>
      <c r="E300" s="101">
        <v>43922.0</v>
      </c>
      <c r="F300" s="26" t="s">
        <v>632</v>
      </c>
      <c r="G300" s="26" t="s">
        <v>236</v>
      </c>
      <c r="H300" s="26" t="s">
        <v>23</v>
      </c>
      <c r="I300" s="28"/>
      <c r="J300" s="26">
        <v>3.0</v>
      </c>
      <c r="K300" s="27" t="s">
        <v>633</v>
      </c>
      <c r="L300" s="28"/>
      <c r="M300" s="34" t="s">
        <v>34</v>
      </c>
      <c r="N300" s="100" t="s">
        <v>634</v>
      </c>
      <c r="O300" s="31"/>
      <c r="P300" s="32">
        <v>359.0</v>
      </c>
      <c r="Q300" s="32"/>
      <c r="R300" s="32"/>
      <c r="S300" s="32"/>
      <c r="T300" s="32"/>
      <c r="U300" s="32"/>
      <c r="V300" s="32"/>
      <c r="W300" s="32"/>
      <c r="X300" s="32"/>
      <c r="Y300" s="32"/>
      <c r="Z300" s="32"/>
    </row>
    <row r="301">
      <c r="A301" s="114" t="s">
        <v>631</v>
      </c>
      <c r="B301" s="115" t="s">
        <v>1467</v>
      </c>
      <c r="C301" s="22">
        <v>4000000.0</v>
      </c>
      <c r="D301" s="26">
        <v>2013.0</v>
      </c>
      <c r="E301" s="101">
        <v>41426.0</v>
      </c>
      <c r="F301" s="34" t="s">
        <v>1468</v>
      </c>
      <c r="G301" s="115" t="s">
        <v>236</v>
      </c>
      <c r="H301" s="115" t="s">
        <v>23</v>
      </c>
      <c r="I301" s="57"/>
      <c r="J301" s="26">
        <v>2.0</v>
      </c>
      <c r="K301" s="57"/>
      <c r="L301" s="53"/>
      <c r="M301" s="34" t="s">
        <v>571</v>
      </c>
      <c r="N301" s="135" t="s">
        <v>1469</v>
      </c>
      <c r="O301" s="19"/>
      <c r="P301" s="32">
        <v>137.0</v>
      </c>
      <c r="Q301" s="32"/>
      <c r="R301" s="32"/>
      <c r="S301" s="32"/>
      <c r="T301" s="32"/>
      <c r="U301" s="32"/>
      <c r="V301" s="32"/>
      <c r="W301" s="32"/>
      <c r="X301" s="32"/>
      <c r="Y301" s="32"/>
      <c r="Z301" s="32"/>
    </row>
    <row r="302">
      <c r="A302" s="46" t="s">
        <v>185</v>
      </c>
      <c r="B302" s="20" t="s">
        <v>186</v>
      </c>
      <c r="C302" s="22" t="s">
        <v>187</v>
      </c>
      <c r="D302" s="26">
        <v>2023.0</v>
      </c>
      <c r="E302" s="24">
        <v>45237.0</v>
      </c>
      <c r="F302" s="38" t="s">
        <v>188</v>
      </c>
      <c r="G302" s="26" t="s">
        <v>22</v>
      </c>
      <c r="H302" s="26" t="s">
        <v>23</v>
      </c>
      <c r="I302" s="26"/>
      <c r="J302" s="26">
        <v>2.0</v>
      </c>
      <c r="K302" s="27"/>
      <c r="L302" s="28"/>
      <c r="M302" s="34" t="s">
        <v>85</v>
      </c>
      <c r="N302" s="30" t="s">
        <v>189</v>
      </c>
      <c r="O302" s="31"/>
      <c r="P302" s="32">
        <v>479.0</v>
      </c>
      <c r="Q302" s="26"/>
      <c r="R302" s="21"/>
      <c r="S302" s="21"/>
      <c r="T302" s="21"/>
      <c r="U302" s="21"/>
      <c r="V302" s="21"/>
      <c r="W302" s="21"/>
      <c r="X302" s="21"/>
      <c r="Y302" s="21"/>
      <c r="Z302" s="21"/>
    </row>
    <row r="303">
      <c r="A303" s="114" t="s">
        <v>849</v>
      </c>
      <c r="B303" s="115" t="s">
        <v>850</v>
      </c>
      <c r="C303" s="22">
        <v>700000.0</v>
      </c>
      <c r="D303" s="26">
        <v>2018.0</v>
      </c>
      <c r="E303" s="101">
        <v>43435.0</v>
      </c>
      <c r="F303" s="34" t="s">
        <v>851</v>
      </c>
      <c r="G303" s="115" t="s">
        <v>22</v>
      </c>
      <c r="H303" s="105" t="s">
        <v>142</v>
      </c>
      <c r="I303" s="34" t="s">
        <v>29</v>
      </c>
      <c r="J303" s="26">
        <v>2.0</v>
      </c>
      <c r="K303" s="57"/>
      <c r="L303" s="53"/>
      <c r="M303" s="105" t="s">
        <v>852</v>
      </c>
      <c r="N303" s="116" t="s">
        <v>853</v>
      </c>
      <c r="O303" s="117"/>
      <c r="P303" s="32">
        <v>291.0</v>
      </c>
      <c r="Q303" s="32"/>
      <c r="R303" s="32"/>
      <c r="S303" s="32"/>
      <c r="T303" s="32"/>
      <c r="U303" s="32"/>
      <c r="V303" s="32"/>
      <c r="W303" s="32"/>
      <c r="X303" s="32"/>
      <c r="Y303" s="32"/>
      <c r="Z303" s="32"/>
    </row>
    <row r="304">
      <c r="A304" s="165" t="s">
        <v>1925</v>
      </c>
      <c r="B304" s="28"/>
      <c r="C304" s="22">
        <v>3950000.0</v>
      </c>
      <c r="D304" s="26">
        <v>2008.0</v>
      </c>
      <c r="E304" s="101">
        <v>39692.0</v>
      </c>
      <c r="F304" s="26" t="s">
        <v>1926</v>
      </c>
      <c r="G304" s="130" t="s">
        <v>64</v>
      </c>
      <c r="H304" s="105" t="s">
        <v>142</v>
      </c>
      <c r="I304" s="130" t="s">
        <v>29</v>
      </c>
      <c r="J304" s="26">
        <v>2.0</v>
      </c>
      <c r="K304" s="57"/>
      <c r="L304" s="28"/>
      <c r="M304" s="53" t="s">
        <v>1917</v>
      </c>
      <c r="N304" s="106" t="s">
        <v>1927</v>
      </c>
      <c r="O304" s="113"/>
      <c r="P304" s="32">
        <v>22.0</v>
      </c>
      <c r="Q304" s="32"/>
      <c r="R304" s="32"/>
      <c r="S304" s="32"/>
      <c r="T304" s="32"/>
      <c r="U304" s="32"/>
      <c r="V304" s="32"/>
      <c r="W304" s="32"/>
      <c r="X304" s="32"/>
      <c r="Y304" s="32"/>
      <c r="Z304" s="32"/>
    </row>
    <row r="305">
      <c r="A305" s="226" t="s">
        <v>66</v>
      </c>
      <c r="B305" s="224"/>
      <c r="C305" s="214">
        <v>100000.0</v>
      </c>
      <c r="D305" s="215">
        <v>2025.0</v>
      </c>
      <c r="E305" s="216">
        <v>45778.0</v>
      </c>
      <c r="F305" s="227" t="s">
        <v>67</v>
      </c>
      <c r="G305" s="215" t="s">
        <v>38</v>
      </c>
      <c r="H305" s="215" t="s">
        <v>23</v>
      </c>
      <c r="I305" s="215"/>
      <c r="J305" s="215">
        <v>4.0</v>
      </c>
      <c r="K305" s="218"/>
      <c r="L305" s="219"/>
      <c r="M305" s="220" t="s">
        <v>39</v>
      </c>
      <c r="N305" s="221" t="s">
        <v>68</v>
      </c>
      <c r="O305" s="222"/>
      <c r="P305" s="223">
        <v>514.0</v>
      </c>
      <c r="Q305" s="215"/>
      <c r="R305" s="224"/>
      <c r="S305" s="224"/>
      <c r="T305" s="224"/>
      <c r="U305" s="224"/>
      <c r="V305" s="224"/>
      <c r="W305" s="224"/>
      <c r="X305" s="224"/>
      <c r="Y305" s="224"/>
      <c r="Z305" s="224"/>
    </row>
    <row r="306">
      <c r="A306" s="62" t="s">
        <v>482</v>
      </c>
      <c r="B306" s="79"/>
      <c r="C306" s="64">
        <v>100000.0</v>
      </c>
      <c r="D306" s="68">
        <v>2021.0</v>
      </c>
      <c r="E306" s="66">
        <v>44256.0</v>
      </c>
      <c r="F306" s="88"/>
      <c r="G306" s="68" t="s">
        <v>50</v>
      </c>
      <c r="H306" s="68" t="s">
        <v>23</v>
      </c>
      <c r="I306" s="68"/>
      <c r="J306" s="68">
        <v>2.0</v>
      </c>
      <c r="K306" s="69"/>
      <c r="L306" s="70"/>
      <c r="M306" s="71" t="s">
        <v>483</v>
      </c>
      <c r="N306" s="72" t="s">
        <v>484</v>
      </c>
      <c r="O306" s="77" t="s">
        <v>485</v>
      </c>
      <c r="P306" s="74">
        <v>401.0</v>
      </c>
      <c r="Q306" s="74"/>
      <c r="R306" s="74"/>
      <c r="S306" s="74"/>
      <c r="T306" s="74"/>
      <c r="U306" s="74"/>
      <c r="V306" s="74"/>
      <c r="W306" s="74"/>
      <c r="X306" s="74"/>
      <c r="Y306" s="74"/>
      <c r="Z306" s="74"/>
    </row>
    <row r="307">
      <c r="A307" s="165" t="s">
        <v>1554</v>
      </c>
      <c r="B307" s="53"/>
      <c r="C307" s="22">
        <v>6500000.0</v>
      </c>
      <c r="D307" s="26">
        <v>2012.0</v>
      </c>
      <c r="E307" s="101">
        <v>41000.0</v>
      </c>
      <c r="F307" s="26" t="s">
        <v>1555</v>
      </c>
      <c r="G307" s="115" t="s">
        <v>64</v>
      </c>
      <c r="H307" s="105" t="s">
        <v>142</v>
      </c>
      <c r="I307" s="28"/>
      <c r="J307" s="26">
        <v>2.0</v>
      </c>
      <c r="K307" s="57"/>
      <c r="L307" s="28"/>
      <c r="M307" s="53" t="s">
        <v>1556</v>
      </c>
      <c r="N307" s="106" t="s">
        <v>1557</v>
      </c>
      <c r="O307" s="113"/>
      <c r="P307" s="32">
        <v>115.0</v>
      </c>
      <c r="Q307" s="32"/>
      <c r="R307" s="32"/>
      <c r="S307" s="32"/>
      <c r="T307" s="32"/>
      <c r="U307" s="32"/>
      <c r="V307" s="32"/>
      <c r="W307" s="32"/>
      <c r="X307" s="32"/>
      <c r="Y307" s="32"/>
      <c r="Z307" s="32"/>
    </row>
    <row r="308">
      <c r="A308" s="20" t="s">
        <v>234</v>
      </c>
      <c r="B308" s="21"/>
      <c r="C308" s="22">
        <v>538000.0</v>
      </c>
      <c r="D308" s="26">
        <v>2023.0</v>
      </c>
      <c r="E308" s="24">
        <v>45650.0</v>
      </c>
      <c r="F308" s="38" t="s">
        <v>235</v>
      </c>
      <c r="G308" s="26" t="s">
        <v>236</v>
      </c>
      <c r="H308" s="26" t="s">
        <v>23</v>
      </c>
      <c r="I308" s="26"/>
      <c r="J308" s="26">
        <v>2.0</v>
      </c>
      <c r="K308" s="27"/>
      <c r="L308" s="28"/>
      <c r="M308" s="34" t="s">
        <v>85</v>
      </c>
      <c r="N308" s="35" t="s">
        <v>237</v>
      </c>
      <c r="O308" s="31"/>
      <c r="P308" s="32">
        <v>467.0</v>
      </c>
      <c r="Q308" s="26"/>
      <c r="R308" s="21"/>
      <c r="S308" s="21"/>
      <c r="T308" s="21"/>
      <c r="U308" s="21"/>
      <c r="V308" s="21"/>
      <c r="W308" s="21"/>
      <c r="X308" s="21"/>
      <c r="Y308" s="21"/>
      <c r="Z308" s="21"/>
    </row>
    <row r="309">
      <c r="A309" s="165" t="s">
        <v>1790</v>
      </c>
      <c r="B309" s="28"/>
      <c r="C309" s="22">
        <v>760000.0</v>
      </c>
      <c r="D309" s="26">
        <v>2010.0</v>
      </c>
      <c r="E309" s="101">
        <v>40513.0</v>
      </c>
      <c r="F309" s="26" t="s">
        <v>1791</v>
      </c>
      <c r="G309" s="26" t="s">
        <v>110</v>
      </c>
      <c r="H309" s="130" t="s">
        <v>23</v>
      </c>
      <c r="I309" s="28"/>
      <c r="J309" s="26">
        <v>2.0</v>
      </c>
      <c r="K309" s="57"/>
      <c r="L309" s="28"/>
      <c r="M309" s="105" t="s">
        <v>1792</v>
      </c>
      <c r="N309" s="106" t="s">
        <v>1793</v>
      </c>
      <c r="O309" s="113"/>
      <c r="P309" s="32">
        <v>56.0</v>
      </c>
      <c r="Q309" s="32"/>
      <c r="R309" s="32"/>
      <c r="S309" s="32"/>
      <c r="T309" s="32"/>
      <c r="U309" s="32"/>
      <c r="V309" s="32"/>
      <c r="W309" s="32"/>
      <c r="X309" s="32"/>
      <c r="Y309" s="32"/>
      <c r="Z309" s="32"/>
    </row>
    <row r="310">
      <c r="A310" s="20" t="s">
        <v>263</v>
      </c>
      <c r="B310" s="47"/>
      <c r="C310" s="22">
        <v>134.0</v>
      </c>
      <c r="D310" s="26">
        <v>2023.0</v>
      </c>
      <c r="E310" s="24">
        <v>45253.0</v>
      </c>
      <c r="F310" s="38" t="s">
        <v>264</v>
      </c>
      <c r="G310" s="26" t="s">
        <v>50</v>
      </c>
      <c r="H310" s="26" t="s">
        <v>23</v>
      </c>
      <c r="I310" s="26"/>
      <c r="J310" s="26">
        <v>1.0</v>
      </c>
      <c r="K310" s="27"/>
      <c r="L310" s="28"/>
      <c r="M310" s="34" t="s">
        <v>263</v>
      </c>
      <c r="N310" s="48" t="s">
        <v>265</v>
      </c>
      <c r="O310" s="31"/>
      <c r="P310" s="32">
        <v>459.0</v>
      </c>
      <c r="Q310" s="34"/>
      <c r="R310" s="32"/>
      <c r="S310" s="32"/>
      <c r="T310" s="32"/>
      <c r="U310" s="32"/>
      <c r="V310" s="32"/>
      <c r="W310" s="32"/>
      <c r="X310" s="32"/>
      <c r="Y310" s="32"/>
      <c r="Z310" s="32"/>
    </row>
    <row r="311">
      <c r="A311" s="62" t="s">
        <v>263</v>
      </c>
      <c r="B311" s="79"/>
      <c r="C311" s="64">
        <v>100000.0</v>
      </c>
      <c r="D311" s="68">
        <v>2021.0</v>
      </c>
      <c r="E311" s="66">
        <v>44197.0</v>
      </c>
      <c r="F311" s="89" t="s">
        <v>486</v>
      </c>
      <c r="G311" s="68" t="s">
        <v>50</v>
      </c>
      <c r="H311" s="68" t="s">
        <v>23</v>
      </c>
      <c r="I311" s="68"/>
      <c r="J311" s="68">
        <v>1.0</v>
      </c>
      <c r="K311" s="69"/>
      <c r="L311" s="70"/>
      <c r="M311" s="71" t="s">
        <v>314</v>
      </c>
      <c r="N311" s="72" t="s">
        <v>487</v>
      </c>
      <c r="O311" s="77" t="s">
        <v>488</v>
      </c>
      <c r="P311" s="74">
        <v>399.0</v>
      </c>
      <c r="Q311" s="74"/>
      <c r="R311" s="74"/>
      <c r="S311" s="74"/>
      <c r="T311" s="74"/>
      <c r="U311" s="74"/>
      <c r="V311" s="74"/>
      <c r="W311" s="74"/>
      <c r="X311" s="74"/>
      <c r="Y311" s="74"/>
      <c r="Z311" s="74"/>
    </row>
    <row r="312">
      <c r="A312" s="20" t="s">
        <v>552</v>
      </c>
      <c r="B312" s="98" t="s">
        <v>553</v>
      </c>
      <c r="C312" s="22">
        <v>1710000.0</v>
      </c>
      <c r="D312" s="26">
        <v>2021.0</v>
      </c>
      <c r="E312" s="91">
        <v>44317.0</v>
      </c>
      <c r="F312" s="99" t="s">
        <v>554</v>
      </c>
      <c r="G312" s="26" t="s">
        <v>28</v>
      </c>
      <c r="H312" s="26" t="s">
        <v>23</v>
      </c>
      <c r="I312" s="26"/>
      <c r="J312" s="26">
        <v>2.0</v>
      </c>
      <c r="K312" s="27"/>
      <c r="L312" s="28"/>
      <c r="M312" s="34" t="s">
        <v>555</v>
      </c>
      <c r="N312" s="92" t="s">
        <v>556</v>
      </c>
      <c r="O312" s="31"/>
      <c r="P312" s="32">
        <v>381.0</v>
      </c>
      <c r="Q312" s="32"/>
      <c r="R312" s="32"/>
      <c r="S312" s="32"/>
      <c r="T312" s="32"/>
      <c r="U312" s="32"/>
      <c r="V312" s="32"/>
      <c r="W312" s="32"/>
      <c r="X312" s="32"/>
      <c r="Y312" s="32"/>
      <c r="Z312" s="32"/>
    </row>
    <row r="313">
      <c r="A313" s="20" t="s">
        <v>238</v>
      </c>
      <c r="B313" s="21"/>
      <c r="C313" s="22">
        <v>100000.0</v>
      </c>
      <c r="D313" s="26">
        <v>2023.0</v>
      </c>
      <c r="E313" s="24">
        <v>45539.0</v>
      </c>
      <c r="F313" s="38" t="s">
        <v>239</v>
      </c>
      <c r="G313" s="26" t="s">
        <v>50</v>
      </c>
      <c r="H313" s="26" t="s">
        <v>23</v>
      </c>
      <c r="I313" s="26"/>
      <c r="J313" s="26">
        <v>3.0</v>
      </c>
      <c r="K313" s="27"/>
      <c r="L313" s="28"/>
      <c r="M313" s="34" t="s">
        <v>85</v>
      </c>
      <c r="N313" s="35" t="s">
        <v>240</v>
      </c>
      <c r="O313" s="31"/>
      <c r="P313" s="32">
        <v>466.0</v>
      </c>
      <c r="Q313" s="26"/>
      <c r="R313" s="21"/>
      <c r="S313" s="21"/>
      <c r="T313" s="21"/>
      <c r="U313" s="21"/>
      <c r="V313" s="21"/>
      <c r="W313" s="21"/>
      <c r="X313" s="21"/>
      <c r="Y313" s="21"/>
      <c r="Z313" s="21"/>
    </row>
    <row r="314">
      <c r="A314" s="62" t="s">
        <v>451</v>
      </c>
      <c r="B314" s="63"/>
      <c r="C314" s="64">
        <v>100000.0</v>
      </c>
      <c r="D314" s="68">
        <v>2022.0</v>
      </c>
      <c r="E314" s="66">
        <v>44562.0</v>
      </c>
      <c r="F314" s="83"/>
      <c r="G314" s="68" t="s">
        <v>28</v>
      </c>
      <c r="H314" s="68" t="s">
        <v>23</v>
      </c>
      <c r="I314" s="68"/>
      <c r="J314" s="68">
        <v>1.0</v>
      </c>
      <c r="K314" s="69"/>
      <c r="L314" s="70"/>
      <c r="M314" s="71" t="s">
        <v>451</v>
      </c>
      <c r="N314" s="72" t="s">
        <v>452</v>
      </c>
      <c r="O314" s="73"/>
      <c r="P314" s="74">
        <v>410.0</v>
      </c>
      <c r="Q314" s="74"/>
      <c r="R314" s="74"/>
      <c r="S314" s="74"/>
      <c r="T314" s="74"/>
      <c r="U314" s="74"/>
      <c r="V314" s="74"/>
      <c r="W314" s="74"/>
      <c r="X314" s="74"/>
      <c r="Y314" s="74"/>
      <c r="Z314" s="74"/>
    </row>
    <row r="315">
      <c r="A315" s="52" t="s">
        <v>322</v>
      </c>
      <c r="B315" s="53"/>
      <c r="C315" s="22">
        <v>9700000.0</v>
      </c>
      <c r="D315" s="26">
        <v>2022.0</v>
      </c>
      <c r="E315" s="54" t="s">
        <v>323</v>
      </c>
      <c r="F315" s="38" t="s">
        <v>324</v>
      </c>
      <c r="G315" s="34" t="s">
        <v>129</v>
      </c>
      <c r="H315" s="34" t="s">
        <v>23</v>
      </c>
      <c r="I315" s="53"/>
      <c r="J315" s="26">
        <v>4.0</v>
      </c>
      <c r="K315" s="57"/>
      <c r="L315" s="53"/>
      <c r="M315" s="34" t="s">
        <v>325</v>
      </c>
      <c r="N315" s="55" t="s">
        <v>326</v>
      </c>
      <c r="O315" s="56" t="s">
        <v>327</v>
      </c>
      <c r="P315" s="32">
        <v>443.0</v>
      </c>
      <c r="Q315" s="34"/>
      <c r="R315" s="53"/>
      <c r="S315" s="53"/>
      <c r="T315" s="53"/>
      <c r="U315" s="53"/>
      <c r="V315" s="53"/>
      <c r="W315" s="53"/>
      <c r="X315" s="53"/>
      <c r="Y315" s="53"/>
      <c r="Z315" s="53"/>
    </row>
    <row r="316">
      <c r="A316" s="226" t="s">
        <v>134</v>
      </c>
      <c r="B316" s="224"/>
      <c r="C316" s="214">
        <v>556600.0</v>
      </c>
      <c r="D316" s="215">
        <v>2025.0</v>
      </c>
      <c r="E316" s="216">
        <v>45713.0</v>
      </c>
      <c r="F316" s="227" t="s">
        <v>135</v>
      </c>
      <c r="G316" s="215" t="s">
        <v>129</v>
      </c>
      <c r="H316" s="215" t="s">
        <v>23</v>
      </c>
      <c r="I316" s="215"/>
      <c r="J316" s="215">
        <v>2.0</v>
      </c>
      <c r="K316" s="218"/>
      <c r="L316" s="219"/>
      <c r="M316" s="220" t="s">
        <v>72</v>
      </c>
      <c r="N316" s="221" t="s">
        <v>136</v>
      </c>
      <c r="O316" s="222"/>
      <c r="P316" s="223">
        <v>494.0</v>
      </c>
      <c r="Q316" s="215"/>
      <c r="R316" s="224"/>
      <c r="S316" s="224"/>
      <c r="T316" s="224"/>
      <c r="U316" s="224"/>
      <c r="V316" s="224"/>
      <c r="W316" s="224"/>
      <c r="X316" s="224"/>
      <c r="Y316" s="224"/>
      <c r="Z316" s="224"/>
    </row>
    <row r="317">
      <c r="A317" s="20" t="s">
        <v>920</v>
      </c>
      <c r="B317" s="26"/>
      <c r="C317" s="22">
        <v>880000.0</v>
      </c>
      <c r="D317" s="26">
        <v>2018.0</v>
      </c>
      <c r="E317" s="101">
        <v>43160.0</v>
      </c>
      <c r="F317" s="26" t="s">
        <v>921</v>
      </c>
      <c r="G317" s="26" t="s">
        <v>28</v>
      </c>
      <c r="H317" s="26" t="s">
        <v>23</v>
      </c>
      <c r="I317" s="28"/>
      <c r="J317" s="26">
        <v>3.0</v>
      </c>
      <c r="K317" s="57"/>
      <c r="L317" s="110"/>
      <c r="M317" s="26" t="s">
        <v>922</v>
      </c>
      <c r="N317" s="106" t="s">
        <v>923</v>
      </c>
      <c r="O317" s="113"/>
      <c r="P317" s="32">
        <v>274.0</v>
      </c>
      <c r="Q317" s="32"/>
      <c r="R317" s="32"/>
      <c r="S317" s="32"/>
      <c r="T317" s="32"/>
      <c r="U317" s="32"/>
      <c r="V317" s="32"/>
      <c r="W317" s="32"/>
      <c r="X317" s="32"/>
      <c r="Y317" s="32"/>
      <c r="Z317" s="32"/>
    </row>
    <row r="318">
      <c r="A318" s="165" t="s">
        <v>1739</v>
      </c>
      <c r="B318" s="28"/>
      <c r="C318" s="22">
        <v>1000000.0</v>
      </c>
      <c r="D318" s="26">
        <v>2011.0</v>
      </c>
      <c r="E318" s="101">
        <v>40664.0</v>
      </c>
      <c r="F318" s="26" t="s">
        <v>1740</v>
      </c>
      <c r="G318" s="130" t="s">
        <v>64</v>
      </c>
      <c r="H318" s="26" t="s">
        <v>23</v>
      </c>
      <c r="I318" s="28"/>
      <c r="J318" s="26">
        <v>2.0</v>
      </c>
      <c r="K318" s="57"/>
      <c r="L318" s="28"/>
      <c r="M318" s="34" t="s">
        <v>1026</v>
      </c>
      <c r="N318" s="106" t="s">
        <v>1741</v>
      </c>
      <c r="O318" s="113"/>
      <c r="P318" s="32">
        <v>68.0</v>
      </c>
      <c r="Q318" s="32"/>
      <c r="R318" s="32"/>
      <c r="S318" s="32"/>
      <c r="T318" s="32"/>
      <c r="U318" s="32"/>
      <c r="V318" s="32"/>
      <c r="W318" s="32"/>
      <c r="X318" s="32"/>
      <c r="Y318" s="32"/>
      <c r="Z318" s="32"/>
    </row>
    <row r="319">
      <c r="A319" s="165" t="s">
        <v>1448</v>
      </c>
      <c r="B319" s="111" t="s">
        <v>1449</v>
      </c>
      <c r="C319" s="22">
        <v>200000.0</v>
      </c>
      <c r="D319" s="26">
        <v>2013.0</v>
      </c>
      <c r="E319" s="101">
        <v>41456.0</v>
      </c>
      <c r="F319" s="34" t="s">
        <v>1450</v>
      </c>
      <c r="G319" s="130" t="s">
        <v>28</v>
      </c>
      <c r="H319" s="130" t="s">
        <v>23</v>
      </c>
      <c r="I319" s="28"/>
      <c r="J319" s="26">
        <v>2.0</v>
      </c>
      <c r="K319" s="57"/>
      <c r="L319" s="28"/>
      <c r="M319" s="53" t="s">
        <v>1448</v>
      </c>
      <c r="N319" s="166" t="s">
        <v>1451</v>
      </c>
      <c r="O319" s="113"/>
      <c r="P319" s="32">
        <v>142.0</v>
      </c>
      <c r="Q319" s="32"/>
      <c r="R319" s="32"/>
      <c r="S319" s="32"/>
      <c r="T319" s="32"/>
      <c r="U319" s="32"/>
      <c r="V319" s="32"/>
      <c r="W319" s="32"/>
      <c r="X319" s="32"/>
      <c r="Y319" s="32"/>
      <c r="Z319" s="32"/>
    </row>
    <row r="320">
      <c r="A320" s="20" t="s">
        <v>810</v>
      </c>
      <c r="B320" s="51"/>
      <c r="C320" s="22">
        <v>3.8E8</v>
      </c>
      <c r="D320" s="26">
        <v>2019.0</v>
      </c>
      <c r="E320" s="101">
        <v>43770.0</v>
      </c>
      <c r="F320" s="26" t="s">
        <v>811</v>
      </c>
      <c r="G320" s="26" t="s">
        <v>50</v>
      </c>
      <c r="H320" s="26" t="s">
        <v>51</v>
      </c>
      <c r="I320" s="28"/>
      <c r="J320" s="26">
        <v>2.0</v>
      </c>
      <c r="K320" s="27" t="s">
        <v>812</v>
      </c>
      <c r="L320" s="28"/>
      <c r="M320" s="34" t="s">
        <v>813</v>
      </c>
      <c r="N320" s="102" t="s">
        <v>814</v>
      </c>
      <c r="O320" s="31"/>
      <c r="P320" s="32">
        <v>300.0</v>
      </c>
      <c r="Q320" s="32"/>
      <c r="R320" s="32"/>
      <c r="S320" s="32"/>
      <c r="T320" s="32"/>
      <c r="U320" s="32"/>
      <c r="V320" s="32"/>
      <c r="W320" s="32"/>
      <c r="X320" s="32"/>
      <c r="Y320" s="32"/>
      <c r="Z320" s="32"/>
    </row>
    <row r="321">
      <c r="A321" s="20" t="s">
        <v>635</v>
      </c>
      <c r="B321" s="51"/>
      <c r="C321" s="22">
        <v>1.15E8</v>
      </c>
      <c r="D321" s="26">
        <v>2020.0</v>
      </c>
      <c r="E321" s="101">
        <v>43922.0</v>
      </c>
      <c r="F321" s="26" t="s">
        <v>636</v>
      </c>
      <c r="G321" s="26" t="s">
        <v>129</v>
      </c>
      <c r="H321" s="26" t="s">
        <v>23</v>
      </c>
      <c r="I321" s="28"/>
      <c r="J321" s="26">
        <v>2.0</v>
      </c>
      <c r="K321" s="27" t="s">
        <v>637</v>
      </c>
      <c r="L321" s="28"/>
      <c r="M321" s="34" t="s">
        <v>571</v>
      </c>
      <c r="N321" s="100" t="s">
        <v>638</v>
      </c>
      <c r="O321" s="31"/>
      <c r="P321" s="32">
        <v>358.0</v>
      </c>
      <c r="Q321" s="32"/>
      <c r="R321" s="32"/>
      <c r="S321" s="32"/>
      <c r="T321" s="32"/>
      <c r="U321" s="32"/>
      <c r="V321" s="32"/>
      <c r="W321" s="32"/>
      <c r="X321" s="32"/>
      <c r="Y321" s="32"/>
      <c r="Z321" s="32"/>
    </row>
    <row r="322">
      <c r="A322" s="20" t="s">
        <v>218</v>
      </c>
      <c r="B322" s="21"/>
      <c r="C322" s="22">
        <v>47000.0</v>
      </c>
      <c r="D322" s="26">
        <v>2024.0</v>
      </c>
      <c r="E322" s="24">
        <v>45361.0</v>
      </c>
      <c r="F322" s="38" t="s">
        <v>219</v>
      </c>
      <c r="G322" s="26" t="s">
        <v>43</v>
      </c>
      <c r="H322" s="26" t="s">
        <v>23</v>
      </c>
      <c r="I322" s="26"/>
      <c r="J322" s="26">
        <v>2.0</v>
      </c>
      <c r="K322" s="27"/>
      <c r="L322" s="28"/>
      <c r="M322" s="34" t="s">
        <v>85</v>
      </c>
      <c r="N322" s="35" t="s">
        <v>220</v>
      </c>
      <c r="O322" s="31"/>
      <c r="P322" s="32">
        <v>471.0</v>
      </c>
      <c r="Q322" s="26"/>
      <c r="R322" s="21"/>
      <c r="S322" s="21"/>
      <c r="T322" s="21"/>
      <c r="U322" s="21"/>
      <c r="V322" s="21"/>
      <c r="W322" s="21"/>
      <c r="X322" s="21"/>
      <c r="Y322" s="21"/>
      <c r="Z322" s="21"/>
    </row>
    <row r="323">
      <c r="A323" s="20" t="s">
        <v>505</v>
      </c>
      <c r="B323" s="51"/>
      <c r="C323" s="22">
        <v>1.19E7</v>
      </c>
      <c r="D323" s="26">
        <v>2021.0</v>
      </c>
      <c r="E323" s="91">
        <v>44470.0</v>
      </c>
      <c r="F323" s="93" t="s">
        <v>506</v>
      </c>
      <c r="G323" s="26" t="s">
        <v>64</v>
      </c>
      <c r="H323" s="26" t="s">
        <v>23</v>
      </c>
      <c r="I323" s="26" t="s">
        <v>29</v>
      </c>
      <c r="J323" s="26">
        <v>4.0</v>
      </c>
      <c r="K323" s="27"/>
      <c r="L323" s="28"/>
      <c r="M323" s="34" t="s">
        <v>507</v>
      </c>
      <c r="N323" s="92" t="s">
        <v>508</v>
      </c>
      <c r="O323" s="31"/>
      <c r="P323" s="32">
        <v>393.0</v>
      </c>
      <c r="Q323" s="32"/>
      <c r="R323" s="32"/>
      <c r="S323" s="32"/>
      <c r="T323" s="32"/>
      <c r="U323" s="32"/>
      <c r="V323" s="32"/>
      <c r="W323" s="32"/>
      <c r="X323" s="32"/>
      <c r="Y323" s="32"/>
      <c r="Z323" s="32"/>
    </row>
    <row r="324">
      <c r="A324" s="118" t="s">
        <v>857</v>
      </c>
      <c r="B324" s="112"/>
      <c r="C324" s="119">
        <v>3.7E7</v>
      </c>
      <c r="D324" s="26">
        <v>2018.0</v>
      </c>
      <c r="E324" s="101">
        <v>43191.0</v>
      </c>
      <c r="F324" s="34" t="s">
        <v>858</v>
      </c>
      <c r="G324" s="112" t="s">
        <v>43</v>
      </c>
      <c r="H324" s="112" t="s">
        <v>51</v>
      </c>
      <c r="I324" s="120"/>
      <c r="J324" s="26">
        <v>2.0</v>
      </c>
      <c r="K324" s="57"/>
      <c r="L324" s="120"/>
      <c r="M324" s="112" t="s">
        <v>859</v>
      </c>
      <c r="N324" s="121" t="s">
        <v>860</v>
      </c>
      <c r="O324" s="122" t="s">
        <v>861</v>
      </c>
      <c r="P324" s="32">
        <v>289.0</v>
      </c>
      <c r="Q324" s="32"/>
      <c r="R324" s="32"/>
      <c r="S324" s="32"/>
      <c r="T324" s="32"/>
      <c r="U324" s="32"/>
      <c r="V324" s="32"/>
      <c r="W324" s="32"/>
      <c r="X324" s="32"/>
      <c r="Y324" s="32"/>
      <c r="Z324" s="32"/>
    </row>
    <row r="325">
      <c r="A325" s="20" t="s">
        <v>565</v>
      </c>
      <c r="B325" s="98" t="s">
        <v>566</v>
      </c>
      <c r="C325" s="22">
        <v>2.1E7</v>
      </c>
      <c r="D325" s="26">
        <v>2021.0</v>
      </c>
      <c r="E325" s="91">
        <v>44287.0</v>
      </c>
      <c r="F325" s="95" t="s">
        <v>567</v>
      </c>
      <c r="G325" s="26" t="s">
        <v>22</v>
      </c>
      <c r="H325" s="26" t="s">
        <v>23</v>
      </c>
      <c r="I325" s="26"/>
      <c r="J325" s="26">
        <v>2.0</v>
      </c>
      <c r="K325" s="27"/>
      <c r="L325" s="28"/>
      <c r="M325" s="34" t="s">
        <v>522</v>
      </c>
      <c r="N325" s="92" t="s">
        <v>568</v>
      </c>
      <c r="O325" s="31"/>
      <c r="P325" s="32">
        <v>377.0</v>
      </c>
      <c r="Q325" s="32"/>
      <c r="R325" s="32"/>
      <c r="S325" s="32"/>
      <c r="T325" s="32"/>
      <c r="U325" s="32"/>
      <c r="V325" s="32"/>
      <c r="W325" s="32"/>
      <c r="X325" s="32"/>
      <c r="Y325" s="32"/>
      <c r="Z325" s="32"/>
    </row>
    <row r="326">
      <c r="A326" s="20" t="s">
        <v>1127</v>
      </c>
      <c r="B326" s="26"/>
      <c r="C326" s="22">
        <v>300000.0</v>
      </c>
      <c r="D326" s="26">
        <v>2016.0</v>
      </c>
      <c r="E326" s="101">
        <v>42705.0</v>
      </c>
      <c r="F326" s="26" t="s">
        <v>1128</v>
      </c>
      <c r="G326" s="26" t="s">
        <v>28</v>
      </c>
      <c r="H326" s="130" t="s">
        <v>23</v>
      </c>
      <c r="I326" s="28"/>
      <c r="J326" s="26">
        <v>1.0</v>
      </c>
      <c r="K326" s="57"/>
      <c r="L326" s="28"/>
      <c r="M326" s="53" t="s">
        <v>905</v>
      </c>
      <c r="N326" s="106" t="s">
        <v>1129</v>
      </c>
      <c r="O326" s="113"/>
      <c r="P326" s="32">
        <v>222.0</v>
      </c>
      <c r="Q326" s="32"/>
      <c r="R326" s="32"/>
      <c r="S326" s="32"/>
      <c r="T326" s="32"/>
      <c r="U326" s="32"/>
      <c r="V326" s="32"/>
      <c r="W326" s="32"/>
      <c r="X326" s="32"/>
      <c r="Y326" s="32"/>
      <c r="Z326" s="32"/>
    </row>
    <row r="327">
      <c r="A327" s="62" t="s">
        <v>435</v>
      </c>
      <c r="B327" s="78"/>
      <c r="C327" s="64">
        <v>1580249.0</v>
      </c>
      <c r="D327" s="68">
        <v>2022.0</v>
      </c>
      <c r="E327" s="66">
        <v>44621.0</v>
      </c>
      <c r="F327" s="68" t="s">
        <v>436</v>
      </c>
      <c r="G327" s="26" t="s">
        <v>58</v>
      </c>
      <c r="H327" s="68" t="s">
        <v>23</v>
      </c>
      <c r="I327" s="68"/>
      <c r="J327" s="68">
        <v>3.0</v>
      </c>
      <c r="K327" s="69"/>
      <c r="L327" s="70"/>
      <c r="M327" s="71" t="s">
        <v>437</v>
      </c>
      <c r="N327" s="72" t="s">
        <v>438</v>
      </c>
      <c r="O327" s="73"/>
      <c r="P327" s="74">
        <v>414.0</v>
      </c>
      <c r="Q327" s="74"/>
      <c r="R327" s="74"/>
      <c r="S327" s="74"/>
      <c r="T327" s="74"/>
      <c r="U327" s="74"/>
      <c r="V327" s="74"/>
      <c r="W327" s="74"/>
      <c r="X327" s="74"/>
      <c r="Y327" s="74"/>
      <c r="Z327" s="74"/>
    </row>
    <row r="328">
      <c r="A328" s="52" t="s">
        <v>328</v>
      </c>
      <c r="B328" s="53"/>
      <c r="C328" s="26">
        <v>34942.0</v>
      </c>
      <c r="D328" s="26">
        <v>2023.0</v>
      </c>
      <c r="E328" s="54">
        <v>44896.0</v>
      </c>
      <c r="F328" s="38" t="s">
        <v>329</v>
      </c>
      <c r="G328" s="26" t="s">
        <v>58</v>
      </c>
      <c r="H328" s="34" t="s">
        <v>23</v>
      </c>
      <c r="I328" s="53"/>
      <c r="J328" s="26">
        <v>2.0</v>
      </c>
      <c r="K328" s="57"/>
      <c r="L328" s="53"/>
      <c r="M328" s="34" t="s">
        <v>330</v>
      </c>
      <c r="N328" s="55" t="s">
        <v>331</v>
      </c>
      <c r="O328" s="56" t="s">
        <v>332</v>
      </c>
      <c r="P328" s="32">
        <v>442.0</v>
      </c>
      <c r="Q328" s="34"/>
      <c r="R328" s="53"/>
      <c r="S328" s="53"/>
      <c r="T328" s="53"/>
      <c r="U328" s="53"/>
      <c r="V328" s="53"/>
      <c r="W328" s="53"/>
      <c r="X328" s="53"/>
      <c r="Y328" s="53"/>
      <c r="Z328" s="53"/>
    </row>
    <row r="329">
      <c r="A329" s="20" t="s">
        <v>561</v>
      </c>
      <c r="B329" s="98"/>
      <c r="C329" s="22">
        <v>3000000.0</v>
      </c>
      <c r="D329" s="26">
        <v>2021.0</v>
      </c>
      <c r="E329" s="91">
        <v>44317.0</v>
      </c>
      <c r="F329" s="99"/>
      <c r="G329" s="26" t="s">
        <v>50</v>
      </c>
      <c r="H329" s="26" t="s">
        <v>380</v>
      </c>
      <c r="I329" s="26"/>
      <c r="J329" s="26">
        <v>2.0</v>
      </c>
      <c r="K329" s="27"/>
      <c r="L329" s="28"/>
      <c r="M329" s="34" t="s">
        <v>247</v>
      </c>
      <c r="N329" s="92" t="s">
        <v>562</v>
      </c>
      <c r="O329" s="31"/>
      <c r="P329" s="32">
        <v>379.0</v>
      </c>
      <c r="Q329" s="32"/>
      <c r="R329" s="32"/>
      <c r="S329" s="32"/>
      <c r="T329" s="32"/>
      <c r="U329" s="32"/>
      <c r="V329" s="32"/>
      <c r="W329" s="32"/>
      <c r="X329" s="32"/>
      <c r="Y329" s="32"/>
      <c r="Z329" s="32"/>
    </row>
    <row r="330">
      <c r="A330" s="103" t="s">
        <v>770</v>
      </c>
      <c r="B330" s="104"/>
      <c r="C330" s="22">
        <v>1000000.0</v>
      </c>
      <c r="D330" s="26">
        <v>2019.0</v>
      </c>
      <c r="E330" s="101">
        <v>43497.0</v>
      </c>
      <c r="F330" s="26" t="s">
        <v>761</v>
      </c>
      <c r="G330" s="26" t="s">
        <v>43</v>
      </c>
      <c r="H330" s="26" t="s">
        <v>51</v>
      </c>
      <c r="I330" s="28"/>
      <c r="J330" s="26">
        <v>1.0</v>
      </c>
      <c r="K330" s="27" t="str">
        <f>IF(C330&gt;100000000,C330,"")</f>
        <v/>
      </c>
      <c r="L330" s="28"/>
      <c r="M330" s="105" t="s">
        <v>725</v>
      </c>
      <c r="N330" s="106" t="s">
        <v>762</v>
      </c>
      <c r="O330" s="109"/>
      <c r="P330" s="32">
        <v>312.0</v>
      </c>
      <c r="Q330" s="32"/>
      <c r="R330" s="32"/>
      <c r="S330" s="32"/>
      <c r="T330" s="32"/>
      <c r="U330" s="32"/>
      <c r="V330" s="32"/>
      <c r="W330" s="32"/>
      <c r="X330" s="32"/>
      <c r="Y330" s="32"/>
      <c r="Z330" s="32"/>
    </row>
    <row r="331">
      <c r="A331" s="20" t="s">
        <v>303</v>
      </c>
      <c r="B331" s="51"/>
      <c r="C331" s="22">
        <v>5800000.0</v>
      </c>
      <c r="D331" s="26">
        <v>2023.0</v>
      </c>
      <c r="E331" s="24">
        <v>45047.0</v>
      </c>
      <c r="F331" s="26" t="s">
        <v>304</v>
      </c>
      <c r="G331" s="26" t="s">
        <v>258</v>
      </c>
      <c r="H331" s="26" t="s">
        <v>23</v>
      </c>
      <c r="I331" s="28"/>
      <c r="J331" s="26">
        <v>4.0</v>
      </c>
      <c r="K331" s="27"/>
      <c r="L331" s="28"/>
      <c r="M331" s="34" t="s">
        <v>85</v>
      </c>
      <c r="N331" s="35" t="s">
        <v>305</v>
      </c>
      <c r="O331" s="31"/>
      <c r="P331" s="32">
        <v>448.0</v>
      </c>
      <c r="Q331" s="26"/>
      <c r="R331" s="21"/>
      <c r="S331" s="21"/>
      <c r="T331" s="21"/>
      <c r="U331" s="21"/>
      <c r="V331" s="21"/>
      <c r="W331" s="21"/>
      <c r="X331" s="21"/>
      <c r="Y331" s="21"/>
      <c r="Z331" s="21"/>
    </row>
    <row r="332">
      <c r="A332" s="20" t="s">
        <v>221</v>
      </c>
      <c r="B332" s="21"/>
      <c r="C332" s="22">
        <v>25000.0</v>
      </c>
      <c r="D332" s="26">
        <v>2023.0</v>
      </c>
      <c r="E332" s="24">
        <v>45059.0</v>
      </c>
      <c r="F332" s="38" t="s">
        <v>222</v>
      </c>
      <c r="G332" s="26" t="s">
        <v>38</v>
      </c>
      <c r="H332" s="26" t="s">
        <v>23</v>
      </c>
      <c r="I332" s="26"/>
      <c r="J332" s="26">
        <v>4.0</v>
      </c>
      <c r="K332" s="27"/>
      <c r="L332" s="28"/>
      <c r="M332" s="34" t="s">
        <v>85</v>
      </c>
      <c r="N332" s="35" t="s">
        <v>223</v>
      </c>
      <c r="O332" s="31"/>
      <c r="P332" s="32">
        <v>470.0</v>
      </c>
      <c r="Q332" s="26"/>
      <c r="R332" s="21"/>
      <c r="S332" s="21"/>
      <c r="T332" s="21"/>
      <c r="U332" s="21"/>
      <c r="V332" s="21"/>
      <c r="W332" s="21"/>
      <c r="X332" s="21"/>
      <c r="Y332" s="21"/>
      <c r="Z332" s="21"/>
    </row>
    <row r="333">
      <c r="A333" s="52" t="s">
        <v>1103</v>
      </c>
      <c r="B333" s="111" t="s">
        <v>1104</v>
      </c>
      <c r="C333" s="22">
        <v>5.5E7</v>
      </c>
      <c r="D333" s="26">
        <v>2016.0</v>
      </c>
      <c r="E333" s="101">
        <v>42461.0</v>
      </c>
      <c r="F333" s="26" t="s">
        <v>1105</v>
      </c>
      <c r="G333" s="26" t="s">
        <v>64</v>
      </c>
      <c r="H333" s="26" t="s">
        <v>23</v>
      </c>
      <c r="I333" s="28"/>
      <c r="J333" s="26">
        <v>5.0</v>
      </c>
      <c r="K333" s="57"/>
      <c r="L333" s="28"/>
      <c r="M333" s="53" t="s">
        <v>1106</v>
      </c>
      <c r="N333" s="106" t="s">
        <v>1107</v>
      </c>
      <c r="O333" s="113"/>
      <c r="P333" s="32">
        <v>228.0</v>
      </c>
      <c r="Q333" s="32"/>
      <c r="R333" s="32"/>
      <c r="S333" s="32"/>
      <c r="T333" s="32"/>
      <c r="U333" s="32"/>
      <c r="V333" s="32"/>
      <c r="W333" s="32"/>
      <c r="X333" s="32"/>
      <c r="Y333" s="32"/>
      <c r="Z333" s="32"/>
    </row>
    <row r="334">
      <c r="A334" s="62" t="s">
        <v>421</v>
      </c>
      <c r="B334" s="63"/>
      <c r="C334" s="64">
        <v>1.5E7</v>
      </c>
      <c r="D334" s="68">
        <v>2022.0</v>
      </c>
      <c r="E334" s="66">
        <v>44774.0</v>
      </c>
      <c r="F334" s="76" t="s">
        <v>422</v>
      </c>
      <c r="G334" s="68" t="s">
        <v>409</v>
      </c>
      <c r="H334" s="68" t="s">
        <v>23</v>
      </c>
      <c r="I334" s="68"/>
      <c r="J334" s="68">
        <v>1.0</v>
      </c>
      <c r="K334" s="69"/>
      <c r="L334" s="70"/>
      <c r="M334" s="71" t="s">
        <v>423</v>
      </c>
      <c r="N334" s="72" t="s">
        <v>424</v>
      </c>
      <c r="O334" s="73"/>
      <c r="P334" s="74">
        <v>418.0</v>
      </c>
      <c r="Q334" s="74"/>
      <c r="R334" s="74"/>
      <c r="S334" s="74"/>
      <c r="T334" s="74"/>
      <c r="U334" s="74"/>
      <c r="V334" s="74"/>
      <c r="W334" s="74"/>
      <c r="X334" s="74"/>
      <c r="Y334" s="74"/>
      <c r="Z334" s="74"/>
    </row>
    <row r="335">
      <c r="A335" s="114" t="s">
        <v>1221</v>
      </c>
      <c r="B335" s="115" t="s">
        <v>1222</v>
      </c>
      <c r="C335" s="22">
        <v>1.1E7</v>
      </c>
      <c r="D335" s="26">
        <v>2015.0</v>
      </c>
      <c r="E335" s="101">
        <v>42064.0</v>
      </c>
      <c r="F335" s="34" t="s">
        <v>1223</v>
      </c>
      <c r="G335" s="26" t="s">
        <v>258</v>
      </c>
      <c r="H335" s="115" t="s">
        <v>23</v>
      </c>
      <c r="I335" s="53"/>
      <c r="J335" s="26">
        <v>5.0</v>
      </c>
      <c r="K335" s="57"/>
      <c r="L335" s="53"/>
      <c r="M335" s="34" t="s">
        <v>1224</v>
      </c>
      <c r="N335" s="157" t="s">
        <v>1225</v>
      </c>
      <c r="O335" s="19"/>
      <c r="P335" s="32">
        <v>198.0</v>
      </c>
      <c r="Q335" s="32"/>
      <c r="R335" s="32"/>
      <c r="S335" s="32"/>
      <c r="T335" s="32"/>
      <c r="U335" s="32"/>
      <c r="V335" s="32"/>
      <c r="W335" s="32"/>
      <c r="X335" s="32"/>
      <c r="Y335" s="32"/>
      <c r="Z335" s="32"/>
    </row>
    <row r="336">
      <c r="A336" s="163" t="s">
        <v>1330</v>
      </c>
      <c r="B336" s="138"/>
      <c r="C336" s="22">
        <v>5190396.0</v>
      </c>
      <c r="D336" s="26">
        <v>2014.0</v>
      </c>
      <c r="E336" s="101">
        <v>41974.0</v>
      </c>
      <c r="F336" s="26" t="s">
        <v>1331</v>
      </c>
      <c r="G336" s="26" t="s">
        <v>64</v>
      </c>
      <c r="H336" s="105" t="s">
        <v>142</v>
      </c>
      <c r="I336" s="28"/>
      <c r="J336" s="26">
        <v>2.0</v>
      </c>
      <c r="K336" s="57"/>
      <c r="L336" s="28"/>
      <c r="M336" s="34" t="s">
        <v>1332</v>
      </c>
      <c r="N336" s="106" t="s">
        <v>1333</v>
      </c>
      <c r="O336" s="113"/>
      <c r="P336" s="32">
        <v>172.0</v>
      </c>
      <c r="Q336" s="32"/>
      <c r="R336" s="32"/>
      <c r="S336" s="32"/>
      <c r="T336" s="32"/>
      <c r="U336" s="32"/>
      <c r="V336" s="32"/>
      <c r="W336" s="32"/>
      <c r="X336" s="32"/>
      <c r="Y336" s="32"/>
      <c r="Z336" s="32"/>
    </row>
    <row r="337">
      <c r="A337" s="235" t="s">
        <v>20</v>
      </c>
      <c r="B337" s="224"/>
      <c r="C337" s="214">
        <v>5700000.0</v>
      </c>
      <c r="D337" s="215">
        <v>2025.0</v>
      </c>
      <c r="E337" s="216">
        <v>45840.0</v>
      </c>
      <c r="F337" s="217" t="s">
        <v>21</v>
      </c>
      <c r="G337" s="215" t="s">
        <v>22</v>
      </c>
      <c r="H337" s="215" t="s">
        <v>23</v>
      </c>
      <c r="I337" s="215"/>
      <c r="J337" s="215">
        <v>2.0</v>
      </c>
      <c r="K337" s="218"/>
      <c r="L337" s="219"/>
      <c r="M337" s="29" t="s">
        <v>24</v>
      </c>
      <c r="N337" s="229" t="s">
        <v>25</v>
      </c>
      <c r="O337" s="222"/>
      <c r="P337" s="223">
        <v>524.0</v>
      </c>
      <c r="Q337" s="215"/>
      <c r="R337" s="224"/>
      <c r="S337" s="224"/>
      <c r="T337" s="224"/>
      <c r="U337" s="224"/>
      <c r="V337" s="224"/>
      <c r="W337" s="224"/>
      <c r="X337" s="224"/>
      <c r="Y337" s="224"/>
      <c r="Z337" s="224"/>
    </row>
    <row r="338">
      <c r="A338" s="236" t="s">
        <v>712</v>
      </c>
      <c r="B338" s="104"/>
      <c r="C338" s="22">
        <v>2.0E7</v>
      </c>
      <c r="D338" s="26">
        <v>2019.0</v>
      </c>
      <c r="E338" s="101">
        <v>43617.0</v>
      </c>
      <c r="F338" s="26" t="s">
        <v>713</v>
      </c>
      <c r="G338" s="26" t="s">
        <v>258</v>
      </c>
      <c r="H338" s="26" t="s">
        <v>51</v>
      </c>
      <c r="I338" s="26"/>
      <c r="J338" s="26">
        <v>4.0</v>
      </c>
      <c r="K338" s="27"/>
      <c r="L338" s="28"/>
      <c r="M338" s="105" t="s">
        <v>571</v>
      </c>
      <c r="N338" s="106" t="s">
        <v>714</v>
      </c>
      <c r="O338" s="107"/>
      <c r="P338" s="32">
        <v>341.0</v>
      </c>
      <c r="Q338" s="32"/>
      <c r="R338" s="32"/>
      <c r="S338" s="32"/>
      <c r="T338" s="32"/>
      <c r="U338" s="32"/>
      <c r="V338" s="32"/>
      <c r="W338" s="32"/>
      <c r="X338" s="32"/>
      <c r="Y338" s="32"/>
      <c r="Z338" s="32"/>
    </row>
    <row r="339">
      <c r="A339" s="163" t="s">
        <v>712</v>
      </c>
      <c r="B339" s="26"/>
      <c r="C339" s="22">
        <v>34000.0</v>
      </c>
      <c r="D339" s="26">
        <v>2016.0</v>
      </c>
      <c r="E339" s="101">
        <v>42705.0</v>
      </c>
      <c r="F339" s="26" t="s">
        <v>1198</v>
      </c>
      <c r="G339" s="26" t="s">
        <v>258</v>
      </c>
      <c r="H339" s="130" t="s">
        <v>23</v>
      </c>
      <c r="I339" s="28"/>
      <c r="J339" s="26">
        <v>4.0</v>
      </c>
      <c r="K339" s="57"/>
      <c r="L339" s="28"/>
      <c r="M339" s="53" t="s">
        <v>1199</v>
      </c>
      <c r="N339" s="106" t="s">
        <v>1200</v>
      </c>
      <c r="O339" s="113"/>
      <c r="P339" s="32">
        <v>204.0</v>
      </c>
      <c r="Q339" s="32"/>
      <c r="R339" s="32"/>
      <c r="S339" s="32"/>
      <c r="T339" s="32"/>
      <c r="U339" s="32"/>
      <c r="V339" s="32"/>
      <c r="W339" s="32"/>
      <c r="X339" s="32"/>
      <c r="Y339" s="32"/>
      <c r="Z339" s="32"/>
    </row>
    <row r="340">
      <c r="A340" s="163" t="s">
        <v>839</v>
      </c>
      <c r="B340" s="26"/>
      <c r="C340" s="22">
        <v>1.0E8</v>
      </c>
      <c r="D340" s="26">
        <v>2018.0</v>
      </c>
      <c r="E340" s="101">
        <v>43435.0</v>
      </c>
      <c r="F340" s="26" t="s">
        <v>840</v>
      </c>
      <c r="G340" s="26" t="s">
        <v>28</v>
      </c>
      <c r="H340" s="105" t="s">
        <v>23</v>
      </c>
      <c r="I340" s="28"/>
      <c r="J340" s="26">
        <v>1.0</v>
      </c>
      <c r="K340" s="27" t="s">
        <v>517</v>
      </c>
      <c r="L340" s="110"/>
      <c r="M340" s="26" t="s">
        <v>841</v>
      </c>
      <c r="N340" s="106" t="s">
        <v>842</v>
      </c>
      <c r="O340" s="113"/>
      <c r="P340" s="32">
        <v>293.0</v>
      </c>
      <c r="Q340" s="32"/>
      <c r="R340" s="32"/>
      <c r="S340" s="32"/>
      <c r="T340" s="32"/>
      <c r="U340" s="32"/>
      <c r="V340" s="32"/>
      <c r="W340" s="32"/>
      <c r="X340" s="32"/>
      <c r="Y340" s="32"/>
      <c r="Z340" s="32"/>
    </row>
    <row r="341">
      <c r="A341" s="167" t="s">
        <v>1884</v>
      </c>
      <c r="B341" s="130" t="s">
        <v>1885</v>
      </c>
      <c r="C341" s="22">
        <v>1500000.0</v>
      </c>
      <c r="D341" s="26">
        <v>2008.0</v>
      </c>
      <c r="E341" s="101">
        <v>39783.0</v>
      </c>
      <c r="F341" s="26" t="s">
        <v>1886</v>
      </c>
      <c r="G341" s="26" t="s">
        <v>58</v>
      </c>
      <c r="H341" s="130" t="s">
        <v>23</v>
      </c>
      <c r="I341" s="28"/>
      <c r="J341" s="225" t="s">
        <v>1562</v>
      </c>
      <c r="K341" s="57"/>
      <c r="L341" s="28"/>
      <c r="M341" s="120" t="s">
        <v>227</v>
      </c>
      <c r="N341" s="106" t="s">
        <v>1887</v>
      </c>
      <c r="O341" s="113"/>
      <c r="P341" s="32">
        <v>33.0</v>
      </c>
      <c r="Q341" s="32"/>
      <c r="R341" s="32"/>
      <c r="S341" s="32"/>
      <c r="T341" s="32"/>
      <c r="U341" s="32"/>
      <c r="V341" s="32"/>
      <c r="W341" s="32"/>
      <c r="X341" s="32"/>
      <c r="Y341" s="32"/>
      <c r="Z341" s="32"/>
    </row>
    <row r="342">
      <c r="A342" s="237" t="s">
        <v>447</v>
      </c>
      <c r="B342" s="63"/>
      <c r="C342" s="64">
        <v>500000.0</v>
      </c>
      <c r="D342" s="68">
        <v>2022.0</v>
      </c>
      <c r="E342" s="66">
        <v>44562.0</v>
      </c>
      <c r="F342" s="71" t="s">
        <v>448</v>
      </c>
      <c r="G342" s="68" t="s">
        <v>38</v>
      </c>
      <c r="H342" s="68" t="s">
        <v>23</v>
      </c>
      <c r="I342" s="68"/>
      <c r="J342" s="68">
        <v>4.0</v>
      </c>
      <c r="K342" s="69"/>
      <c r="L342" s="70"/>
      <c r="M342" s="71" t="s">
        <v>449</v>
      </c>
      <c r="N342" s="72" t="s">
        <v>450</v>
      </c>
      <c r="O342" s="73"/>
      <c r="P342" s="74">
        <v>411.0</v>
      </c>
      <c r="Q342" s="74"/>
      <c r="R342" s="74"/>
      <c r="S342" s="74"/>
      <c r="T342" s="74"/>
      <c r="U342" s="74"/>
      <c r="V342" s="74"/>
      <c r="W342" s="74"/>
      <c r="X342" s="74"/>
      <c r="Y342" s="74"/>
      <c r="Z342" s="74"/>
    </row>
    <row r="343">
      <c r="A343" s="20" t="s">
        <v>1179</v>
      </c>
      <c r="B343" s="26"/>
      <c r="C343" s="22">
        <v>550000.0</v>
      </c>
      <c r="D343" s="26">
        <v>2016.0</v>
      </c>
      <c r="E343" s="101">
        <v>42644.0</v>
      </c>
      <c r="F343" s="26" t="s">
        <v>1180</v>
      </c>
      <c r="G343" s="26" t="s">
        <v>258</v>
      </c>
      <c r="H343" s="105" t="s">
        <v>142</v>
      </c>
      <c r="I343" s="28"/>
      <c r="J343" s="26">
        <v>4.0</v>
      </c>
      <c r="K343" s="57"/>
      <c r="L343" s="28"/>
      <c r="M343" s="53" t="s">
        <v>829</v>
      </c>
      <c r="N343" s="106" t="s">
        <v>1181</v>
      </c>
      <c r="O343" s="113"/>
      <c r="P343" s="32">
        <v>209.0</v>
      </c>
      <c r="Q343" s="32"/>
      <c r="R343" s="32"/>
      <c r="S343" s="32"/>
      <c r="T343" s="32"/>
      <c r="U343" s="32"/>
      <c r="V343" s="32"/>
      <c r="W343" s="32"/>
      <c r="X343" s="32"/>
      <c r="Y343" s="32"/>
      <c r="Z343" s="32"/>
    </row>
    <row r="344">
      <c r="A344" s="20" t="s">
        <v>276</v>
      </c>
      <c r="B344" s="21"/>
      <c r="C344" s="22">
        <v>100000.0</v>
      </c>
      <c r="D344" s="26">
        <v>2023.0</v>
      </c>
      <c r="E344" s="24">
        <v>44958.0</v>
      </c>
      <c r="F344" s="49" t="s">
        <v>277</v>
      </c>
      <c r="G344" s="26" t="s">
        <v>28</v>
      </c>
      <c r="H344" s="26" t="s">
        <v>23</v>
      </c>
      <c r="I344" s="26" t="s">
        <v>29</v>
      </c>
      <c r="J344" s="26">
        <v>1.0</v>
      </c>
      <c r="K344" s="27"/>
      <c r="L344" s="28"/>
      <c r="M344" s="34" t="s">
        <v>278</v>
      </c>
      <c r="N344" s="35" t="s">
        <v>279</v>
      </c>
      <c r="O344" s="31"/>
      <c r="P344" s="32">
        <v>455.0</v>
      </c>
      <c r="Q344" s="38"/>
      <c r="R344" s="21"/>
      <c r="S344" s="21"/>
      <c r="T344" s="21"/>
      <c r="U344" s="21"/>
      <c r="V344" s="21"/>
      <c r="W344" s="21"/>
      <c r="X344" s="21"/>
      <c r="Y344" s="21"/>
      <c r="Z344" s="21"/>
    </row>
    <row r="345">
      <c r="A345" s="165" t="s">
        <v>1747</v>
      </c>
      <c r="B345" s="130" t="s">
        <v>1748</v>
      </c>
      <c r="C345" s="22">
        <v>200000.0</v>
      </c>
      <c r="D345" s="26">
        <v>2011.0</v>
      </c>
      <c r="E345" s="101">
        <v>40848.0</v>
      </c>
      <c r="F345" s="26" t="s">
        <v>1749</v>
      </c>
      <c r="G345" s="130" t="s">
        <v>43</v>
      </c>
      <c r="H345" s="130" t="s">
        <v>23</v>
      </c>
      <c r="I345" s="28"/>
      <c r="J345" s="26">
        <v>3.0</v>
      </c>
      <c r="K345" s="57"/>
      <c r="L345" s="28"/>
      <c r="M345" s="105" t="s">
        <v>918</v>
      </c>
      <c r="N345" s="106" t="s">
        <v>1750</v>
      </c>
      <c r="O345" s="113"/>
      <c r="P345" s="32">
        <v>66.0</v>
      </c>
      <c r="Q345" s="32"/>
      <c r="R345" s="32"/>
      <c r="S345" s="32"/>
      <c r="T345" s="32"/>
      <c r="U345" s="32"/>
      <c r="V345" s="32"/>
      <c r="W345" s="32"/>
      <c r="X345" s="32"/>
      <c r="Y345" s="32"/>
      <c r="Z345" s="32"/>
    </row>
    <row r="346">
      <c r="A346" s="137" t="s">
        <v>1037</v>
      </c>
      <c r="B346" s="138" t="s">
        <v>1038</v>
      </c>
      <c r="C346" s="22">
        <v>3.4E8</v>
      </c>
      <c r="D346" s="26">
        <v>2017.0</v>
      </c>
      <c r="E346" s="101">
        <v>42795.0</v>
      </c>
      <c r="F346" s="26" t="s">
        <v>1039</v>
      </c>
      <c r="G346" s="139" t="s">
        <v>28</v>
      </c>
      <c r="H346" s="105" t="s">
        <v>142</v>
      </c>
      <c r="I346" s="53"/>
      <c r="J346" s="26">
        <v>2.0</v>
      </c>
      <c r="K346" s="27" t="s">
        <v>1040</v>
      </c>
      <c r="L346" s="53"/>
      <c r="M346" s="34" t="s">
        <v>507</v>
      </c>
      <c r="N346" s="106" t="s">
        <v>1041</v>
      </c>
      <c r="O346" s="117"/>
      <c r="P346" s="32">
        <v>244.0</v>
      </c>
      <c r="Q346" s="32"/>
      <c r="R346" s="32"/>
      <c r="S346" s="32"/>
      <c r="T346" s="32"/>
      <c r="U346" s="32"/>
      <c r="V346" s="32"/>
      <c r="W346" s="32"/>
      <c r="X346" s="32"/>
      <c r="Y346" s="32"/>
      <c r="Z346" s="32"/>
    </row>
    <row r="347">
      <c r="A347" s="237" t="s">
        <v>459</v>
      </c>
      <c r="B347" s="78"/>
      <c r="C347" s="64">
        <v>5000937.0</v>
      </c>
      <c r="D347" s="68">
        <v>2021.0</v>
      </c>
      <c r="E347" s="66">
        <v>44501.0</v>
      </c>
      <c r="F347" s="85" t="s">
        <v>460</v>
      </c>
      <c r="G347" s="26" t="s">
        <v>58</v>
      </c>
      <c r="H347" s="68" t="s">
        <v>23</v>
      </c>
      <c r="I347" s="68"/>
      <c r="J347" s="68">
        <v>2.0</v>
      </c>
      <c r="K347" s="69" t="s">
        <v>461</v>
      </c>
      <c r="L347" s="70"/>
      <c r="M347" s="71" t="s">
        <v>34</v>
      </c>
      <c r="N347" s="72" t="s">
        <v>462</v>
      </c>
      <c r="O347" s="73"/>
      <c r="P347" s="74">
        <v>407.0</v>
      </c>
      <c r="Q347" s="74"/>
      <c r="R347" s="74"/>
      <c r="S347" s="74"/>
      <c r="T347" s="74"/>
      <c r="U347" s="74"/>
      <c r="V347" s="74"/>
      <c r="W347" s="74"/>
      <c r="X347" s="74"/>
      <c r="Y347" s="74"/>
      <c r="Z347" s="74"/>
    </row>
    <row r="348">
      <c r="A348" s="226" t="s">
        <v>112</v>
      </c>
      <c r="B348" s="224"/>
      <c r="C348" s="214">
        <v>195600.0</v>
      </c>
      <c r="D348" s="215">
        <v>2024.0</v>
      </c>
      <c r="E348" s="216">
        <v>45467.0</v>
      </c>
      <c r="F348" s="227" t="s">
        <v>113</v>
      </c>
      <c r="G348" s="215" t="s">
        <v>43</v>
      </c>
      <c r="H348" s="215" t="s">
        <v>51</v>
      </c>
      <c r="I348" s="215"/>
      <c r="J348" s="215">
        <v>2.0</v>
      </c>
      <c r="K348" s="218"/>
      <c r="L348" s="219"/>
      <c r="M348" s="220" t="s">
        <v>72</v>
      </c>
      <c r="N348" s="221" t="s">
        <v>114</v>
      </c>
      <c r="O348" s="222"/>
      <c r="P348" s="223">
        <v>501.0</v>
      </c>
      <c r="Q348" s="215"/>
      <c r="R348" s="224"/>
      <c r="S348" s="224"/>
      <c r="T348" s="224"/>
      <c r="U348" s="224"/>
      <c r="V348" s="224"/>
      <c r="W348" s="224"/>
      <c r="X348" s="224"/>
      <c r="Y348" s="224"/>
      <c r="Z348" s="224"/>
    </row>
    <row r="349">
      <c r="A349" s="20" t="s">
        <v>364</v>
      </c>
      <c r="B349" s="51"/>
      <c r="C349" s="22">
        <v>4000.0</v>
      </c>
      <c r="D349" s="26">
        <v>2020.0</v>
      </c>
      <c r="E349" s="24">
        <v>44166.0</v>
      </c>
      <c r="F349" s="38" t="s">
        <v>365</v>
      </c>
      <c r="G349" s="26" t="s">
        <v>236</v>
      </c>
      <c r="H349" s="26" t="s">
        <v>51</v>
      </c>
      <c r="I349" s="28"/>
      <c r="J349" s="26">
        <v>2.0</v>
      </c>
      <c r="K349" s="27"/>
      <c r="L349" s="28"/>
      <c r="M349" s="34" t="s">
        <v>314</v>
      </c>
      <c r="N349" s="35" t="s">
        <v>366</v>
      </c>
      <c r="O349" s="31"/>
      <c r="P349" s="32">
        <v>433.0</v>
      </c>
      <c r="Q349" s="26"/>
      <c r="R349" s="32"/>
      <c r="S349" s="32"/>
      <c r="T349" s="32"/>
      <c r="U349" s="32"/>
      <c r="V349" s="32"/>
      <c r="W349" s="32"/>
      <c r="X349" s="32"/>
      <c r="Y349" s="32"/>
      <c r="Z349" s="32"/>
    </row>
    <row r="350">
      <c r="A350" s="165" t="s">
        <v>1831</v>
      </c>
      <c r="B350" s="130" t="s">
        <v>1832</v>
      </c>
      <c r="C350" s="22">
        <v>3.2E7</v>
      </c>
      <c r="D350" s="26">
        <v>2009.0</v>
      </c>
      <c r="E350" s="101">
        <v>40148.0</v>
      </c>
      <c r="F350" s="26" t="s">
        <v>1833</v>
      </c>
      <c r="G350" s="130" t="s">
        <v>1834</v>
      </c>
      <c r="H350" s="130" t="s">
        <v>23</v>
      </c>
      <c r="I350" s="130" t="s">
        <v>29</v>
      </c>
      <c r="J350" s="26">
        <v>1.0</v>
      </c>
      <c r="K350" s="57"/>
      <c r="L350" s="28"/>
      <c r="M350" s="120" t="s">
        <v>34</v>
      </c>
      <c r="N350" s="106" t="s">
        <v>1835</v>
      </c>
      <c r="O350" s="113"/>
      <c r="P350" s="32">
        <v>46.0</v>
      </c>
      <c r="Q350" s="32"/>
      <c r="R350" s="32"/>
      <c r="S350" s="32"/>
      <c r="T350" s="32"/>
      <c r="U350" s="32"/>
      <c r="V350" s="32"/>
      <c r="W350" s="32"/>
      <c r="X350" s="32"/>
      <c r="Y350" s="32"/>
      <c r="Z350" s="32"/>
    </row>
    <row r="351">
      <c r="A351" s="103" t="s">
        <v>768</v>
      </c>
      <c r="B351" s="104"/>
      <c r="C351" s="22">
        <v>4000000.0</v>
      </c>
      <c r="D351" s="26">
        <v>2019.0</v>
      </c>
      <c r="E351" s="101">
        <v>43497.0</v>
      </c>
      <c r="F351" s="26" t="s">
        <v>761</v>
      </c>
      <c r="G351" s="26" t="s">
        <v>236</v>
      </c>
      <c r="H351" s="26" t="s">
        <v>23</v>
      </c>
      <c r="I351" s="28"/>
      <c r="J351" s="26">
        <v>1.0</v>
      </c>
      <c r="K351" s="27" t="str">
        <f>IF(C351&gt;100000000,C351,"")</f>
        <v/>
      </c>
      <c r="L351" s="28"/>
      <c r="M351" s="105" t="s">
        <v>725</v>
      </c>
      <c r="N351" s="106" t="s">
        <v>762</v>
      </c>
      <c r="O351" s="109"/>
      <c r="P351" s="32">
        <v>314.0</v>
      </c>
      <c r="Q351" s="32"/>
      <c r="R351" s="32"/>
      <c r="S351" s="32"/>
      <c r="T351" s="32"/>
      <c r="U351" s="32"/>
      <c r="V351" s="32"/>
      <c r="W351" s="32"/>
      <c r="X351" s="32"/>
      <c r="Y351" s="32"/>
      <c r="Z351" s="32"/>
    </row>
    <row r="352">
      <c r="A352" s="20" t="s">
        <v>992</v>
      </c>
      <c r="B352" s="26"/>
      <c r="C352" s="22">
        <v>300000.0</v>
      </c>
      <c r="D352" s="26">
        <v>2017.0</v>
      </c>
      <c r="E352" s="101">
        <v>43070.0</v>
      </c>
      <c r="F352" s="26" t="s">
        <v>993</v>
      </c>
      <c r="G352" s="26" t="s">
        <v>28</v>
      </c>
      <c r="H352" s="130" t="s">
        <v>51</v>
      </c>
      <c r="I352" s="26" t="s">
        <v>29</v>
      </c>
      <c r="J352" s="26">
        <v>4.0</v>
      </c>
      <c r="K352" s="57"/>
      <c r="L352" s="110"/>
      <c r="M352" s="26" t="s">
        <v>994</v>
      </c>
      <c r="N352" s="106" t="s">
        <v>995</v>
      </c>
      <c r="O352" s="113"/>
      <c r="P352" s="32">
        <v>256.0</v>
      </c>
      <c r="Q352" s="32"/>
      <c r="R352" s="32"/>
      <c r="S352" s="32"/>
      <c r="T352" s="32"/>
      <c r="U352" s="32"/>
      <c r="V352" s="32"/>
      <c r="W352" s="32"/>
      <c r="X352" s="32"/>
      <c r="Y352" s="32"/>
      <c r="Z352" s="32"/>
    </row>
    <row r="353">
      <c r="A353" s="62" t="s">
        <v>489</v>
      </c>
      <c r="B353" s="79"/>
      <c r="C353" s="64">
        <v>420873.0</v>
      </c>
      <c r="D353" s="68">
        <v>2020.0</v>
      </c>
      <c r="E353" s="86">
        <v>43831.0</v>
      </c>
      <c r="F353" s="68" t="s">
        <v>490</v>
      </c>
      <c r="G353" s="68" t="s">
        <v>22</v>
      </c>
      <c r="H353" s="68" t="s">
        <v>51</v>
      </c>
      <c r="I353" s="68"/>
      <c r="J353" s="68">
        <v>3.0</v>
      </c>
      <c r="K353" s="69"/>
      <c r="L353" s="70"/>
      <c r="M353" s="71" t="s">
        <v>491</v>
      </c>
      <c r="N353" s="77" t="s">
        <v>492</v>
      </c>
      <c r="O353" s="73"/>
      <c r="P353" s="74">
        <v>398.0</v>
      </c>
      <c r="Q353" s="74"/>
      <c r="R353" s="74"/>
      <c r="S353" s="74"/>
      <c r="T353" s="74"/>
      <c r="U353" s="74"/>
      <c r="V353" s="74"/>
      <c r="W353" s="74"/>
      <c r="X353" s="74"/>
      <c r="Y353" s="74"/>
      <c r="Z353" s="74"/>
    </row>
    <row r="354">
      <c r="A354" s="238" t="s">
        <v>869</v>
      </c>
      <c r="B354" s="112" t="s">
        <v>870</v>
      </c>
      <c r="C354" s="119">
        <v>5000000.0</v>
      </c>
      <c r="D354" s="139">
        <v>2018.0</v>
      </c>
      <c r="E354" s="101">
        <v>43191.0</v>
      </c>
      <c r="F354" s="34" t="s">
        <v>871</v>
      </c>
      <c r="G354" s="112" t="s">
        <v>43</v>
      </c>
      <c r="H354" s="112" t="s">
        <v>23</v>
      </c>
      <c r="I354" s="105" t="s">
        <v>29</v>
      </c>
      <c r="J354" s="26">
        <v>3.0</v>
      </c>
      <c r="K354" s="57"/>
      <c r="L354" s="120"/>
      <c r="M354" s="112" t="s">
        <v>688</v>
      </c>
      <c r="N354" s="121" t="s">
        <v>872</v>
      </c>
      <c r="O354" s="117"/>
      <c r="P354" s="32">
        <v>286.0</v>
      </c>
      <c r="Q354" s="32"/>
      <c r="R354" s="32"/>
      <c r="S354" s="32"/>
      <c r="T354" s="32"/>
      <c r="U354" s="32"/>
      <c r="V354" s="32"/>
      <c r="W354" s="32"/>
      <c r="X354" s="32"/>
      <c r="Y354" s="32"/>
      <c r="Z354" s="32"/>
    </row>
    <row r="355">
      <c r="A355" s="161" t="s">
        <v>1725</v>
      </c>
      <c r="B355" s="28"/>
      <c r="C355" s="22">
        <v>180000.0</v>
      </c>
      <c r="D355" s="26">
        <v>2011.0</v>
      </c>
      <c r="E355" s="101">
        <v>40695.0</v>
      </c>
      <c r="F355" s="26" t="s">
        <v>1726</v>
      </c>
      <c r="G355" s="130" t="s">
        <v>64</v>
      </c>
      <c r="H355" s="130" t="s">
        <v>23</v>
      </c>
      <c r="I355" s="28"/>
      <c r="J355" s="130">
        <v>1.0</v>
      </c>
      <c r="K355" s="57"/>
      <c r="L355" s="28"/>
      <c r="M355" s="53" t="s">
        <v>1613</v>
      </c>
      <c r="N355" s="106" t="s">
        <v>1727</v>
      </c>
      <c r="O355" s="113"/>
      <c r="P355" s="32">
        <v>72.0</v>
      </c>
      <c r="Q355" s="32"/>
      <c r="R355" s="32"/>
      <c r="S355" s="32"/>
      <c r="T355" s="32"/>
      <c r="U355" s="32"/>
      <c r="V355" s="32"/>
      <c r="W355" s="32"/>
      <c r="X355" s="32"/>
      <c r="Y355" s="32"/>
      <c r="Z355" s="32"/>
    </row>
    <row r="356">
      <c r="A356" s="163" t="s">
        <v>1245</v>
      </c>
      <c r="B356" s="111" t="s">
        <v>1246</v>
      </c>
      <c r="C356" s="22">
        <v>3300000.0</v>
      </c>
      <c r="D356" s="26">
        <v>2015.0</v>
      </c>
      <c r="E356" s="101">
        <v>42339.0</v>
      </c>
      <c r="F356" s="26" t="s">
        <v>1247</v>
      </c>
      <c r="G356" s="26" t="s">
        <v>28</v>
      </c>
      <c r="H356" s="26" t="s">
        <v>51</v>
      </c>
      <c r="I356" s="28"/>
      <c r="J356" s="26">
        <v>2.0</v>
      </c>
      <c r="K356" s="57"/>
      <c r="L356" s="28"/>
      <c r="M356" s="53" t="s">
        <v>1248</v>
      </c>
      <c r="N356" s="106" t="s">
        <v>1249</v>
      </c>
      <c r="O356" s="113"/>
      <c r="P356" s="32">
        <v>193.0</v>
      </c>
      <c r="Q356" s="32"/>
      <c r="R356" s="32"/>
      <c r="S356" s="32"/>
      <c r="T356" s="32"/>
      <c r="U356" s="32"/>
      <c r="V356" s="32"/>
      <c r="W356" s="32"/>
      <c r="X356" s="32"/>
      <c r="Y356" s="32"/>
      <c r="Z356" s="32"/>
    </row>
    <row r="357">
      <c r="A357" s="20" t="s">
        <v>161</v>
      </c>
      <c r="B357" s="21"/>
      <c r="C357" s="22">
        <v>3.0E7</v>
      </c>
      <c r="D357" s="26">
        <v>2024.0</v>
      </c>
      <c r="E357" s="24">
        <v>45427.0</v>
      </c>
      <c r="F357" s="25" t="s">
        <v>162</v>
      </c>
      <c r="G357" s="26" t="s">
        <v>58</v>
      </c>
      <c r="H357" s="26" t="s">
        <v>23</v>
      </c>
      <c r="I357" s="26"/>
      <c r="J357" s="26">
        <v>3.0</v>
      </c>
      <c r="K357" s="27"/>
      <c r="L357" s="28"/>
      <c r="M357" s="34" t="s">
        <v>85</v>
      </c>
      <c r="N357" s="35" t="s">
        <v>163</v>
      </c>
      <c r="O357" s="31"/>
      <c r="P357" s="32">
        <v>487.0</v>
      </c>
      <c r="Q357" s="26"/>
      <c r="R357" s="21"/>
      <c r="S357" s="21"/>
      <c r="T357" s="21"/>
      <c r="U357" s="21"/>
      <c r="V357" s="21"/>
      <c r="W357" s="21"/>
      <c r="X357" s="21"/>
      <c r="Y357" s="21"/>
      <c r="Z357" s="21"/>
    </row>
    <row r="358">
      <c r="A358" s="20" t="s">
        <v>175</v>
      </c>
      <c r="B358" s="21"/>
      <c r="C358" s="22">
        <v>2800000.0</v>
      </c>
      <c r="D358" s="26">
        <v>2023.0</v>
      </c>
      <c r="E358" s="24">
        <v>45202.0</v>
      </c>
      <c r="F358" s="38" t="s">
        <v>176</v>
      </c>
      <c r="G358" s="26" t="s">
        <v>89</v>
      </c>
      <c r="H358" s="26" t="s">
        <v>23</v>
      </c>
      <c r="I358" s="26"/>
      <c r="J358" s="26">
        <v>2.0</v>
      </c>
      <c r="K358" s="27"/>
      <c r="L358" s="28"/>
      <c r="M358" s="34" t="s">
        <v>85</v>
      </c>
      <c r="N358" s="30" t="s">
        <v>177</v>
      </c>
      <c r="O358" s="31"/>
      <c r="P358" s="32">
        <v>482.0</v>
      </c>
      <c r="Q358" s="26"/>
      <c r="R358" s="21"/>
      <c r="S358" s="21"/>
      <c r="T358" s="21"/>
      <c r="U358" s="21"/>
      <c r="V358" s="21"/>
      <c r="W358" s="21"/>
      <c r="X358" s="21"/>
      <c r="Y358" s="21"/>
      <c r="Z358" s="21"/>
    </row>
    <row r="359">
      <c r="A359" s="165" t="s">
        <v>1409</v>
      </c>
      <c r="B359" s="130" t="s">
        <v>1410</v>
      </c>
      <c r="C359" s="119">
        <f>0.01*50000000</f>
        <v>500000</v>
      </c>
      <c r="D359" s="26">
        <v>2013.0</v>
      </c>
      <c r="E359" s="101">
        <v>41365.0</v>
      </c>
      <c r="F359" s="26" t="s">
        <v>1411</v>
      </c>
      <c r="G359" s="130" t="s">
        <v>28</v>
      </c>
      <c r="H359" s="130" t="s">
        <v>23</v>
      </c>
      <c r="I359" s="28"/>
      <c r="J359" s="130">
        <v>1.0</v>
      </c>
      <c r="K359" s="57"/>
      <c r="L359" s="28"/>
      <c r="M359" s="105" t="s">
        <v>1412</v>
      </c>
      <c r="N359" s="166" t="s">
        <v>1413</v>
      </c>
      <c r="O359" s="166" t="s">
        <v>1414</v>
      </c>
      <c r="P359" s="32">
        <v>152.0</v>
      </c>
      <c r="Q359" s="32"/>
      <c r="R359" s="32"/>
      <c r="S359" s="32"/>
      <c r="T359" s="32"/>
      <c r="U359" s="32"/>
      <c r="V359" s="32"/>
      <c r="W359" s="32"/>
      <c r="X359" s="32"/>
      <c r="Y359" s="32"/>
      <c r="Z359" s="32"/>
    </row>
    <row r="360">
      <c r="A360" s="114" t="s">
        <v>1632</v>
      </c>
      <c r="B360" s="28"/>
      <c r="C360" s="22">
        <v>231400.0</v>
      </c>
      <c r="D360" s="26">
        <v>2011.0</v>
      </c>
      <c r="E360" s="101">
        <v>40544.0</v>
      </c>
      <c r="F360" s="111" t="s">
        <v>1633</v>
      </c>
      <c r="G360" s="26" t="s">
        <v>258</v>
      </c>
      <c r="H360" s="130" t="s">
        <v>23</v>
      </c>
      <c r="I360" s="130" t="s">
        <v>29</v>
      </c>
      <c r="J360" s="26">
        <v>2.0</v>
      </c>
      <c r="K360" s="57"/>
      <c r="L360" s="53"/>
      <c r="M360" s="34" t="s">
        <v>1634</v>
      </c>
      <c r="N360" s="135" t="s">
        <v>1635</v>
      </c>
      <c r="O360" s="136"/>
      <c r="P360" s="32">
        <v>97.0</v>
      </c>
      <c r="Q360" s="32"/>
      <c r="R360" s="32"/>
      <c r="S360" s="32"/>
      <c r="T360" s="32"/>
      <c r="U360" s="32"/>
      <c r="V360" s="32"/>
      <c r="W360" s="32"/>
      <c r="X360" s="32"/>
      <c r="Y360" s="32"/>
      <c r="Z360" s="32"/>
    </row>
    <row r="361">
      <c r="A361" s="20" t="s">
        <v>1285</v>
      </c>
      <c r="B361" s="111" t="s">
        <v>1286</v>
      </c>
      <c r="C361" s="22">
        <v>7.0E7</v>
      </c>
      <c r="D361" s="26">
        <v>2015.0</v>
      </c>
      <c r="E361" s="101">
        <v>42309.0</v>
      </c>
      <c r="F361" s="26" t="s">
        <v>1287</v>
      </c>
      <c r="G361" s="26" t="s">
        <v>28</v>
      </c>
      <c r="H361" s="26" t="s">
        <v>23</v>
      </c>
      <c r="I361" s="26" t="s">
        <v>29</v>
      </c>
      <c r="J361" s="26">
        <v>5.0</v>
      </c>
      <c r="K361" s="27" t="s">
        <v>1288</v>
      </c>
      <c r="L361" s="28"/>
      <c r="M361" s="53" t="s">
        <v>1289</v>
      </c>
      <c r="N361" s="106" t="s">
        <v>1290</v>
      </c>
      <c r="O361" s="113"/>
      <c r="P361" s="32">
        <v>183.0</v>
      </c>
      <c r="Q361" s="32"/>
      <c r="R361" s="32"/>
      <c r="S361" s="32"/>
      <c r="T361" s="32"/>
      <c r="U361" s="32"/>
      <c r="V361" s="32"/>
      <c r="W361" s="32"/>
      <c r="X361" s="32"/>
      <c r="Y361" s="32"/>
      <c r="Z361" s="32"/>
    </row>
    <row r="362">
      <c r="A362" s="165" t="s">
        <v>1694</v>
      </c>
      <c r="B362" s="28"/>
      <c r="C362" s="22">
        <v>1290755.0</v>
      </c>
      <c r="D362" s="26">
        <v>2011.0</v>
      </c>
      <c r="E362" s="101">
        <v>40695.0</v>
      </c>
      <c r="F362" s="26" t="s">
        <v>1695</v>
      </c>
      <c r="G362" s="130" t="s">
        <v>236</v>
      </c>
      <c r="H362" s="130" t="s">
        <v>23</v>
      </c>
      <c r="I362" s="28"/>
      <c r="J362" s="26">
        <v>2.0</v>
      </c>
      <c r="K362" s="57"/>
      <c r="L362" s="28"/>
      <c r="M362" s="34" t="s">
        <v>571</v>
      </c>
      <c r="N362" s="106" t="s">
        <v>1696</v>
      </c>
      <c r="O362" s="113"/>
      <c r="P362" s="32">
        <v>81.0</v>
      </c>
      <c r="Q362" s="32"/>
      <c r="R362" s="32"/>
      <c r="S362" s="32"/>
      <c r="T362" s="32"/>
      <c r="U362" s="32"/>
      <c r="V362" s="32"/>
      <c r="W362" s="32"/>
      <c r="X362" s="32"/>
      <c r="Y362" s="32"/>
      <c r="Z362" s="32"/>
    </row>
    <row r="363">
      <c r="A363" s="165" t="s">
        <v>1928</v>
      </c>
      <c r="B363" s="53"/>
      <c r="C363" s="22">
        <v>50500.0</v>
      </c>
      <c r="D363" s="26">
        <v>2008.0</v>
      </c>
      <c r="E363" s="101">
        <v>39692.0</v>
      </c>
      <c r="F363" s="26" t="s">
        <v>1929</v>
      </c>
      <c r="G363" s="130" t="s">
        <v>64</v>
      </c>
      <c r="H363" s="26" t="s">
        <v>1034</v>
      </c>
      <c r="I363" s="28"/>
      <c r="J363" s="26">
        <v>2.0</v>
      </c>
      <c r="K363" s="57"/>
      <c r="L363" s="28"/>
      <c r="M363" s="53" t="s">
        <v>905</v>
      </c>
      <c r="N363" s="106" t="s">
        <v>1930</v>
      </c>
      <c r="O363" s="113"/>
      <c r="P363" s="32">
        <v>21.0</v>
      </c>
      <c r="Q363" s="32"/>
      <c r="R363" s="32"/>
      <c r="S363" s="32"/>
      <c r="T363" s="32"/>
      <c r="U363" s="32"/>
      <c r="V363" s="32"/>
      <c r="W363" s="32"/>
      <c r="X363" s="32"/>
      <c r="Y363" s="32"/>
      <c r="Z363" s="32"/>
    </row>
    <row r="364">
      <c r="A364" s="62" t="s">
        <v>415</v>
      </c>
      <c r="B364" s="63"/>
      <c r="C364" s="64">
        <v>5.0E8</v>
      </c>
      <c r="D364" s="68">
        <v>2022.0</v>
      </c>
      <c r="E364" s="66">
        <v>44743.0</v>
      </c>
      <c r="F364" s="67" t="s">
        <v>416</v>
      </c>
      <c r="G364" s="26" t="s">
        <v>64</v>
      </c>
      <c r="H364" s="68" t="s">
        <v>23</v>
      </c>
      <c r="I364" s="68"/>
      <c r="J364" s="68">
        <v>5.0</v>
      </c>
      <c r="K364" s="69" t="s">
        <v>417</v>
      </c>
      <c r="L364" s="70"/>
      <c r="M364" s="71" t="s">
        <v>227</v>
      </c>
      <c r="N364" s="72" t="s">
        <v>418</v>
      </c>
      <c r="O364" s="73"/>
      <c r="P364" s="74">
        <v>420.0</v>
      </c>
      <c r="Q364" s="74"/>
      <c r="R364" s="74"/>
      <c r="S364" s="74"/>
      <c r="T364" s="74"/>
      <c r="U364" s="74"/>
      <c r="V364" s="74"/>
      <c r="W364" s="74"/>
      <c r="X364" s="74"/>
      <c r="Y364" s="74"/>
      <c r="Z364" s="74"/>
    </row>
    <row r="365">
      <c r="A365" s="103" t="s">
        <v>748</v>
      </c>
      <c r="B365" s="104"/>
      <c r="C365" s="22">
        <v>4.1E7</v>
      </c>
      <c r="D365" s="26">
        <v>2019.0</v>
      </c>
      <c r="E365" s="101">
        <v>43497.0</v>
      </c>
      <c r="F365" s="26" t="s">
        <v>745</v>
      </c>
      <c r="G365" s="26" t="s">
        <v>28</v>
      </c>
      <c r="H365" s="26" t="s">
        <v>23</v>
      </c>
      <c r="I365" s="28"/>
      <c r="J365" s="26">
        <v>1.0</v>
      </c>
      <c r="K365" s="27" t="str">
        <f>IF(C365&gt;100000000,C365,"")</f>
        <v/>
      </c>
      <c r="L365" s="28"/>
      <c r="M365" s="105" t="s">
        <v>227</v>
      </c>
      <c r="N365" s="106" t="s">
        <v>747</v>
      </c>
      <c r="O365" s="109"/>
      <c r="P365" s="32">
        <v>331.0</v>
      </c>
      <c r="Q365" s="32"/>
      <c r="R365" s="32"/>
      <c r="S365" s="32"/>
      <c r="T365" s="32"/>
      <c r="U365" s="32"/>
      <c r="V365" s="32"/>
      <c r="W365" s="32"/>
      <c r="X365" s="32"/>
      <c r="Y365" s="32"/>
      <c r="Z365" s="32"/>
    </row>
    <row r="366">
      <c r="A366" s="20" t="s">
        <v>382</v>
      </c>
      <c r="B366" s="51"/>
      <c r="C366" s="22">
        <v>3.9E7</v>
      </c>
      <c r="D366" s="26">
        <v>2022.0</v>
      </c>
      <c r="E366" s="24">
        <v>44835.0</v>
      </c>
      <c r="F366" s="26" t="s">
        <v>383</v>
      </c>
      <c r="G366" s="26" t="s">
        <v>43</v>
      </c>
      <c r="H366" s="26" t="s">
        <v>23</v>
      </c>
      <c r="I366" s="28"/>
      <c r="J366" s="26">
        <v>2.0</v>
      </c>
      <c r="K366" s="27"/>
      <c r="L366" s="28"/>
      <c r="M366" s="34" t="s">
        <v>34</v>
      </c>
      <c r="N366" s="35" t="s">
        <v>384</v>
      </c>
      <c r="O366" s="31"/>
      <c r="P366" s="32">
        <v>428.0</v>
      </c>
      <c r="Q366" s="26"/>
      <c r="R366" s="32"/>
      <c r="S366" s="32"/>
      <c r="T366" s="32"/>
      <c r="U366" s="32"/>
      <c r="V366" s="32"/>
      <c r="W366" s="32"/>
      <c r="X366" s="32"/>
      <c r="Y366" s="32"/>
      <c r="Z366" s="32"/>
    </row>
    <row r="367">
      <c r="A367" s="103" t="s">
        <v>819</v>
      </c>
      <c r="B367" s="104"/>
      <c r="C367" s="22">
        <v>1500000.0</v>
      </c>
      <c r="D367" s="26">
        <v>2018.0</v>
      </c>
      <c r="E367" s="101">
        <v>43282.0</v>
      </c>
      <c r="F367" s="26" t="s">
        <v>820</v>
      </c>
      <c r="G367" s="26" t="s">
        <v>258</v>
      </c>
      <c r="H367" s="26" t="s">
        <v>23</v>
      </c>
      <c r="I367" s="26"/>
      <c r="J367" s="26">
        <v>4.0</v>
      </c>
      <c r="K367" s="27"/>
      <c r="L367" s="28"/>
      <c r="M367" s="105" t="s">
        <v>821</v>
      </c>
      <c r="N367" s="106" t="s">
        <v>822</v>
      </c>
      <c r="O367" s="107"/>
      <c r="P367" s="32">
        <v>298.0</v>
      </c>
      <c r="Q367" s="32"/>
      <c r="R367" s="32"/>
      <c r="S367" s="32"/>
      <c r="T367" s="32"/>
      <c r="U367" s="32"/>
      <c r="V367" s="32"/>
      <c r="W367" s="32"/>
      <c r="X367" s="32"/>
      <c r="Y367" s="32"/>
      <c r="Z367" s="32"/>
    </row>
    <row r="368">
      <c r="A368" s="46" t="s">
        <v>190</v>
      </c>
      <c r="B368" s="20" t="s">
        <v>191</v>
      </c>
      <c r="C368" s="22">
        <v>895000.0</v>
      </c>
      <c r="D368" s="26">
        <v>2023.0</v>
      </c>
      <c r="E368" s="24">
        <v>45157.0</v>
      </c>
      <c r="F368" s="38" t="s">
        <v>192</v>
      </c>
      <c r="G368" s="26" t="s">
        <v>89</v>
      </c>
      <c r="H368" s="26" t="s">
        <v>23</v>
      </c>
      <c r="I368" s="26"/>
      <c r="J368" s="26">
        <v>4.0</v>
      </c>
      <c r="K368" s="27"/>
      <c r="L368" s="28"/>
      <c r="M368" s="34" t="s">
        <v>85</v>
      </c>
      <c r="N368" s="35" t="s">
        <v>193</v>
      </c>
      <c r="O368" s="31"/>
      <c r="P368" s="32">
        <v>478.0</v>
      </c>
      <c r="Q368" s="26"/>
      <c r="R368" s="21"/>
      <c r="S368" s="21"/>
      <c r="T368" s="21"/>
      <c r="U368" s="21"/>
      <c r="V368" s="21"/>
      <c r="W368" s="21"/>
      <c r="X368" s="21"/>
      <c r="Y368" s="21"/>
      <c r="Z368" s="21"/>
    </row>
    <row r="369">
      <c r="A369" s="239" t="s">
        <v>960</v>
      </c>
      <c r="B369" s="173"/>
      <c r="C369" s="170">
        <v>3.2E7</v>
      </c>
      <c r="D369" s="173">
        <v>2018.0</v>
      </c>
      <c r="E369" s="172">
        <v>43405.0</v>
      </c>
      <c r="F369" s="173" t="s">
        <v>961</v>
      </c>
      <c r="G369" s="173" t="s">
        <v>129</v>
      </c>
      <c r="H369" s="174" t="s">
        <v>51</v>
      </c>
      <c r="I369" s="177"/>
      <c r="J369" s="173">
        <v>1.0</v>
      </c>
      <c r="K369" s="240"/>
      <c r="L369" s="241"/>
      <c r="M369" s="173" t="s">
        <v>85</v>
      </c>
      <c r="N369" s="242" t="s">
        <v>962</v>
      </c>
      <c r="O369" s="179"/>
      <c r="P369" s="32">
        <v>264.0</v>
      </c>
      <c r="Q369" s="32"/>
      <c r="R369" s="32"/>
      <c r="S369" s="32"/>
      <c r="T369" s="32"/>
      <c r="U369" s="32"/>
      <c r="V369" s="32"/>
      <c r="W369" s="32"/>
      <c r="X369" s="32"/>
      <c r="Y369" s="32"/>
      <c r="Z369" s="32"/>
    </row>
    <row r="370">
      <c r="A370" s="114" t="s">
        <v>1299</v>
      </c>
      <c r="B370" s="115" t="s">
        <v>1300</v>
      </c>
      <c r="C370" s="22">
        <v>500000.0</v>
      </c>
      <c r="D370" s="26">
        <v>2015.0</v>
      </c>
      <c r="E370" s="101">
        <v>42064.0</v>
      </c>
      <c r="F370" s="34" t="s">
        <v>1301</v>
      </c>
      <c r="G370" s="26" t="s">
        <v>28</v>
      </c>
      <c r="H370" s="34" t="s">
        <v>23</v>
      </c>
      <c r="I370" s="53"/>
      <c r="J370" s="130">
        <v>1.0</v>
      </c>
      <c r="K370" s="57"/>
      <c r="L370" s="53"/>
      <c r="M370" s="53" t="s">
        <v>34</v>
      </c>
      <c r="N370" s="157" t="s">
        <v>1302</v>
      </c>
      <c r="O370" s="19"/>
      <c r="P370" s="32">
        <v>180.0</v>
      </c>
      <c r="Q370" s="32"/>
      <c r="R370" s="32"/>
      <c r="S370" s="32"/>
      <c r="T370" s="32"/>
      <c r="U370" s="32"/>
      <c r="V370" s="32"/>
      <c r="W370" s="32"/>
      <c r="X370" s="32"/>
      <c r="Y370" s="32"/>
      <c r="Z370" s="32"/>
    </row>
    <row r="371">
      <c r="A371" s="20" t="s">
        <v>1006</v>
      </c>
      <c r="B371" s="26"/>
      <c r="C371" s="22">
        <v>1700000.0</v>
      </c>
      <c r="D371" s="26">
        <v>2017.0</v>
      </c>
      <c r="E371" s="101">
        <v>42826.0</v>
      </c>
      <c r="F371" s="26" t="s">
        <v>1007</v>
      </c>
      <c r="G371" s="26" t="s">
        <v>28</v>
      </c>
      <c r="H371" s="26" t="s">
        <v>23</v>
      </c>
      <c r="I371" s="26" t="s">
        <v>29</v>
      </c>
      <c r="J371" s="26">
        <v>1.0</v>
      </c>
      <c r="K371" s="57"/>
      <c r="L371" s="28"/>
      <c r="M371" s="53" t="s">
        <v>1008</v>
      </c>
      <c r="N371" s="106" t="s">
        <v>1009</v>
      </c>
      <c r="O371" s="113"/>
      <c r="P371" s="32">
        <v>252.0</v>
      </c>
      <c r="Q371" s="32"/>
      <c r="R371" s="32"/>
      <c r="S371" s="32"/>
      <c r="T371" s="32"/>
      <c r="U371" s="32"/>
      <c r="V371" s="32"/>
      <c r="W371" s="32"/>
      <c r="X371" s="32"/>
      <c r="Y371" s="32"/>
      <c r="Z371" s="32"/>
    </row>
    <row r="372">
      <c r="A372" s="165" t="s">
        <v>1426</v>
      </c>
      <c r="B372" s="28"/>
      <c r="C372" s="22">
        <v>4600000.0</v>
      </c>
      <c r="D372" s="26">
        <v>2013.0</v>
      </c>
      <c r="E372" s="101">
        <v>41640.0</v>
      </c>
      <c r="F372" s="111" t="s">
        <v>1427</v>
      </c>
      <c r="G372" s="130" t="s">
        <v>71</v>
      </c>
      <c r="H372" s="130" t="s">
        <v>23</v>
      </c>
      <c r="I372" s="28"/>
      <c r="J372" s="26">
        <v>2.0</v>
      </c>
      <c r="K372" s="57"/>
      <c r="L372" s="28"/>
      <c r="M372" s="34" t="s">
        <v>905</v>
      </c>
      <c r="N372" s="106" t="s">
        <v>1428</v>
      </c>
      <c r="O372" s="113"/>
      <c r="P372" s="32">
        <v>149.0</v>
      </c>
      <c r="Q372" s="32"/>
      <c r="R372" s="32"/>
      <c r="S372" s="32"/>
      <c r="T372" s="32"/>
      <c r="U372" s="32"/>
      <c r="V372" s="32"/>
      <c r="W372" s="32"/>
      <c r="X372" s="32"/>
      <c r="Y372" s="32"/>
      <c r="Z372" s="32"/>
    </row>
    <row r="373">
      <c r="A373" s="20" t="s">
        <v>602</v>
      </c>
      <c r="B373" s="51"/>
      <c r="C373" s="22">
        <v>5.0E7</v>
      </c>
      <c r="D373" s="26">
        <v>2020.0</v>
      </c>
      <c r="E373" s="101">
        <v>44166.0</v>
      </c>
      <c r="F373" s="26" t="s">
        <v>603</v>
      </c>
      <c r="G373" s="26" t="s">
        <v>28</v>
      </c>
      <c r="H373" s="26" t="s">
        <v>23</v>
      </c>
      <c r="I373" s="26" t="s">
        <v>29</v>
      </c>
      <c r="J373" s="26">
        <v>3.0</v>
      </c>
      <c r="K373" s="27"/>
      <c r="L373" s="28"/>
      <c r="M373" s="34" t="s">
        <v>604</v>
      </c>
      <c r="N373" s="100" t="s">
        <v>605</v>
      </c>
      <c r="O373" s="31"/>
      <c r="P373" s="32">
        <v>367.0</v>
      </c>
      <c r="Q373" s="32"/>
      <c r="R373" s="32"/>
      <c r="S373" s="32"/>
      <c r="T373" s="32"/>
      <c r="U373" s="32"/>
      <c r="V373" s="32"/>
      <c r="W373" s="32"/>
      <c r="X373" s="32"/>
      <c r="Y373" s="32"/>
      <c r="Z373" s="32"/>
    </row>
    <row r="374">
      <c r="A374" s="20" t="s">
        <v>312</v>
      </c>
      <c r="B374" s="51"/>
      <c r="C374" s="22">
        <v>6800.0</v>
      </c>
      <c r="D374" s="26">
        <v>2023.0</v>
      </c>
      <c r="E374" s="24">
        <v>45200.0</v>
      </c>
      <c r="F374" s="26" t="s">
        <v>313</v>
      </c>
      <c r="G374" s="26" t="s">
        <v>50</v>
      </c>
      <c r="H374" s="26" t="s">
        <v>23</v>
      </c>
      <c r="I374" s="28"/>
      <c r="J374" s="26">
        <v>2.0</v>
      </c>
      <c r="K374" s="27"/>
      <c r="L374" s="28"/>
      <c r="M374" s="34" t="s">
        <v>314</v>
      </c>
      <c r="N374" s="35" t="s">
        <v>315</v>
      </c>
      <c r="O374" s="35" t="s">
        <v>316</v>
      </c>
      <c r="P374" s="32">
        <v>445.0</v>
      </c>
      <c r="Q374" s="26"/>
      <c r="R374" s="21"/>
      <c r="S374" s="21"/>
      <c r="T374" s="21"/>
      <c r="U374" s="21"/>
      <c r="V374" s="21"/>
      <c r="W374" s="21"/>
      <c r="X374" s="21"/>
      <c r="Y374" s="21"/>
      <c r="Z374" s="21"/>
    </row>
    <row r="375">
      <c r="A375" s="165" t="s">
        <v>1728</v>
      </c>
      <c r="B375" s="28"/>
      <c r="C375" s="22">
        <v>2.46E7</v>
      </c>
      <c r="D375" s="26">
        <v>2011.0</v>
      </c>
      <c r="E375" s="101">
        <v>40664.0</v>
      </c>
      <c r="F375" s="26" t="s">
        <v>1729</v>
      </c>
      <c r="G375" s="130" t="s">
        <v>236</v>
      </c>
      <c r="H375" s="130" t="s">
        <v>23</v>
      </c>
      <c r="I375" s="28"/>
      <c r="J375" s="26">
        <v>3.0</v>
      </c>
      <c r="K375" s="57"/>
      <c r="L375" s="28"/>
      <c r="M375" s="34" t="s">
        <v>1224</v>
      </c>
      <c r="N375" s="106" t="s">
        <v>1730</v>
      </c>
      <c r="O375" s="113"/>
      <c r="P375" s="32">
        <v>71.0</v>
      </c>
      <c r="Q375" s="32"/>
      <c r="R375" s="32"/>
      <c r="S375" s="32"/>
      <c r="T375" s="32"/>
      <c r="U375" s="32"/>
      <c r="V375" s="32"/>
      <c r="W375" s="32"/>
      <c r="X375" s="32"/>
      <c r="Y375" s="32"/>
      <c r="Z375" s="32"/>
    </row>
    <row r="376">
      <c r="A376" s="114" t="s">
        <v>1334</v>
      </c>
      <c r="B376" s="53"/>
      <c r="C376" s="22">
        <v>1.0E7</v>
      </c>
      <c r="D376" s="26">
        <v>2014.0</v>
      </c>
      <c r="E376" s="101">
        <v>41974.0</v>
      </c>
      <c r="F376" s="34" t="s">
        <v>1335</v>
      </c>
      <c r="G376" s="34" t="s">
        <v>38</v>
      </c>
      <c r="H376" s="115" t="s">
        <v>23</v>
      </c>
      <c r="I376" s="53"/>
      <c r="J376" s="26">
        <v>2.0</v>
      </c>
      <c r="K376" s="57"/>
      <c r="L376" s="53"/>
      <c r="M376" s="53" t="s">
        <v>1336</v>
      </c>
      <c r="N376" s="116" t="s">
        <v>1337</v>
      </c>
      <c r="O376" s="19"/>
      <c r="P376" s="32">
        <v>171.0</v>
      </c>
      <c r="Q376" s="32"/>
      <c r="R376" s="32"/>
      <c r="S376" s="32"/>
      <c r="T376" s="32"/>
      <c r="U376" s="32"/>
      <c r="V376" s="32"/>
      <c r="W376" s="32"/>
      <c r="X376" s="32"/>
      <c r="Y376" s="32"/>
      <c r="Z376" s="32"/>
    </row>
    <row r="377">
      <c r="A377" s="165" t="s">
        <v>1334</v>
      </c>
      <c r="B377" s="28"/>
      <c r="C377" s="22">
        <v>1000000.0</v>
      </c>
      <c r="D377" s="26">
        <v>2011.0</v>
      </c>
      <c r="E377" s="101">
        <v>40695.0</v>
      </c>
      <c r="F377" s="26" t="s">
        <v>1699</v>
      </c>
      <c r="G377" s="130" t="s">
        <v>28</v>
      </c>
      <c r="H377" s="130" t="s">
        <v>23</v>
      </c>
      <c r="I377" s="130" t="s">
        <v>29</v>
      </c>
      <c r="J377" s="130">
        <v>1.0</v>
      </c>
      <c r="K377" s="57"/>
      <c r="L377" s="28"/>
      <c r="M377" s="34" t="s">
        <v>1665</v>
      </c>
      <c r="N377" s="106" t="s">
        <v>1700</v>
      </c>
      <c r="O377" s="113"/>
      <c r="P377" s="32">
        <v>79.0</v>
      </c>
      <c r="Q377" s="32"/>
      <c r="R377" s="32"/>
      <c r="S377" s="32"/>
      <c r="T377" s="32"/>
      <c r="U377" s="32"/>
      <c r="V377" s="32"/>
      <c r="W377" s="32"/>
      <c r="X377" s="32"/>
      <c r="Y377" s="32"/>
      <c r="Z377" s="32"/>
    </row>
    <row r="378">
      <c r="A378" s="165" t="s">
        <v>1663</v>
      </c>
      <c r="B378" s="28"/>
      <c r="C378" s="22">
        <v>7.7E7</v>
      </c>
      <c r="D378" s="26">
        <v>2011.0</v>
      </c>
      <c r="E378" s="101">
        <v>40634.0</v>
      </c>
      <c r="F378" s="26" t="s">
        <v>1664</v>
      </c>
      <c r="G378" s="130" t="s">
        <v>236</v>
      </c>
      <c r="H378" s="130" t="s">
        <v>23</v>
      </c>
      <c r="I378" s="130" t="s">
        <v>29</v>
      </c>
      <c r="J378" s="130">
        <v>1.0</v>
      </c>
      <c r="K378" s="57"/>
      <c r="L378" s="28"/>
      <c r="M378" s="34" t="s">
        <v>1665</v>
      </c>
      <c r="N378" s="106" t="s">
        <v>1666</v>
      </c>
      <c r="O378" s="113"/>
      <c r="P378" s="32">
        <v>89.0</v>
      </c>
      <c r="Q378" s="32"/>
      <c r="R378" s="32"/>
      <c r="S378" s="32"/>
      <c r="T378" s="32"/>
      <c r="U378" s="32"/>
      <c r="V378" s="32"/>
      <c r="W378" s="32"/>
      <c r="X378" s="32"/>
      <c r="Y378" s="32"/>
      <c r="Z378" s="32"/>
    </row>
    <row r="379">
      <c r="A379" s="114" t="s">
        <v>1537</v>
      </c>
      <c r="B379" s="115" t="s">
        <v>1538</v>
      </c>
      <c r="C379" s="22">
        <v>228000.0</v>
      </c>
      <c r="D379" s="26">
        <v>2012.0</v>
      </c>
      <c r="E379" s="101">
        <v>41000.0</v>
      </c>
      <c r="F379" s="26" t="s">
        <v>1539</v>
      </c>
      <c r="G379" s="26" t="s">
        <v>258</v>
      </c>
      <c r="H379" s="130" t="s">
        <v>59</v>
      </c>
      <c r="I379" s="28"/>
      <c r="J379" s="26">
        <v>4.0</v>
      </c>
      <c r="K379" s="57"/>
      <c r="L379" s="53"/>
      <c r="M379" s="34" t="s">
        <v>1540</v>
      </c>
      <c r="N379" s="135" t="s">
        <v>1541</v>
      </c>
      <c r="O379" s="136"/>
      <c r="P379" s="32">
        <v>119.0</v>
      </c>
      <c r="Q379" s="32"/>
      <c r="R379" s="32"/>
      <c r="S379" s="32"/>
      <c r="T379" s="32"/>
      <c r="U379" s="32"/>
      <c r="V379" s="32"/>
      <c r="W379" s="32"/>
      <c r="X379" s="32"/>
      <c r="Y379" s="32"/>
      <c r="Z379" s="32"/>
    </row>
    <row r="380">
      <c r="A380" s="20" t="s">
        <v>1619</v>
      </c>
      <c r="B380" s="138"/>
      <c r="C380" s="22">
        <v>3600000.0</v>
      </c>
      <c r="D380" s="26">
        <v>2012.0</v>
      </c>
      <c r="E380" s="101">
        <v>41183.0</v>
      </c>
      <c r="F380" s="26" t="s">
        <v>1620</v>
      </c>
      <c r="G380" s="26" t="s">
        <v>64</v>
      </c>
      <c r="H380" s="26" t="s">
        <v>23</v>
      </c>
      <c r="I380" s="28"/>
      <c r="J380" s="26">
        <v>1.0</v>
      </c>
      <c r="K380" s="57"/>
      <c r="L380" s="28"/>
      <c r="M380" s="53" t="s">
        <v>1621</v>
      </c>
      <c r="N380" s="106" t="s">
        <v>1622</v>
      </c>
      <c r="O380" s="113"/>
      <c r="P380" s="32">
        <v>100.0</v>
      </c>
      <c r="Q380" s="32"/>
      <c r="R380" s="32"/>
      <c r="S380" s="32"/>
      <c r="T380" s="32"/>
      <c r="U380" s="32"/>
      <c r="V380" s="32"/>
      <c r="W380" s="32"/>
      <c r="X380" s="32"/>
      <c r="Y380" s="32"/>
      <c r="Z380" s="32"/>
    </row>
    <row r="381">
      <c r="A381" s="165" t="s">
        <v>1636</v>
      </c>
      <c r="B381" s="28"/>
      <c r="C381" s="22">
        <v>800000.0</v>
      </c>
      <c r="D381" s="26">
        <v>2011.0</v>
      </c>
      <c r="E381" s="101">
        <v>40787.0</v>
      </c>
      <c r="F381" s="26" t="s">
        <v>1637</v>
      </c>
      <c r="G381" s="26" t="s">
        <v>258</v>
      </c>
      <c r="H381" s="26" t="s">
        <v>1034</v>
      </c>
      <c r="I381" s="28"/>
      <c r="J381" s="26">
        <v>5.0</v>
      </c>
      <c r="K381" s="57"/>
      <c r="L381" s="28"/>
      <c r="M381" s="105" t="s">
        <v>1638</v>
      </c>
      <c r="N381" s="106" t="s">
        <v>1639</v>
      </c>
      <c r="O381" s="113"/>
      <c r="P381" s="32">
        <v>96.0</v>
      </c>
      <c r="Q381" s="32"/>
      <c r="R381" s="32"/>
      <c r="S381" s="32"/>
      <c r="T381" s="32"/>
      <c r="U381" s="32"/>
      <c r="V381" s="32"/>
      <c r="W381" s="32"/>
      <c r="X381" s="32"/>
      <c r="Y381" s="32"/>
      <c r="Z381" s="32"/>
    </row>
    <row r="382">
      <c r="A382" s="114" t="s">
        <v>1683</v>
      </c>
      <c r="B382" s="28"/>
      <c r="C382" s="22">
        <v>300000.0</v>
      </c>
      <c r="D382" s="26">
        <v>2011.0</v>
      </c>
      <c r="E382" s="101">
        <v>40695.0</v>
      </c>
      <c r="F382" s="26" t="s">
        <v>1684</v>
      </c>
      <c r="G382" s="26" t="s">
        <v>258</v>
      </c>
      <c r="H382" s="130" t="s">
        <v>23</v>
      </c>
      <c r="I382" s="28"/>
      <c r="J382" s="26">
        <v>2.0</v>
      </c>
      <c r="K382" s="57"/>
      <c r="L382" s="28"/>
      <c r="M382" s="105" t="s">
        <v>1026</v>
      </c>
      <c r="N382" s="106" t="s">
        <v>1685</v>
      </c>
      <c r="O382" s="113"/>
      <c r="P382" s="32">
        <v>84.0</v>
      </c>
      <c r="Q382" s="32"/>
      <c r="R382" s="32"/>
      <c r="S382" s="32"/>
      <c r="T382" s="32"/>
      <c r="U382" s="32"/>
      <c r="V382" s="32"/>
      <c r="W382" s="32"/>
      <c r="X382" s="32"/>
      <c r="Y382" s="32"/>
      <c r="Z382" s="32"/>
    </row>
    <row r="383">
      <c r="A383" s="52" t="s">
        <v>1010</v>
      </c>
      <c r="B383" s="53"/>
      <c r="C383" s="22">
        <v>5.2E8</v>
      </c>
      <c r="D383" s="26">
        <v>2017.0</v>
      </c>
      <c r="E383" s="101">
        <v>42948.0</v>
      </c>
      <c r="F383" s="34" t="s">
        <v>1011</v>
      </c>
      <c r="G383" s="26" t="s">
        <v>28</v>
      </c>
      <c r="H383" s="26" t="s">
        <v>51</v>
      </c>
      <c r="I383" s="34"/>
      <c r="J383" s="26">
        <v>4.0</v>
      </c>
      <c r="K383" s="27" t="s">
        <v>1012</v>
      </c>
      <c r="L383" s="53"/>
      <c r="M383" s="53" t="s">
        <v>325</v>
      </c>
      <c r="N383" s="135" t="s">
        <v>1013</v>
      </c>
      <c r="O383" s="136"/>
      <c r="P383" s="32">
        <v>251.0</v>
      </c>
      <c r="Q383" s="32"/>
      <c r="R383" s="32"/>
      <c r="S383" s="32"/>
      <c r="T383" s="32"/>
      <c r="U383" s="32"/>
      <c r="V383" s="32"/>
      <c r="W383" s="32"/>
      <c r="X383" s="32"/>
      <c r="Y383" s="32"/>
      <c r="Z383" s="32"/>
    </row>
    <row r="384">
      <c r="A384" s="114" t="s">
        <v>1716</v>
      </c>
      <c r="B384" s="28"/>
      <c r="C384" s="22">
        <v>400000.0</v>
      </c>
      <c r="D384" s="26">
        <v>2011.0</v>
      </c>
      <c r="E384" s="101">
        <v>40664.0</v>
      </c>
      <c r="F384" s="26" t="s">
        <v>1717</v>
      </c>
      <c r="G384" s="26" t="s">
        <v>258</v>
      </c>
      <c r="H384" s="26" t="s">
        <v>1034</v>
      </c>
      <c r="I384" s="28"/>
      <c r="J384" s="26">
        <v>4.0</v>
      </c>
      <c r="K384" s="57"/>
      <c r="L384" s="53"/>
      <c r="M384" s="34" t="s">
        <v>1718</v>
      </c>
      <c r="N384" s="135" t="s">
        <v>1719</v>
      </c>
      <c r="O384" s="136"/>
      <c r="P384" s="32">
        <v>74.0</v>
      </c>
      <c r="Q384" s="32"/>
      <c r="R384" s="32"/>
      <c r="S384" s="32"/>
      <c r="T384" s="32"/>
      <c r="U384" s="32"/>
      <c r="V384" s="32"/>
      <c r="W384" s="32"/>
      <c r="X384" s="32"/>
      <c r="Y384" s="32"/>
      <c r="Z384" s="32"/>
    </row>
    <row r="385">
      <c r="A385" s="226" t="s">
        <v>127</v>
      </c>
      <c r="B385" s="224"/>
      <c r="C385" s="214">
        <v>216300.0</v>
      </c>
      <c r="D385" s="215">
        <v>2025.0</v>
      </c>
      <c r="E385" s="216">
        <v>45741.0</v>
      </c>
      <c r="F385" s="227" t="s">
        <v>128</v>
      </c>
      <c r="G385" s="215" t="s">
        <v>129</v>
      </c>
      <c r="H385" s="215" t="s">
        <v>23</v>
      </c>
      <c r="I385" s="215"/>
      <c r="J385" s="215">
        <v>2.0</v>
      </c>
      <c r="K385" s="218"/>
      <c r="L385" s="219"/>
      <c r="M385" s="220" t="s">
        <v>72</v>
      </c>
      <c r="N385" s="221" t="s">
        <v>130</v>
      </c>
      <c r="O385" s="222"/>
      <c r="P385" s="223">
        <v>496.0</v>
      </c>
      <c r="Q385" s="215"/>
      <c r="R385" s="224"/>
      <c r="S385" s="224"/>
      <c r="T385" s="224"/>
      <c r="U385" s="224"/>
      <c r="V385" s="224"/>
      <c r="W385" s="224"/>
      <c r="X385" s="224"/>
      <c r="Y385" s="224"/>
      <c r="Z385" s="224"/>
    </row>
    <row r="386">
      <c r="A386" s="20" t="s">
        <v>610</v>
      </c>
      <c r="B386" s="51"/>
      <c r="C386" s="22">
        <v>500000.0</v>
      </c>
      <c r="D386" s="26">
        <v>2020.0</v>
      </c>
      <c r="E386" s="101">
        <v>44166.0</v>
      </c>
      <c r="F386" s="26" t="s">
        <v>611</v>
      </c>
      <c r="G386" s="26" t="s">
        <v>28</v>
      </c>
      <c r="H386" s="26" t="s">
        <v>142</v>
      </c>
      <c r="I386" s="26"/>
      <c r="J386" s="26">
        <v>1.0</v>
      </c>
      <c r="K386" s="27"/>
      <c r="L386" s="28"/>
      <c r="M386" s="34" t="s">
        <v>34</v>
      </c>
      <c r="N386" s="100" t="s">
        <v>612</v>
      </c>
      <c r="O386" s="31"/>
      <c r="P386" s="32">
        <v>365.0</v>
      </c>
      <c r="Q386" s="32"/>
      <c r="R386" s="32"/>
      <c r="S386" s="32"/>
      <c r="T386" s="32"/>
      <c r="U386" s="32"/>
      <c r="V386" s="32"/>
      <c r="W386" s="32"/>
      <c r="X386" s="32"/>
      <c r="Y386" s="32"/>
      <c r="Z386" s="32"/>
    </row>
    <row r="387">
      <c r="A387" s="181" t="s">
        <v>1523</v>
      </c>
      <c r="B387" s="28"/>
      <c r="C387" s="22">
        <v>4000000.0</v>
      </c>
      <c r="D387" s="26">
        <v>2013.0</v>
      </c>
      <c r="E387" s="101">
        <v>41518.0</v>
      </c>
      <c r="F387" s="26" t="s">
        <v>1524</v>
      </c>
      <c r="G387" s="130" t="s">
        <v>28</v>
      </c>
      <c r="H387" s="115" t="s">
        <v>23</v>
      </c>
      <c r="I387" s="130" t="s">
        <v>29</v>
      </c>
      <c r="J387" s="26">
        <v>2.0</v>
      </c>
      <c r="K387" s="57"/>
      <c r="L387" s="28"/>
      <c r="M387" s="120" t="s">
        <v>702</v>
      </c>
      <c r="N387" s="106" t="s">
        <v>1525</v>
      </c>
      <c r="O387" s="113"/>
      <c r="P387" s="32">
        <v>123.0</v>
      </c>
      <c r="Q387" s="32"/>
      <c r="R387" s="32"/>
      <c r="S387" s="32"/>
      <c r="T387" s="32"/>
      <c r="U387" s="32"/>
      <c r="V387" s="32"/>
      <c r="W387" s="32"/>
      <c r="X387" s="32"/>
      <c r="Y387" s="32"/>
      <c r="Z387" s="32"/>
    </row>
    <row r="388">
      <c r="A388" s="20" t="s">
        <v>149</v>
      </c>
      <c r="B388" s="21"/>
      <c r="C388" s="22">
        <v>27000.0</v>
      </c>
      <c r="D388" s="26">
        <v>2023.0</v>
      </c>
      <c r="E388" s="24">
        <v>45058.0</v>
      </c>
      <c r="F388" s="25" t="s">
        <v>150</v>
      </c>
      <c r="G388" s="26" t="s">
        <v>110</v>
      </c>
      <c r="H388" s="26" t="s">
        <v>151</v>
      </c>
      <c r="I388" s="26"/>
      <c r="J388" s="26">
        <v>2.0</v>
      </c>
      <c r="K388" s="27"/>
      <c r="L388" s="28"/>
      <c r="M388" s="34" t="s">
        <v>152</v>
      </c>
      <c r="N388" s="30" t="s">
        <v>153</v>
      </c>
      <c r="O388" s="31"/>
      <c r="P388" s="32">
        <v>490.0</v>
      </c>
      <c r="Q388" s="26"/>
      <c r="R388" s="21"/>
      <c r="S388" s="21"/>
      <c r="T388" s="21"/>
      <c r="U388" s="21"/>
      <c r="V388" s="21"/>
      <c r="W388" s="21"/>
      <c r="X388" s="21"/>
      <c r="Y388" s="21"/>
      <c r="Z388" s="21"/>
    </row>
    <row r="389">
      <c r="A389" s="165" t="s">
        <v>149</v>
      </c>
      <c r="B389" s="28"/>
      <c r="C389" s="22">
        <v>72000.0</v>
      </c>
      <c r="D389" s="26">
        <v>2008.0</v>
      </c>
      <c r="E389" s="101">
        <v>39600.0</v>
      </c>
      <c r="F389" s="26" t="s">
        <v>1899</v>
      </c>
      <c r="G389" s="26" t="s">
        <v>110</v>
      </c>
      <c r="H389" s="26" t="s">
        <v>1034</v>
      </c>
      <c r="I389" s="28"/>
      <c r="J389" s="26">
        <v>2.0</v>
      </c>
      <c r="K389" s="57"/>
      <c r="L389" s="28"/>
      <c r="M389" s="105" t="s">
        <v>1900</v>
      </c>
      <c r="N389" s="106" t="s">
        <v>1901</v>
      </c>
      <c r="O389" s="117"/>
      <c r="P389" s="32">
        <v>29.0</v>
      </c>
      <c r="Q389" s="32"/>
      <c r="R389" s="32"/>
      <c r="S389" s="32"/>
      <c r="T389" s="32"/>
      <c r="U389" s="32"/>
      <c r="V389" s="32"/>
      <c r="W389" s="32"/>
      <c r="X389" s="32"/>
      <c r="Y389" s="32"/>
      <c r="Z389" s="32"/>
    </row>
    <row r="390">
      <c r="A390" s="165" t="s">
        <v>1370</v>
      </c>
      <c r="B390" s="53"/>
      <c r="C390" s="22">
        <v>1160000.0</v>
      </c>
      <c r="D390" s="26">
        <v>2014.0</v>
      </c>
      <c r="E390" s="101">
        <v>41974.0</v>
      </c>
      <c r="F390" s="26" t="s">
        <v>1371</v>
      </c>
      <c r="G390" s="26" t="s">
        <v>43</v>
      </c>
      <c r="H390" s="130" t="s">
        <v>23</v>
      </c>
      <c r="I390" s="28"/>
      <c r="J390" s="26">
        <v>3.0</v>
      </c>
      <c r="K390" s="57"/>
      <c r="L390" s="28"/>
      <c r="M390" s="53" t="s">
        <v>817</v>
      </c>
      <c r="N390" s="166" t="s">
        <v>1372</v>
      </c>
      <c r="O390" s="113"/>
      <c r="P390" s="32">
        <v>162.0</v>
      </c>
      <c r="Q390" s="32"/>
      <c r="R390" s="32"/>
      <c r="S390" s="32"/>
      <c r="T390" s="32"/>
      <c r="U390" s="32"/>
      <c r="V390" s="32"/>
      <c r="W390" s="32"/>
      <c r="X390" s="32"/>
      <c r="Y390" s="32"/>
      <c r="Z390" s="32"/>
    </row>
    <row r="391">
      <c r="A391" s="20" t="s">
        <v>585</v>
      </c>
      <c r="B391" s="51"/>
      <c r="C391" s="22">
        <v>1.6E7</v>
      </c>
      <c r="D391" s="26">
        <v>2021.0</v>
      </c>
      <c r="E391" s="101">
        <v>44256.0</v>
      </c>
      <c r="F391" s="26" t="s">
        <v>586</v>
      </c>
      <c r="G391" s="26" t="s">
        <v>22</v>
      </c>
      <c r="H391" s="26" t="s">
        <v>23</v>
      </c>
      <c r="I391" s="26"/>
      <c r="J391" s="26">
        <v>1.0</v>
      </c>
      <c r="K391" s="27"/>
      <c r="L391" s="28"/>
      <c r="M391" s="34" t="s">
        <v>325</v>
      </c>
      <c r="N391" s="100" t="s">
        <v>587</v>
      </c>
      <c r="O391" s="31"/>
      <c r="P391" s="32">
        <v>372.0</v>
      </c>
      <c r="Q391" s="32"/>
      <c r="R391" s="32"/>
      <c r="S391" s="32"/>
      <c r="T391" s="32"/>
      <c r="U391" s="32"/>
      <c r="V391" s="32"/>
      <c r="W391" s="32"/>
      <c r="X391" s="32"/>
      <c r="Y391" s="32"/>
      <c r="Z391" s="32"/>
    </row>
    <row r="392">
      <c r="A392" s="165" t="s">
        <v>1915</v>
      </c>
      <c r="B392" s="28"/>
      <c r="C392" s="22">
        <v>97000.0</v>
      </c>
      <c r="D392" s="26">
        <v>2008.0</v>
      </c>
      <c r="E392" s="101">
        <v>39753.0</v>
      </c>
      <c r="F392" s="26" t="s">
        <v>1916</v>
      </c>
      <c r="G392" s="130" t="s">
        <v>43</v>
      </c>
      <c r="H392" s="26" t="s">
        <v>1034</v>
      </c>
      <c r="I392" s="130" t="s">
        <v>29</v>
      </c>
      <c r="J392" s="26">
        <v>2.0</v>
      </c>
      <c r="K392" s="57"/>
      <c r="L392" s="28"/>
      <c r="M392" s="53" t="s">
        <v>1917</v>
      </c>
      <c r="N392" s="106" t="s">
        <v>1918</v>
      </c>
      <c r="O392" s="117"/>
      <c r="P392" s="32">
        <v>25.0</v>
      </c>
      <c r="Q392" s="32"/>
      <c r="R392" s="32"/>
      <c r="S392" s="32"/>
      <c r="T392" s="32"/>
      <c r="U392" s="32"/>
      <c r="V392" s="32"/>
      <c r="W392" s="32"/>
      <c r="X392" s="32"/>
      <c r="Y392" s="32"/>
      <c r="Z392" s="32"/>
    </row>
    <row r="393">
      <c r="A393" s="165" t="s">
        <v>1655</v>
      </c>
      <c r="B393" s="28"/>
      <c r="C393" s="22">
        <v>3500000.0</v>
      </c>
      <c r="D393" s="26">
        <v>2011.0</v>
      </c>
      <c r="E393" s="101">
        <v>40634.0</v>
      </c>
      <c r="F393" s="26" t="s">
        <v>1656</v>
      </c>
      <c r="G393" s="130" t="s">
        <v>64</v>
      </c>
      <c r="H393" s="105" t="s">
        <v>142</v>
      </c>
      <c r="I393" s="28"/>
      <c r="J393" s="26">
        <v>2.0</v>
      </c>
      <c r="K393" s="57"/>
      <c r="L393" s="28"/>
      <c r="M393" s="34" t="s">
        <v>1657</v>
      </c>
      <c r="N393" s="106" t="s">
        <v>1658</v>
      </c>
      <c r="O393" s="113"/>
      <c r="P393" s="32">
        <v>91.0</v>
      </c>
      <c r="Q393" s="32"/>
      <c r="R393" s="32"/>
      <c r="S393" s="32"/>
      <c r="T393" s="32"/>
      <c r="U393" s="32"/>
      <c r="V393" s="32"/>
      <c r="W393" s="32"/>
      <c r="X393" s="32"/>
      <c r="Y393" s="32"/>
      <c r="Z393" s="32"/>
    </row>
    <row r="394">
      <c r="A394" s="165" t="s">
        <v>1742</v>
      </c>
      <c r="B394" s="105" t="s">
        <v>1743</v>
      </c>
      <c r="C394" s="22">
        <v>3.5E7</v>
      </c>
      <c r="D394" s="26">
        <v>2011.0</v>
      </c>
      <c r="E394" s="101">
        <v>40848.0</v>
      </c>
      <c r="F394" s="26" t="s">
        <v>1744</v>
      </c>
      <c r="G394" s="130" t="s">
        <v>28</v>
      </c>
      <c r="H394" s="130" t="s">
        <v>23</v>
      </c>
      <c r="I394" s="28"/>
      <c r="J394" s="26">
        <v>3.0</v>
      </c>
      <c r="K394" s="57"/>
      <c r="L394" s="28"/>
      <c r="M394" s="53" t="s">
        <v>1745</v>
      </c>
      <c r="N394" s="106" t="s">
        <v>1746</v>
      </c>
      <c r="O394" s="113"/>
      <c r="P394" s="32">
        <v>67.0</v>
      </c>
      <c r="Q394" s="32"/>
      <c r="R394" s="32"/>
      <c r="S394" s="32"/>
      <c r="T394" s="32"/>
      <c r="U394" s="32"/>
      <c r="V394" s="32"/>
      <c r="W394" s="32"/>
      <c r="X394" s="32"/>
      <c r="Y394" s="32"/>
      <c r="Z394" s="32"/>
    </row>
    <row r="395">
      <c r="A395" s="165" t="s">
        <v>1673</v>
      </c>
      <c r="B395" s="26" t="s">
        <v>1674</v>
      </c>
      <c r="C395" s="22">
        <v>935000.0</v>
      </c>
      <c r="D395" s="26">
        <v>2011.0</v>
      </c>
      <c r="E395" s="101">
        <v>40878.0</v>
      </c>
      <c r="F395" s="26" t="s">
        <v>1675</v>
      </c>
      <c r="G395" s="130" t="s">
        <v>1676</v>
      </c>
      <c r="H395" s="26" t="s">
        <v>23</v>
      </c>
      <c r="I395" s="28"/>
      <c r="J395" s="225" t="s">
        <v>1677</v>
      </c>
      <c r="K395" s="57"/>
      <c r="L395" s="28"/>
      <c r="M395" s="105" t="s">
        <v>688</v>
      </c>
      <c r="N395" s="106" t="s">
        <v>1678</v>
      </c>
      <c r="O395" s="113"/>
      <c r="P395" s="32">
        <v>86.0</v>
      </c>
      <c r="Q395" s="32"/>
      <c r="R395" s="32"/>
      <c r="S395" s="32"/>
      <c r="T395" s="32"/>
      <c r="U395" s="32"/>
      <c r="V395" s="32"/>
      <c r="W395" s="32"/>
      <c r="X395" s="32"/>
      <c r="Y395" s="32"/>
      <c r="Z395" s="32"/>
    </row>
    <row r="396">
      <c r="A396" s="103" t="s">
        <v>769</v>
      </c>
      <c r="B396" s="104"/>
      <c r="C396" s="22">
        <v>5000000.0</v>
      </c>
      <c r="D396" s="26">
        <v>2019.0</v>
      </c>
      <c r="E396" s="101">
        <v>43497.0</v>
      </c>
      <c r="F396" s="26" t="s">
        <v>761</v>
      </c>
      <c r="G396" s="26" t="s">
        <v>236</v>
      </c>
      <c r="H396" s="26" t="s">
        <v>23</v>
      </c>
      <c r="I396" s="28"/>
      <c r="J396" s="26">
        <v>1.0</v>
      </c>
      <c r="K396" s="27" t="str">
        <f>IF(C396&gt;100000000,C396,"")</f>
        <v/>
      </c>
      <c r="L396" s="28"/>
      <c r="M396" s="105" t="s">
        <v>725</v>
      </c>
      <c r="N396" s="106" t="s">
        <v>762</v>
      </c>
      <c r="O396" s="109"/>
      <c r="P396" s="32">
        <v>313.0</v>
      </c>
      <c r="Q396" s="32"/>
      <c r="R396" s="32"/>
      <c r="S396" s="32"/>
      <c r="T396" s="32"/>
      <c r="U396" s="32"/>
      <c r="V396" s="32"/>
      <c r="W396" s="32"/>
      <c r="X396" s="32"/>
      <c r="Y396" s="32"/>
      <c r="Z396" s="32"/>
    </row>
    <row r="397">
      <c r="A397" s="20" t="s">
        <v>792</v>
      </c>
      <c r="B397" s="111" t="s">
        <v>793</v>
      </c>
      <c r="C397" s="22">
        <v>2.78E7</v>
      </c>
      <c r="D397" s="26">
        <v>2019.0</v>
      </c>
      <c r="E397" s="101">
        <v>43678.0</v>
      </c>
      <c r="F397" s="26" t="s">
        <v>794</v>
      </c>
      <c r="G397" s="26" t="s">
        <v>50</v>
      </c>
      <c r="H397" s="26" t="s">
        <v>51</v>
      </c>
      <c r="I397" s="28"/>
      <c r="J397" s="26">
        <v>5.0</v>
      </c>
      <c r="K397" s="27"/>
      <c r="L397" s="28"/>
      <c r="M397" s="34" t="s">
        <v>507</v>
      </c>
      <c r="N397" s="102" t="s">
        <v>795</v>
      </c>
      <c r="O397" s="31"/>
      <c r="P397" s="32">
        <v>305.0</v>
      </c>
      <c r="Q397" s="32"/>
      <c r="R397" s="32"/>
      <c r="S397" s="32"/>
      <c r="T397" s="32"/>
      <c r="U397" s="32"/>
      <c r="V397" s="32"/>
      <c r="W397" s="32"/>
      <c r="X397" s="32"/>
      <c r="Y397" s="32"/>
      <c r="Z397" s="32"/>
    </row>
    <row r="398">
      <c r="A398" s="114" t="s">
        <v>1760</v>
      </c>
      <c r="B398" s="28"/>
      <c r="C398" s="22">
        <v>4243434.0</v>
      </c>
      <c r="D398" s="26">
        <v>2011.0</v>
      </c>
      <c r="E398" s="101">
        <v>40848.0</v>
      </c>
      <c r="F398" s="26" t="s">
        <v>1761</v>
      </c>
      <c r="G398" s="26" t="s">
        <v>258</v>
      </c>
      <c r="H398" s="26" t="s">
        <v>1034</v>
      </c>
      <c r="I398" s="28"/>
      <c r="J398" s="26">
        <v>2.0</v>
      </c>
      <c r="K398" s="57"/>
      <c r="L398" s="53"/>
      <c r="M398" s="105" t="s">
        <v>1106</v>
      </c>
      <c r="N398" s="135" t="s">
        <v>1762</v>
      </c>
      <c r="O398" s="136"/>
      <c r="P398" s="32">
        <v>63.0</v>
      </c>
      <c r="Q398" s="32"/>
      <c r="R398" s="32"/>
      <c r="S398" s="32"/>
      <c r="T398" s="32"/>
      <c r="U398" s="32"/>
      <c r="V398" s="32"/>
      <c r="W398" s="32"/>
      <c r="X398" s="32"/>
      <c r="Y398" s="32"/>
      <c r="Z398" s="32"/>
    </row>
    <row r="399">
      <c r="A399" s="118" t="s">
        <v>1081</v>
      </c>
      <c r="B399" s="142" t="s">
        <v>1082</v>
      </c>
      <c r="C399" s="119">
        <v>540000.0</v>
      </c>
      <c r="D399" s="26">
        <v>2017.0</v>
      </c>
      <c r="E399" s="101">
        <v>42979.0</v>
      </c>
      <c r="F399" s="34" t="s">
        <v>1083</v>
      </c>
      <c r="G399" s="26" t="s">
        <v>28</v>
      </c>
      <c r="H399" s="127" t="s">
        <v>51</v>
      </c>
      <c r="I399" s="120"/>
      <c r="J399" s="26">
        <v>4.0</v>
      </c>
      <c r="K399" s="57"/>
      <c r="L399" s="120"/>
      <c r="M399" s="120" t="s">
        <v>1073</v>
      </c>
      <c r="N399" s="121" t="s">
        <v>1084</v>
      </c>
      <c r="O399" s="117"/>
      <c r="P399" s="32">
        <v>233.0</v>
      </c>
      <c r="Q399" s="32"/>
      <c r="R399" s="32"/>
      <c r="S399" s="32"/>
      <c r="T399" s="32"/>
      <c r="U399" s="32"/>
      <c r="V399" s="32"/>
      <c r="W399" s="32"/>
      <c r="X399" s="32"/>
      <c r="Y399" s="32"/>
      <c r="Z399" s="32"/>
    </row>
    <row r="400">
      <c r="A400" s="52" t="s">
        <v>1028</v>
      </c>
      <c r="B400" s="34"/>
      <c r="C400" s="22">
        <v>3000000.0</v>
      </c>
      <c r="D400" s="26">
        <v>2017.0</v>
      </c>
      <c r="E400" s="101">
        <v>42917.0</v>
      </c>
      <c r="F400" s="34" t="s">
        <v>1029</v>
      </c>
      <c r="G400" s="26" t="s">
        <v>64</v>
      </c>
      <c r="H400" s="26" t="s">
        <v>51</v>
      </c>
      <c r="I400" s="34" t="s">
        <v>29</v>
      </c>
      <c r="J400" s="26">
        <v>5.0</v>
      </c>
      <c r="K400" s="57"/>
      <c r="L400" s="53"/>
      <c r="M400" s="53" t="s">
        <v>1030</v>
      </c>
      <c r="N400" s="135" t="s">
        <v>1031</v>
      </c>
      <c r="O400" s="136"/>
      <c r="P400" s="32">
        <v>246.0</v>
      </c>
      <c r="Q400" s="32"/>
      <c r="R400" s="32"/>
      <c r="S400" s="32"/>
      <c r="T400" s="32"/>
      <c r="U400" s="32"/>
      <c r="V400" s="32"/>
      <c r="W400" s="32"/>
      <c r="X400" s="32"/>
      <c r="Y400" s="32"/>
      <c r="Z400" s="32"/>
    </row>
    <row r="401">
      <c r="A401" s="20" t="s">
        <v>502</v>
      </c>
      <c r="B401" s="51"/>
      <c r="C401" s="22">
        <v>5.0E8</v>
      </c>
      <c r="D401" s="26">
        <v>2021.0</v>
      </c>
      <c r="E401" s="91">
        <v>44440.0</v>
      </c>
      <c r="F401" s="26" t="s">
        <v>503</v>
      </c>
      <c r="G401" s="26" t="s">
        <v>129</v>
      </c>
      <c r="H401" s="26" t="s">
        <v>23</v>
      </c>
      <c r="I401" s="26"/>
      <c r="J401" s="26">
        <v>4.0</v>
      </c>
      <c r="K401" s="27" t="s">
        <v>360</v>
      </c>
      <c r="L401" s="28"/>
      <c r="M401" s="34" t="s">
        <v>30</v>
      </c>
      <c r="N401" s="92" t="s">
        <v>504</v>
      </c>
      <c r="O401" s="31"/>
      <c r="P401" s="32">
        <v>394.0</v>
      </c>
      <c r="Q401" s="32"/>
      <c r="R401" s="32"/>
      <c r="S401" s="32"/>
      <c r="T401" s="32"/>
      <c r="U401" s="32"/>
      <c r="V401" s="32"/>
      <c r="W401" s="32"/>
      <c r="X401" s="32"/>
      <c r="Y401" s="32"/>
      <c r="Z401" s="32"/>
    </row>
    <row r="402">
      <c r="A402" s="20" t="s">
        <v>1108</v>
      </c>
      <c r="B402" s="138"/>
      <c r="C402" s="22">
        <v>274477.0</v>
      </c>
      <c r="D402" s="26">
        <v>2016.0</v>
      </c>
      <c r="E402" s="101">
        <v>42461.0</v>
      </c>
      <c r="F402" s="26" t="s">
        <v>1109</v>
      </c>
      <c r="G402" s="26" t="s">
        <v>64</v>
      </c>
      <c r="H402" s="26" t="s">
        <v>23</v>
      </c>
      <c r="I402" s="28"/>
      <c r="J402" s="26">
        <v>1.0</v>
      </c>
      <c r="K402" s="57"/>
      <c r="L402" s="28"/>
      <c r="M402" s="53" t="s">
        <v>1110</v>
      </c>
      <c r="N402" s="106" t="s">
        <v>1111</v>
      </c>
      <c r="O402" s="113"/>
      <c r="P402" s="32">
        <v>227.0</v>
      </c>
      <c r="Q402" s="32"/>
      <c r="R402" s="32"/>
      <c r="S402" s="32"/>
      <c r="T402" s="32"/>
      <c r="U402" s="32"/>
      <c r="V402" s="32"/>
      <c r="W402" s="32"/>
      <c r="X402" s="32"/>
      <c r="Y402" s="32"/>
      <c r="Z402" s="32"/>
    </row>
    <row r="403">
      <c r="A403" s="20" t="s">
        <v>341</v>
      </c>
      <c r="B403" s="51"/>
      <c r="C403" s="22">
        <v>3.7E7</v>
      </c>
      <c r="D403" s="26">
        <v>2023.0</v>
      </c>
      <c r="E403" s="24">
        <v>44927.0</v>
      </c>
      <c r="F403" s="38" t="s">
        <v>342</v>
      </c>
      <c r="G403" s="26" t="s">
        <v>129</v>
      </c>
      <c r="H403" s="26" t="s">
        <v>23</v>
      </c>
      <c r="I403" s="28"/>
      <c r="J403" s="26">
        <v>2.0</v>
      </c>
      <c r="K403" s="27"/>
      <c r="L403" s="28"/>
      <c r="M403" s="34" t="s">
        <v>247</v>
      </c>
      <c r="N403" s="35" t="s">
        <v>343</v>
      </c>
      <c r="O403" s="31"/>
      <c r="P403" s="32">
        <v>439.0</v>
      </c>
      <c r="Q403" s="26"/>
      <c r="R403" s="32"/>
      <c r="S403" s="32"/>
      <c r="T403" s="32"/>
      <c r="U403" s="32"/>
      <c r="V403" s="32"/>
      <c r="W403" s="32"/>
      <c r="X403" s="32"/>
      <c r="Y403" s="32"/>
      <c r="Z403" s="32"/>
    </row>
    <row r="404">
      <c r="A404" s="20" t="s">
        <v>341</v>
      </c>
      <c r="B404" s="51"/>
      <c r="C404" s="22">
        <v>836.0</v>
      </c>
      <c r="D404" s="26">
        <v>2023.0</v>
      </c>
      <c r="E404" s="24">
        <v>44986.0</v>
      </c>
      <c r="F404" s="38" t="s">
        <v>344</v>
      </c>
      <c r="G404" s="26" t="s">
        <v>129</v>
      </c>
      <c r="H404" s="26" t="s">
        <v>23</v>
      </c>
      <c r="I404" s="28"/>
      <c r="J404" s="26">
        <v>2.0</v>
      </c>
      <c r="K404" s="27"/>
      <c r="L404" s="28"/>
      <c r="M404" s="34" t="s">
        <v>85</v>
      </c>
      <c r="N404" s="30" t="s">
        <v>345</v>
      </c>
      <c r="O404" s="31"/>
      <c r="P404" s="32">
        <v>438.0</v>
      </c>
      <c r="Q404" s="26"/>
      <c r="R404" s="32"/>
      <c r="S404" s="32"/>
      <c r="T404" s="32"/>
      <c r="U404" s="32"/>
      <c r="V404" s="32"/>
      <c r="W404" s="32"/>
      <c r="X404" s="32"/>
      <c r="Y404" s="32"/>
      <c r="Z404" s="32"/>
    </row>
    <row r="405">
      <c r="A405" s="20" t="s">
        <v>596</v>
      </c>
      <c r="B405" s="51"/>
      <c r="C405" s="22">
        <v>200000.0</v>
      </c>
      <c r="D405" s="26">
        <v>2020.0</v>
      </c>
      <c r="E405" s="101">
        <v>44166.0</v>
      </c>
      <c r="F405" s="26" t="s">
        <v>597</v>
      </c>
      <c r="G405" s="26" t="s">
        <v>129</v>
      </c>
      <c r="H405" s="26" t="s">
        <v>23</v>
      </c>
      <c r="I405" s="26"/>
      <c r="J405" s="26">
        <v>1.0</v>
      </c>
      <c r="K405" s="27"/>
      <c r="L405" s="28"/>
      <c r="M405" s="34" t="s">
        <v>85</v>
      </c>
      <c r="N405" s="100" t="s">
        <v>598</v>
      </c>
      <c r="O405" s="31"/>
      <c r="P405" s="32">
        <v>369.0</v>
      </c>
      <c r="Q405" s="32"/>
      <c r="R405" s="32"/>
      <c r="S405" s="32"/>
      <c r="T405" s="32"/>
      <c r="U405" s="32"/>
      <c r="V405" s="32"/>
      <c r="W405" s="32"/>
      <c r="X405" s="32"/>
      <c r="Y405" s="32"/>
      <c r="Z405" s="32"/>
    </row>
    <row r="406">
      <c r="A406" s="20" t="s">
        <v>341</v>
      </c>
      <c r="B406" s="26"/>
      <c r="C406" s="22">
        <v>2000000.0</v>
      </c>
      <c r="D406" s="26">
        <v>2018.0</v>
      </c>
      <c r="E406" s="101">
        <v>43313.0</v>
      </c>
      <c r="F406" s="26" t="s">
        <v>885</v>
      </c>
      <c r="G406" s="26" t="s">
        <v>129</v>
      </c>
      <c r="H406" s="26" t="s">
        <v>23</v>
      </c>
      <c r="I406" s="28"/>
      <c r="J406" s="26">
        <v>1.0</v>
      </c>
      <c r="K406" s="57"/>
      <c r="L406" s="110"/>
      <c r="M406" s="26" t="s">
        <v>886</v>
      </c>
      <c r="N406" s="106" t="s">
        <v>887</v>
      </c>
      <c r="O406" s="113"/>
      <c r="P406" s="32">
        <v>282.0</v>
      </c>
      <c r="Q406" s="32"/>
      <c r="R406" s="32"/>
      <c r="S406" s="32"/>
      <c r="T406" s="32"/>
      <c r="U406" s="32"/>
      <c r="V406" s="32"/>
      <c r="W406" s="32"/>
      <c r="X406" s="32"/>
      <c r="Y406" s="32"/>
      <c r="Z406" s="32"/>
    </row>
    <row r="407">
      <c r="A407" s="20" t="s">
        <v>520</v>
      </c>
      <c r="B407" s="51"/>
      <c r="C407" s="22">
        <v>7.6E7</v>
      </c>
      <c r="D407" s="26">
        <v>2021.0</v>
      </c>
      <c r="E407" s="91">
        <v>44409.0</v>
      </c>
      <c r="F407" s="95" t="s">
        <v>521</v>
      </c>
      <c r="G407" s="26" t="s">
        <v>129</v>
      </c>
      <c r="H407" s="26" t="s">
        <v>23</v>
      </c>
      <c r="I407" s="26"/>
      <c r="J407" s="26">
        <v>3.0</v>
      </c>
      <c r="K407" s="27"/>
      <c r="L407" s="28"/>
      <c r="M407" s="34" t="s">
        <v>522</v>
      </c>
      <c r="N407" s="92" t="s">
        <v>523</v>
      </c>
      <c r="O407" s="31"/>
      <c r="P407" s="32">
        <v>389.0</v>
      </c>
      <c r="Q407" s="32"/>
      <c r="R407" s="32"/>
      <c r="S407" s="32"/>
      <c r="T407" s="32"/>
      <c r="U407" s="32"/>
      <c r="V407" s="32"/>
      <c r="W407" s="32"/>
      <c r="X407" s="32"/>
      <c r="Y407" s="32"/>
      <c r="Z407" s="32"/>
    </row>
    <row r="408">
      <c r="A408" s="165" t="s">
        <v>1922</v>
      </c>
      <c r="B408" s="28"/>
      <c r="C408" s="22">
        <v>1.7E7</v>
      </c>
      <c r="D408" s="26">
        <v>2008.0</v>
      </c>
      <c r="E408" s="101">
        <v>39722.0</v>
      </c>
      <c r="F408" s="26" t="s">
        <v>1923</v>
      </c>
      <c r="G408" s="130" t="s">
        <v>129</v>
      </c>
      <c r="H408" s="26" t="s">
        <v>1034</v>
      </c>
      <c r="I408" s="28"/>
      <c r="J408" s="130">
        <v>1.0</v>
      </c>
      <c r="K408" s="57"/>
      <c r="L408" s="28"/>
      <c r="M408" s="34" t="s">
        <v>1643</v>
      </c>
      <c r="N408" s="106" t="s">
        <v>1924</v>
      </c>
      <c r="O408" s="109"/>
      <c r="P408" s="32">
        <v>23.0</v>
      </c>
      <c r="Q408" s="32"/>
      <c r="R408" s="32"/>
      <c r="S408" s="32"/>
      <c r="T408" s="32"/>
      <c r="U408" s="32"/>
      <c r="V408" s="32"/>
      <c r="W408" s="32"/>
      <c r="X408" s="32"/>
      <c r="Y408" s="32"/>
      <c r="Z408" s="32"/>
    </row>
    <row r="409">
      <c r="A409" s="20" t="s">
        <v>1291</v>
      </c>
      <c r="B409" s="34" t="s">
        <v>1292</v>
      </c>
      <c r="C409" s="22">
        <v>157000.0</v>
      </c>
      <c r="D409" s="26">
        <v>2015.0</v>
      </c>
      <c r="E409" s="101">
        <v>42309.0</v>
      </c>
      <c r="F409" s="26" t="s">
        <v>1293</v>
      </c>
      <c r="G409" s="26" t="s">
        <v>129</v>
      </c>
      <c r="H409" s="26" t="s">
        <v>23</v>
      </c>
      <c r="I409" s="28"/>
      <c r="J409" s="26">
        <v>2.0</v>
      </c>
      <c r="K409" s="57"/>
      <c r="L409" s="28"/>
      <c r="M409" s="53" t="s">
        <v>905</v>
      </c>
      <c r="N409" s="125" t="s">
        <v>1294</v>
      </c>
      <c r="O409" s="106" t="s">
        <v>1295</v>
      </c>
      <c r="P409" s="32">
        <v>182.0</v>
      </c>
      <c r="Q409" s="32"/>
      <c r="R409" s="32"/>
      <c r="S409" s="32"/>
      <c r="T409" s="32"/>
      <c r="U409" s="32"/>
      <c r="V409" s="32"/>
      <c r="W409" s="32"/>
      <c r="X409" s="32"/>
      <c r="Y409" s="32"/>
      <c r="Z409" s="32"/>
    </row>
    <row r="410">
      <c r="A410" s="165" t="s">
        <v>1526</v>
      </c>
      <c r="B410" s="28"/>
      <c r="C410" s="22">
        <v>7.0E7</v>
      </c>
      <c r="D410" s="26">
        <v>2013.0</v>
      </c>
      <c r="E410" s="101">
        <v>41609.0</v>
      </c>
      <c r="F410" s="26" t="s">
        <v>1527</v>
      </c>
      <c r="G410" s="130" t="s">
        <v>43</v>
      </c>
      <c r="H410" s="130" t="s">
        <v>23</v>
      </c>
      <c r="I410" s="130" t="s">
        <v>29</v>
      </c>
      <c r="J410" s="26">
        <v>3.0</v>
      </c>
      <c r="K410" s="57"/>
      <c r="L410" s="28"/>
      <c r="M410" s="34" t="s">
        <v>1528</v>
      </c>
      <c r="N410" s="106" t="s">
        <v>1529</v>
      </c>
      <c r="O410" s="117"/>
      <c r="P410" s="32">
        <v>122.0</v>
      </c>
      <c r="Q410" s="32"/>
      <c r="R410" s="32"/>
      <c r="S410" s="32"/>
      <c r="T410" s="32"/>
      <c r="U410" s="32"/>
      <c r="V410" s="32"/>
      <c r="W410" s="32"/>
      <c r="X410" s="32"/>
      <c r="Y410" s="32"/>
      <c r="Z410" s="32"/>
    </row>
    <row r="411">
      <c r="A411" s="165" t="s">
        <v>1964</v>
      </c>
      <c r="B411" s="130" t="s">
        <v>1965</v>
      </c>
      <c r="C411" s="22">
        <v>6300000.0</v>
      </c>
      <c r="D411" s="26">
        <v>2007.0</v>
      </c>
      <c r="E411" s="101">
        <v>39326.0</v>
      </c>
      <c r="F411" s="26" t="s">
        <v>1966</v>
      </c>
      <c r="G411" s="26" t="s">
        <v>58</v>
      </c>
      <c r="H411" s="130" t="s">
        <v>23</v>
      </c>
      <c r="I411" s="28"/>
      <c r="J411" s="130">
        <v>1.0</v>
      </c>
      <c r="K411" s="57"/>
      <c r="L411" s="28"/>
      <c r="M411" s="105" t="s">
        <v>1967</v>
      </c>
      <c r="N411" s="106" t="s">
        <v>1968</v>
      </c>
      <c r="O411" s="106" t="s">
        <v>1969</v>
      </c>
      <c r="P411" s="32">
        <v>11.0</v>
      </c>
      <c r="Q411" s="32"/>
      <c r="R411" s="32"/>
      <c r="S411" s="32"/>
      <c r="T411" s="32"/>
      <c r="U411" s="32"/>
      <c r="V411" s="32"/>
      <c r="W411" s="32"/>
      <c r="X411" s="32"/>
      <c r="Y411" s="32"/>
      <c r="Z411" s="32"/>
    </row>
    <row r="412">
      <c r="A412" s="226" t="s">
        <v>32</v>
      </c>
      <c r="B412" s="224"/>
      <c r="C412" s="214">
        <v>72000.0</v>
      </c>
      <c r="D412" s="215">
        <v>2025.0</v>
      </c>
      <c r="E412" s="216">
        <v>45858.0</v>
      </c>
      <c r="F412" s="233" t="s">
        <v>33</v>
      </c>
      <c r="G412" s="215" t="s">
        <v>28</v>
      </c>
      <c r="H412" s="215" t="s">
        <v>23</v>
      </c>
      <c r="I412" s="215" t="s">
        <v>29</v>
      </c>
      <c r="J412" s="215">
        <v>4.0</v>
      </c>
      <c r="K412" s="218"/>
      <c r="L412" s="219"/>
      <c r="M412" s="234" t="s">
        <v>34</v>
      </c>
      <c r="N412" s="243" t="s">
        <v>35</v>
      </c>
      <c r="O412" s="222"/>
      <c r="P412" s="223">
        <v>522.0</v>
      </c>
      <c r="Q412" s="215"/>
      <c r="R412" s="224"/>
      <c r="S412" s="224"/>
      <c r="T412" s="224"/>
      <c r="U412" s="224"/>
      <c r="V412" s="224"/>
      <c r="W412" s="224"/>
      <c r="X412" s="224"/>
      <c r="Y412" s="224"/>
      <c r="Z412" s="224"/>
    </row>
    <row r="413">
      <c r="A413" s="226" t="s">
        <v>80</v>
      </c>
      <c r="B413" s="224"/>
      <c r="C413" s="214">
        <v>54400.0</v>
      </c>
      <c r="D413" s="215">
        <v>2025.0</v>
      </c>
      <c r="E413" s="232">
        <v>45741.0</v>
      </c>
      <c r="F413" s="227" t="s">
        <v>81</v>
      </c>
      <c r="G413" s="215" t="s">
        <v>64</v>
      </c>
      <c r="H413" s="215" t="s">
        <v>23</v>
      </c>
      <c r="I413" s="215"/>
      <c r="J413" s="215">
        <v>1.0</v>
      </c>
      <c r="K413" s="218"/>
      <c r="L413" s="219"/>
      <c r="M413" s="244" t="s">
        <v>72</v>
      </c>
      <c r="N413" s="221" t="s">
        <v>82</v>
      </c>
      <c r="O413" s="222"/>
      <c r="P413" s="223">
        <v>510.0</v>
      </c>
      <c r="Q413" s="215"/>
      <c r="R413" s="224"/>
      <c r="S413" s="224"/>
      <c r="T413" s="224"/>
      <c r="U413" s="224"/>
      <c r="V413" s="224"/>
      <c r="W413" s="224"/>
      <c r="X413" s="224"/>
      <c r="Y413" s="224"/>
      <c r="Z413" s="224"/>
    </row>
    <row r="414">
      <c r="A414" s="144" t="s">
        <v>1182</v>
      </c>
      <c r="B414" s="138" t="s">
        <v>1183</v>
      </c>
      <c r="C414" s="119">
        <v>1.5E7</v>
      </c>
      <c r="D414" s="26">
        <v>2016.0</v>
      </c>
      <c r="E414" s="101">
        <v>42583.0</v>
      </c>
      <c r="F414" s="50" t="s">
        <v>1184</v>
      </c>
      <c r="G414" s="26" t="s">
        <v>28</v>
      </c>
      <c r="H414" s="28" t="s">
        <v>23</v>
      </c>
      <c r="I414" s="53"/>
      <c r="J414" s="28">
        <v>1.0</v>
      </c>
      <c r="K414" s="57"/>
      <c r="L414" s="53"/>
      <c r="M414" s="53" t="s">
        <v>1185</v>
      </c>
      <c r="N414" s="153" t="s">
        <v>1186</v>
      </c>
      <c r="O414" s="117"/>
      <c r="P414" s="32">
        <v>208.0</v>
      </c>
      <c r="Q414" s="32"/>
      <c r="R414" s="32"/>
      <c r="S414" s="32"/>
      <c r="T414" s="32"/>
      <c r="U414" s="32"/>
      <c r="V414" s="32"/>
      <c r="W414" s="32"/>
      <c r="X414" s="32"/>
      <c r="Y414" s="32"/>
      <c r="Z414" s="32"/>
    </row>
    <row r="415">
      <c r="A415" s="165" t="s">
        <v>1492</v>
      </c>
      <c r="B415" s="28"/>
      <c r="C415" s="22">
        <v>170000.0</v>
      </c>
      <c r="D415" s="26">
        <v>2013.0</v>
      </c>
      <c r="E415" s="101">
        <v>41395.0</v>
      </c>
      <c r="F415" s="26" t="s">
        <v>1493</v>
      </c>
      <c r="G415" s="130" t="s">
        <v>129</v>
      </c>
      <c r="H415" s="105" t="s">
        <v>142</v>
      </c>
      <c r="I415" s="130" t="s">
        <v>29</v>
      </c>
      <c r="J415" s="26">
        <v>2.0</v>
      </c>
      <c r="K415" s="57"/>
      <c r="L415" s="28"/>
      <c r="M415" s="105" t="s">
        <v>1494</v>
      </c>
      <c r="N415" s="106" t="s">
        <v>1495</v>
      </c>
      <c r="O415" s="166" t="s">
        <v>1496</v>
      </c>
      <c r="P415" s="32">
        <v>130.0</v>
      </c>
      <c r="Q415" s="32"/>
      <c r="R415" s="32"/>
      <c r="S415" s="32"/>
      <c r="T415" s="32"/>
      <c r="U415" s="32"/>
      <c r="V415" s="32"/>
      <c r="W415" s="32"/>
      <c r="X415" s="32"/>
      <c r="Y415" s="32"/>
      <c r="Z415" s="32"/>
    </row>
    <row r="416">
      <c r="A416" s="20" t="s">
        <v>671</v>
      </c>
      <c r="B416" s="51"/>
      <c r="C416" s="22">
        <v>600000.0</v>
      </c>
      <c r="D416" s="26">
        <v>2020.0</v>
      </c>
      <c r="E416" s="101">
        <v>43891.0</v>
      </c>
      <c r="F416" s="26" t="s">
        <v>672</v>
      </c>
      <c r="G416" s="26" t="s">
        <v>43</v>
      </c>
      <c r="H416" s="26" t="s">
        <v>23</v>
      </c>
      <c r="I416" s="28"/>
      <c r="J416" s="26">
        <v>1.0</v>
      </c>
      <c r="K416" s="27" t="s">
        <v>673</v>
      </c>
      <c r="L416" s="28"/>
      <c r="M416" s="34" t="s">
        <v>475</v>
      </c>
      <c r="N416" s="100" t="s">
        <v>674</v>
      </c>
      <c r="O416" s="31"/>
      <c r="P416" s="32">
        <v>350.0</v>
      </c>
      <c r="Q416" s="32"/>
      <c r="R416" s="32"/>
      <c r="S416" s="32"/>
      <c r="T416" s="32"/>
      <c r="U416" s="32"/>
      <c r="V416" s="32"/>
      <c r="W416" s="32"/>
      <c r="X416" s="32"/>
      <c r="Y416" s="32"/>
      <c r="Z416" s="32"/>
    </row>
    <row r="417">
      <c r="A417" s="165" t="s">
        <v>1911</v>
      </c>
      <c r="B417" s="28"/>
      <c r="C417" s="22">
        <v>89000.0</v>
      </c>
      <c r="D417" s="26">
        <v>2008.0</v>
      </c>
      <c r="E417" s="101">
        <v>39753.0</v>
      </c>
      <c r="F417" s="26" t="s">
        <v>1912</v>
      </c>
      <c r="G417" s="130" t="s">
        <v>64</v>
      </c>
      <c r="H417" s="130" t="s">
        <v>59</v>
      </c>
      <c r="I417" s="28"/>
      <c r="J417" s="26">
        <v>2.0</v>
      </c>
      <c r="K417" s="57"/>
      <c r="L417" s="28"/>
      <c r="M417" s="105" t="s">
        <v>1913</v>
      </c>
      <c r="N417" s="106" t="s">
        <v>1914</v>
      </c>
      <c r="O417" s="113"/>
      <c r="P417" s="32">
        <v>26.0</v>
      </c>
      <c r="Q417" s="32"/>
      <c r="R417" s="32"/>
      <c r="S417" s="32"/>
      <c r="T417" s="32"/>
      <c r="U417" s="32"/>
      <c r="V417" s="32"/>
      <c r="W417" s="32"/>
      <c r="X417" s="32"/>
      <c r="Y417" s="32"/>
      <c r="Z417" s="32"/>
    </row>
    <row r="418">
      <c r="A418" s="20" t="s">
        <v>878</v>
      </c>
      <c r="B418" s="26"/>
      <c r="C418" s="22">
        <v>1.48E7</v>
      </c>
      <c r="D418" s="26">
        <v>2018.0</v>
      </c>
      <c r="E418" s="101">
        <v>43313.0</v>
      </c>
      <c r="F418" s="26" t="s">
        <v>879</v>
      </c>
      <c r="G418" s="26" t="s">
        <v>28</v>
      </c>
      <c r="H418" s="26" t="s">
        <v>51</v>
      </c>
      <c r="I418" s="28"/>
      <c r="J418" s="26">
        <v>2.0</v>
      </c>
      <c r="K418" s="57"/>
      <c r="L418" s="110"/>
      <c r="M418" s="26" t="s">
        <v>880</v>
      </c>
      <c r="N418" s="106" t="s">
        <v>881</v>
      </c>
      <c r="O418" s="113"/>
      <c r="P418" s="32">
        <v>284.0</v>
      </c>
      <c r="Q418" s="32"/>
      <c r="R418" s="32"/>
      <c r="S418" s="32"/>
      <c r="T418" s="32"/>
      <c r="U418" s="32"/>
      <c r="V418" s="32"/>
      <c r="W418" s="32"/>
      <c r="X418" s="32"/>
      <c r="Y418" s="32"/>
      <c r="Z418" s="32"/>
    </row>
    <row r="419">
      <c r="A419" s="20" t="s">
        <v>515</v>
      </c>
      <c r="B419" s="51"/>
      <c r="C419" s="22">
        <v>1.0E8</v>
      </c>
      <c r="D419" s="26">
        <v>2021.0</v>
      </c>
      <c r="E419" s="91">
        <v>44440.0</v>
      </c>
      <c r="F419" s="94" t="s">
        <v>516</v>
      </c>
      <c r="G419" s="26" t="s">
        <v>64</v>
      </c>
      <c r="H419" s="26" t="s">
        <v>380</v>
      </c>
      <c r="I419" s="26"/>
      <c r="J419" s="26">
        <v>2.0</v>
      </c>
      <c r="K419" s="27" t="s">
        <v>517</v>
      </c>
      <c r="L419" s="28"/>
      <c r="M419" s="34" t="s">
        <v>518</v>
      </c>
      <c r="N419" s="92" t="s">
        <v>519</v>
      </c>
      <c r="O419" s="31"/>
      <c r="P419" s="32">
        <v>390.0</v>
      </c>
      <c r="Q419" s="32"/>
      <c r="R419" s="32"/>
      <c r="S419" s="32"/>
      <c r="T419" s="32"/>
      <c r="U419" s="32"/>
      <c r="V419" s="32"/>
      <c r="W419" s="32"/>
      <c r="X419" s="32"/>
      <c r="Y419" s="32"/>
      <c r="Z419" s="32"/>
    </row>
    <row r="420">
      <c r="A420" s="20" t="s">
        <v>599</v>
      </c>
      <c r="B420" s="51"/>
      <c r="C420" s="22">
        <v>1000000.0</v>
      </c>
      <c r="D420" s="26">
        <v>2020.0</v>
      </c>
      <c r="E420" s="101">
        <v>44166.0</v>
      </c>
      <c r="F420" s="26" t="s">
        <v>600</v>
      </c>
      <c r="G420" s="26" t="s">
        <v>258</v>
      </c>
      <c r="H420" s="26" t="s">
        <v>23</v>
      </c>
      <c r="I420" s="26" t="s">
        <v>29</v>
      </c>
      <c r="J420" s="26">
        <v>4.0</v>
      </c>
      <c r="K420" s="27"/>
      <c r="L420" s="28"/>
      <c r="M420" s="34" t="s">
        <v>147</v>
      </c>
      <c r="N420" s="100" t="s">
        <v>601</v>
      </c>
      <c r="O420" s="31"/>
      <c r="P420" s="32">
        <v>368.0</v>
      </c>
      <c r="Q420" s="32"/>
      <c r="R420" s="32"/>
      <c r="S420" s="32"/>
      <c r="T420" s="32"/>
      <c r="U420" s="32"/>
      <c r="V420" s="32"/>
      <c r="W420" s="32"/>
      <c r="X420" s="32"/>
      <c r="Y420" s="32"/>
      <c r="Z420" s="32"/>
    </row>
    <row r="421">
      <c r="A421" s="226" t="s">
        <v>45</v>
      </c>
      <c r="B421" s="224"/>
      <c r="C421" s="214">
        <v>100000.0</v>
      </c>
      <c r="D421" s="215">
        <v>2025.0</v>
      </c>
      <c r="E421" s="216">
        <v>45770.0</v>
      </c>
      <c r="F421" s="217" t="s">
        <v>46</v>
      </c>
      <c r="G421" s="215" t="s">
        <v>43</v>
      </c>
      <c r="H421" s="215" t="s">
        <v>23</v>
      </c>
      <c r="I421" s="215"/>
      <c r="J421" s="215">
        <v>2.0</v>
      </c>
      <c r="K421" s="218"/>
      <c r="L421" s="219"/>
      <c r="M421" s="220" t="s">
        <v>39</v>
      </c>
      <c r="N421" s="229" t="s">
        <v>47</v>
      </c>
      <c r="O421" s="222"/>
      <c r="P421" s="223">
        <v>519.0</v>
      </c>
      <c r="Q421" s="215"/>
      <c r="R421" s="224"/>
      <c r="S421" s="224"/>
      <c r="T421" s="224"/>
      <c r="U421" s="224"/>
      <c r="V421" s="224"/>
      <c r="W421" s="224"/>
      <c r="X421" s="224"/>
      <c r="Y421" s="224"/>
      <c r="Z421" s="224"/>
    </row>
    <row r="422">
      <c r="A422" s="20" t="s">
        <v>203</v>
      </c>
      <c r="B422" s="21"/>
      <c r="C422" s="22">
        <v>2.6E7</v>
      </c>
      <c r="D422" s="26">
        <v>2024.0</v>
      </c>
      <c r="E422" s="24">
        <v>45414.0</v>
      </c>
      <c r="F422" s="38" t="s">
        <v>204</v>
      </c>
      <c r="G422" s="26" t="s">
        <v>38</v>
      </c>
      <c r="H422" s="26" t="s">
        <v>23</v>
      </c>
      <c r="I422" s="26"/>
      <c r="J422" s="26">
        <v>2.0</v>
      </c>
      <c r="K422" s="27"/>
      <c r="L422" s="28"/>
      <c r="M422" s="34" t="s">
        <v>85</v>
      </c>
      <c r="N422" s="30" t="s">
        <v>205</v>
      </c>
      <c r="O422" s="30" t="s">
        <v>206</v>
      </c>
      <c r="P422" s="32">
        <v>475.0</v>
      </c>
      <c r="Q422" s="26"/>
      <c r="R422" s="21"/>
      <c r="S422" s="21"/>
      <c r="T422" s="21"/>
      <c r="U422" s="21"/>
      <c r="V422" s="21"/>
      <c r="W422" s="21"/>
      <c r="X422" s="21"/>
      <c r="Y422" s="21"/>
      <c r="Z422" s="21"/>
    </row>
    <row r="423">
      <c r="A423" s="226" t="s">
        <v>137</v>
      </c>
      <c r="B423" s="224"/>
      <c r="C423" s="214">
        <v>3100000.0</v>
      </c>
      <c r="D423" s="215">
        <v>2025.0</v>
      </c>
      <c r="E423" s="216">
        <v>45682.0</v>
      </c>
      <c r="F423" s="227" t="s">
        <v>138</v>
      </c>
      <c r="G423" s="215" t="s">
        <v>28</v>
      </c>
      <c r="H423" s="215" t="s">
        <v>23</v>
      </c>
      <c r="I423" s="215"/>
      <c r="J423" s="215">
        <v>2.0</v>
      </c>
      <c r="K423" s="218"/>
      <c r="L423" s="219"/>
      <c r="M423" s="220" t="s">
        <v>72</v>
      </c>
      <c r="N423" s="221" t="s">
        <v>139</v>
      </c>
      <c r="O423" s="222"/>
      <c r="P423" s="223">
        <v>493.0</v>
      </c>
      <c r="Q423" s="215"/>
      <c r="R423" s="224"/>
      <c r="S423" s="224"/>
      <c r="T423" s="224"/>
      <c r="U423" s="224"/>
      <c r="V423" s="224"/>
      <c r="W423" s="224"/>
      <c r="X423" s="224"/>
      <c r="Y423" s="224"/>
      <c r="Z423" s="224"/>
    </row>
    <row r="424">
      <c r="A424" s="137" t="s">
        <v>1175</v>
      </c>
      <c r="B424" s="139" t="s">
        <v>1176</v>
      </c>
      <c r="C424" s="22">
        <v>130000.0</v>
      </c>
      <c r="D424" s="26">
        <v>2016.0</v>
      </c>
      <c r="E424" s="101">
        <v>42675.0</v>
      </c>
      <c r="F424" s="26" t="s">
        <v>1177</v>
      </c>
      <c r="G424" s="139" t="s">
        <v>129</v>
      </c>
      <c r="H424" s="26" t="s">
        <v>23</v>
      </c>
      <c r="I424" s="53"/>
      <c r="J424" s="26">
        <v>2.0</v>
      </c>
      <c r="K424" s="57"/>
      <c r="L424" s="53"/>
      <c r="M424" s="53" t="s">
        <v>1175</v>
      </c>
      <c r="N424" s="152" t="s">
        <v>1178</v>
      </c>
      <c r="O424" s="117"/>
      <c r="P424" s="32">
        <v>210.0</v>
      </c>
      <c r="Q424" s="32"/>
      <c r="R424" s="32"/>
      <c r="S424" s="32"/>
      <c r="T424" s="32"/>
      <c r="U424" s="32"/>
      <c r="V424" s="32"/>
      <c r="W424" s="32"/>
      <c r="X424" s="32"/>
      <c r="Y424" s="32"/>
      <c r="Z424" s="32"/>
    </row>
    <row r="425">
      <c r="A425" s="165" t="s">
        <v>1542</v>
      </c>
      <c r="B425" s="130" t="s">
        <v>1543</v>
      </c>
      <c r="C425" s="22">
        <v>3000000.0</v>
      </c>
      <c r="D425" s="26">
        <v>2012.0</v>
      </c>
      <c r="E425" s="101">
        <v>41000.0</v>
      </c>
      <c r="F425" s="26" t="s">
        <v>1544</v>
      </c>
      <c r="G425" s="26" t="s">
        <v>58</v>
      </c>
      <c r="H425" s="130" t="s">
        <v>23</v>
      </c>
      <c r="I425" s="130" t="s">
        <v>29</v>
      </c>
      <c r="J425" s="26">
        <v>5.0</v>
      </c>
      <c r="K425" s="57"/>
      <c r="L425" s="28"/>
      <c r="M425" s="53" t="s">
        <v>608</v>
      </c>
      <c r="N425" s="106" t="s">
        <v>1545</v>
      </c>
      <c r="O425" s="113"/>
      <c r="P425" s="32">
        <v>118.0</v>
      </c>
      <c r="Q425" s="32"/>
      <c r="R425" s="32"/>
      <c r="S425" s="32"/>
      <c r="T425" s="32"/>
      <c r="U425" s="32"/>
      <c r="V425" s="32"/>
      <c r="W425" s="32"/>
      <c r="X425" s="32"/>
      <c r="Y425" s="32"/>
      <c r="Z425" s="32"/>
    </row>
    <row r="426">
      <c r="A426" s="20" t="s">
        <v>349</v>
      </c>
      <c r="B426" s="47" t="s">
        <v>350</v>
      </c>
      <c r="C426" s="22">
        <v>2300000.0</v>
      </c>
      <c r="D426" s="26">
        <v>2023.0</v>
      </c>
      <c r="E426" s="24">
        <v>45047.0</v>
      </c>
      <c r="F426" s="38" t="s">
        <v>351</v>
      </c>
      <c r="G426" s="26" t="s">
        <v>58</v>
      </c>
      <c r="H426" s="26" t="s">
        <v>352</v>
      </c>
      <c r="I426" s="28"/>
      <c r="J426" s="26">
        <v>2.0</v>
      </c>
      <c r="K426" s="27"/>
      <c r="L426" s="28"/>
      <c r="M426" s="58" t="s">
        <v>353</v>
      </c>
      <c r="N426" s="35" t="s">
        <v>354</v>
      </c>
      <c r="O426" s="59" t="s">
        <v>355</v>
      </c>
      <c r="P426" s="32">
        <v>436.0</v>
      </c>
      <c r="Q426" s="26"/>
      <c r="R426" s="32"/>
      <c r="S426" s="32"/>
      <c r="T426" s="32"/>
      <c r="U426" s="32"/>
      <c r="V426" s="32"/>
      <c r="W426" s="32"/>
      <c r="X426" s="32"/>
      <c r="Y426" s="32"/>
      <c r="Z426" s="32"/>
    </row>
    <row r="427">
      <c r="A427" s="165" t="s">
        <v>1403</v>
      </c>
      <c r="B427" s="130" t="s">
        <v>1404</v>
      </c>
      <c r="C427" s="22">
        <v>4.0E7</v>
      </c>
      <c r="D427" s="26">
        <v>2013.0</v>
      </c>
      <c r="E427" s="101">
        <v>41456.0</v>
      </c>
      <c r="F427" s="111" t="s">
        <v>1405</v>
      </c>
      <c r="G427" s="130" t="s">
        <v>28</v>
      </c>
      <c r="H427" s="130" t="s">
        <v>23</v>
      </c>
      <c r="I427" s="28"/>
      <c r="J427" s="130">
        <v>1.0</v>
      </c>
      <c r="K427" s="57"/>
      <c r="L427" s="28"/>
      <c r="M427" s="105" t="s">
        <v>1406</v>
      </c>
      <c r="N427" s="166" t="s">
        <v>1407</v>
      </c>
      <c r="O427" s="106" t="s">
        <v>1408</v>
      </c>
      <c r="P427" s="32">
        <v>153.0</v>
      </c>
      <c r="Q427" s="32"/>
      <c r="R427" s="32"/>
      <c r="S427" s="32"/>
      <c r="T427" s="32"/>
      <c r="U427" s="32"/>
      <c r="V427" s="32"/>
      <c r="W427" s="32"/>
      <c r="X427" s="32"/>
      <c r="Y427" s="32"/>
      <c r="Z427" s="32"/>
    </row>
    <row r="428">
      <c r="A428" s="20" t="s">
        <v>942</v>
      </c>
      <c r="B428" s="26"/>
      <c r="C428" s="22">
        <v>2.7E7</v>
      </c>
      <c r="D428" s="26">
        <v>2018.0</v>
      </c>
      <c r="E428" s="101">
        <v>43221.0</v>
      </c>
      <c r="F428" s="26" t="s">
        <v>943</v>
      </c>
      <c r="G428" s="26" t="s">
        <v>28</v>
      </c>
      <c r="H428" s="26" t="s">
        <v>23</v>
      </c>
      <c r="I428" s="28"/>
      <c r="J428" s="26">
        <v>2.0</v>
      </c>
      <c r="K428" s="57"/>
      <c r="L428" s="110"/>
      <c r="M428" s="26" t="s">
        <v>314</v>
      </c>
      <c r="N428" s="106" t="s">
        <v>944</v>
      </c>
      <c r="O428" s="113"/>
      <c r="P428" s="32">
        <v>269.0</v>
      </c>
      <c r="Q428" s="32"/>
      <c r="R428" s="32"/>
      <c r="S428" s="32"/>
      <c r="T428" s="32"/>
      <c r="U428" s="32"/>
      <c r="V428" s="32"/>
      <c r="W428" s="32"/>
      <c r="X428" s="32"/>
      <c r="Y428" s="32"/>
      <c r="Z428" s="32"/>
    </row>
    <row r="429">
      <c r="A429" s="20" t="s">
        <v>144</v>
      </c>
      <c r="B429" s="21"/>
      <c r="C429" s="22">
        <v>5.6E8</v>
      </c>
      <c r="D429" s="26">
        <v>2024.0</v>
      </c>
      <c r="E429" s="24">
        <v>45445.0</v>
      </c>
      <c r="F429" s="38" t="s">
        <v>145</v>
      </c>
      <c r="G429" s="26" t="s">
        <v>38</v>
      </c>
      <c r="H429" s="26" t="s">
        <v>23</v>
      </c>
      <c r="I429" s="26" t="s">
        <v>29</v>
      </c>
      <c r="J429" s="26">
        <v>3.0</v>
      </c>
      <c r="K429" s="27" t="s">
        <v>146</v>
      </c>
      <c r="L429" s="28"/>
      <c r="M429" s="34" t="s">
        <v>147</v>
      </c>
      <c r="N429" s="35" t="s">
        <v>148</v>
      </c>
      <c r="O429" s="31"/>
      <c r="P429" s="32">
        <v>491.0</v>
      </c>
      <c r="Q429" s="26"/>
      <c r="R429" s="21"/>
      <c r="S429" s="21"/>
      <c r="T429" s="21"/>
      <c r="U429" s="21"/>
      <c r="V429" s="21"/>
      <c r="W429" s="21"/>
      <c r="X429" s="21"/>
      <c r="Y429" s="21"/>
      <c r="Z429" s="21"/>
    </row>
    <row r="430">
      <c r="A430" s="20" t="s">
        <v>144</v>
      </c>
      <c r="B430" s="26"/>
      <c r="C430" s="22">
        <v>40000.0</v>
      </c>
      <c r="D430" s="26">
        <v>2018.0</v>
      </c>
      <c r="E430" s="101">
        <v>43252.0</v>
      </c>
      <c r="F430" s="26" t="s">
        <v>904</v>
      </c>
      <c r="G430" s="26" t="s">
        <v>28</v>
      </c>
      <c r="H430" s="26" t="s">
        <v>23</v>
      </c>
      <c r="I430" s="28"/>
      <c r="J430" s="26">
        <v>3.0</v>
      </c>
      <c r="K430" s="57"/>
      <c r="L430" s="110"/>
      <c r="M430" s="53" t="s">
        <v>905</v>
      </c>
      <c r="N430" s="125" t="s">
        <v>906</v>
      </c>
      <c r="O430" s="117"/>
      <c r="P430" s="32">
        <v>278.0</v>
      </c>
      <c r="Q430" s="32"/>
      <c r="R430" s="32"/>
      <c r="S430" s="32"/>
      <c r="T430" s="32"/>
      <c r="U430" s="32"/>
      <c r="V430" s="32"/>
      <c r="W430" s="32"/>
      <c r="X430" s="32"/>
      <c r="Y430" s="32"/>
      <c r="Z430" s="32"/>
    </row>
    <row r="431">
      <c r="A431" s="118" t="s">
        <v>1056</v>
      </c>
      <c r="B431" s="127" t="s">
        <v>1057</v>
      </c>
      <c r="C431" s="133">
        <v>1600000.0</v>
      </c>
      <c r="D431" s="150">
        <v>2017.0</v>
      </c>
      <c r="E431" s="134">
        <v>43070.0</v>
      </c>
      <c r="F431" s="105" t="s">
        <v>1058</v>
      </c>
      <c r="G431" s="26" t="s">
        <v>58</v>
      </c>
      <c r="H431" s="127" t="s">
        <v>23</v>
      </c>
      <c r="I431" s="127"/>
      <c r="J431" s="150">
        <v>4.0</v>
      </c>
      <c r="K431" s="57"/>
      <c r="L431" s="120"/>
      <c r="M431" s="105" t="s">
        <v>85</v>
      </c>
      <c r="N431" s="122" t="s">
        <v>1059</v>
      </c>
      <c r="O431" s="140"/>
      <c r="P431" s="32">
        <v>239.0</v>
      </c>
      <c r="Q431" s="32"/>
      <c r="R431" s="32"/>
      <c r="S431" s="32"/>
      <c r="T431" s="32"/>
      <c r="U431" s="32"/>
      <c r="V431" s="32"/>
      <c r="W431" s="32"/>
      <c r="X431" s="32"/>
      <c r="Y431" s="32"/>
      <c r="Z431" s="32"/>
    </row>
    <row r="432">
      <c r="A432" s="165" t="s">
        <v>1953</v>
      </c>
      <c r="B432" s="130" t="s">
        <v>1954</v>
      </c>
      <c r="C432" s="22">
        <v>9.4E7</v>
      </c>
      <c r="D432" s="26">
        <v>2007.0</v>
      </c>
      <c r="E432" s="101">
        <v>39142.0</v>
      </c>
      <c r="F432" s="26" t="s">
        <v>1955</v>
      </c>
      <c r="G432" s="130" t="s">
        <v>43</v>
      </c>
      <c r="H432" s="130" t="s">
        <v>23</v>
      </c>
      <c r="I432" s="28"/>
      <c r="J432" s="26">
        <v>3.0</v>
      </c>
      <c r="K432" s="27" t="s">
        <v>1956</v>
      </c>
      <c r="L432" s="28"/>
      <c r="M432" s="120" t="s">
        <v>608</v>
      </c>
      <c r="N432" s="106" t="s">
        <v>1957</v>
      </c>
      <c r="O432" s="109"/>
      <c r="P432" s="32">
        <v>14.0</v>
      </c>
      <c r="Q432" s="32"/>
      <c r="R432" s="32"/>
      <c r="S432" s="32"/>
      <c r="T432" s="32"/>
      <c r="U432" s="32"/>
      <c r="V432" s="32"/>
      <c r="W432" s="32"/>
      <c r="X432" s="32"/>
      <c r="Y432" s="32"/>
      <c r="Z432" s="32"/>
    </row>
    <row r="433">
      <c r="A433" s="20" t="s">
        <v>309</v>
      </c>
      <c r="B433" s="51"/>
      <c r="C433" s="22">
        <v>1114954.0</v>
      </c>
      <c r="D433" s="26">
        <v>2023.0</v>
      </c>
      <c r="E433" s="24">
        <v>45139.0</v>
      </c>
      <c r="F433" s="26" t="s">
        <v>310</v>
      </c>
      <c r="G433" s="26" t="s">
        <v>43</v>
      </c>
      <c r="H433" s="26" t="s">
        <v>23</v>
      </c>
      <c r="I433" s="28"/>
      <c r="J433" s="26">
        <v>2.0</v>
      </c>
      <c r="K433" s="27"/>
      <c r="L433" s="28"/>
      <c r="M433" s="34" t="s">
        <v>85</v>
      </c>
      <c r="N433" s="35" t="s">
        <v>311</v>
      </c>
      <c r="O433" s="31"/>
      <c r="P433" s="32">
        <v>446.0</v>
      </c>
      <c r="Q433" s="26"/>
      <c r="R433" s="21"/>
      <c r="S433" s="21"/>
      <c r="T433" s="21"/>
      <c r="U433" s="21"/>
      <c r="V433" s="21"/>
      <c r="W433" s="21"/>
      <c r="X433" s="21"/>
      <c r="Y433" s="21"/>
      <c r="Z433" s="21"/>
    </row>
    <row r="434">
      <c r="A434" s="20" t="s">
        <v>378</v>
      </c>
      <c r="B434" s="51"/>
      <c r="C434" s="22">
        <v>296019.0</v>
      </c>
      <c r="D434" s="26">
        <v>2022.0</v>
      </c>
      <c r="E434" s="24">
        <v>44835.0</v>
      </c>
      <c r="F434" s="26" t="s">
        <v>379</v>
      </c>
      <c r="G434" s="26" t="s">
        <v>22</v>
      </c>
      <c r="H434" s="26" t="s">
        <v>380</v>
      </c>
      <c r="I434" s="28"/>
      <c r="J434" s="26">
        <v>2.0</v>
      </c>
      <c r="K434" s="27"/>
      <c r="L434" s="28"/>
      <c r="M434" s="34" t="s">
        <v>152</v>
      </c>
      <c r="N434" s="35" t="s">
        <v>381</v>
      </c>
      <c r="O434" s="31"/>
      <c r="P434" s="32">
        <v>429.0</v>
      </c>
      <c r="Q434" s="26"/>
      <c r="R434" s="32"/>
      <c r="S434" s="32"/>
      <c r="T434" s="32"/>
      <c r="U434" s="32"/>
      <c r="V434" s="32"/>
      <c r="W434" s="32"/>
      <c r="X434" s="32"/>
      <c r="Y434" s="32"/>
      <c r="Z434" s="32"/>
    </row>
    <row r="435">
      <c r="A435" s="103" t="s">
        <v>378</v>
      </c>
      <c r="B435" s="104"/>
      <c r="C435" s="22">
        <v>3100000.0</v>
      </c>
      <c r="D435" s="26">
        <v>2019.0</v>
      </c>
      <c r="E435" s="101">
        <v>43556.0</v>
      </c>
      <c r="F435" s="26" t="s">
        <v>731</v>
      </c>
      <c r="G435" s="26" t="s">
        <v>22</v>
      </c>
      <c r="H435" s="26" t="s">
        <v>23</v>
      </c>
      <c r="I435" s="26"/>
      <c r="J435" s="26">
        <v>2.0</v>
      </c>
      <c r="K435" s="27" t="str">
        <f>IF(C435&gt;100000000,C435,"")</f>
        <v/>
      </c>
      <c r="L435" s="28"/>
      <c r="M435" s="105" t="s">
        <v>85</v>
      </c>
      <c r="N435" s="106" t="s">
        <v>732</v>
      </c>
      <c r="O435" s="106" t="s">
        <v>733</v>
      </c>
      <c r="P435" s="32">
        <v>335.0</v>
      </c>
      <c r="Q435" s="32"/>
      <c r="R435" s="32"/>
      <c r="S435" s="32"/>
      <c r="T435" s="32"/>
      <c r="U435" s="32"/>
      <c r="V435" s="32"/>
      <c r="W435" s="32"/>
      <c r="X435" s="32"/>
      <c r="Y435" s="32"/>
      <c r="Z435" s="32"/>
    </row>
    <row r="436">
      <c r="A436" s="62" t="s">
        <v>466</v>
      </c>
      <c r="B436" s="79"/>
      <c r="C436" s="64">
        <v>471376.0</v>
      </c>
      <c r="D436" s="68">
        <v>2021.0</v>
      </c>
      <c r="E436" s="66">
        <v>44501.0</v>
      </c>
      <c r="F436" s="68" t="s">
        <v>467</v>
      </c>
      <c r="G436" s="68" t="s">
        <v>38</v>
      </c>
      <c r="H436" s="68" t="s">
        <v>23</v>
      </c>
      <c r="I436" s="68"/>
      <c r="J436" s="68">
        <v>2.0</v>
      </c>
      <c r="K436" s="69" t="s">
        <v>468</v>
      </c>
      <c r="L436" s="70"/>
      <c r="M436" s="71" t="s">
        <v>469</v>
      </c>
      <c r="N436" s="77" t="s">
        <v>470</v>
      </c>
      <c r="O436" s="73"/>
      <c r="P436" s="74">
        <v>405.0</v>
      </c>
      <c r="Q436" s="74"/>
      <c r="R436" s="74"/>
      <c r="S436" s="74"/>
      <c r="T436" s="74"/>
      <c r="U436" s="74"/>
      <c r="V436" s="74"/>
      <c r="W436" s="74"/>
      <c r="X436" s="74"/>
      <c r="Y436" s="74"/>
      <c r="Z436" s="74"/>
    </row>
    <row r="437">
      <c r="A437" s="165" t="s">
        <v>1763</v>
      </c>
      <c r="B437" s="130" t="s">
        <v>1764</v>
      </c>
      <c r="C437" s="22">
        <v>4901432.0</v>
      </c>
      <c r="D437" s="26">
        <v>2011.0</v>
      </c>
      <c r="E437" s="101">
        <v>40787.0</v>
      </c>
      <c r="F437" s="26" t="s">
        <v>1765</v>
      </c>
      <c r="G437" s="26" t="s">
        <v>1766</v>
      </c>
      <c r="H437" s="26" t="s">
        <v>1034</v>
      </c>
      <c r="I437" s="28"/>
      <c r="J437" s="26">
        <v>4.0</v>
      </c>
      <c r="K437" s="57"/>
      <c r="L437" s="28"/>
      <c r="M437" s="34" t="s">
        <v>286</v>
      </c>
      <c r="N437" s="106" t="s">
        <v>1767</v>
      </c>
      <c r="O437" s="113"/>
      <c r="P437" s="32">
        <v>62.0</v>
      </c>
      <c r="Q437" s="32"/>
      <c r="R437" s="32"/>
      <c r="S437" s="32"/>
      <c r="T437" s="32"/>
      <c r="U437" s="32"/>
      <c r="V437" s="32"/>
      <c r="W437" s="32"/>
      <c r="X437" s="32"/>
      <c r="Y437" s="32"/>
      <c r="Z437" s="32"/>
    </row>
    <row r="438">
      <c r="A438" s="114" t="s">
        <v>1786</v>
      </c>
      <c r="B438" s="130" t="s">
        <v>1787</v>
      </c>
      <c r="C438" s="22">
        <v>398000.0</v>
      </c>
      <c r="D438" s="26">
        <v>2010.0</v>
      </c>
      <c r="E438" s="101">
        <v>40483.0</v>
      </c>
      <c r="F438" s="26" t="s">
        <v>1788</v>
      </c>
      <c r="G438" s="26" t="s">
        <v>258</v>
      </c>
      <c r="H438" s="26" t="s">
        <v>1034</v>
      </c>
      <c r="I438" s="28"/>
      <c r="J438" s="26">
        <v>4.0</v>
      </c>
      <c r="K438" s="57"/>
      <c r="L438" s="53"/>
      <c r="M438" s="53" t="s">
        <v>1026</v>
      </c>
      <c r="N438" s="135" t="s">
        <v>1789</v>
      </c>
      <c r="O438" s="19"/>
      <c r="P438" s="32">
        <v>57.0</v>
      </c>
      <c r="Q438" s="32"/>
      <c r="R438" s="32"/>
      <c r="S438" s="32"/>
      <c r="T438" s="32"/>
      <c r="U438" s="32"/>
      <c r="V438" s="32"/>
      <c r="W438" s="32"/>
      <c r="X438" s="32"/>
      <c r="Y438" s="32"/>
      <c r="Z438" s="32"/>
    </row>
    <row r="439">
      <c r="A439" s="20" t="s">
        <v>1091</v>
      </c>
      <c r="B439" s="138"/>
      <c r="C439" s="22">
        <v>6.5E7</v>
      </c>
      <c r="D439" s="26">
        <v>2016.0</v>
      </c>
      <c r="E439" s="101">
        <v>42491.0</v>
      </c>
      <c r="F439" s="26" t="s">
        <v>1092</v>
      </c>
      <c r="G439" s="26" t="s">
        <v>28</v>
      </c>
      <c r="H439" s="26" t="s">
        <v>23</v>
      </c>
      <c r="I439" s="28"/>
      <c r="J439" s="26">
        <v>1.0</v>
      </c>
      <c r="K439" s="57"/>
      <c r="L439" s="28"/>
      <c r="M439" s="34" t="s">
        <v>30</v>
      </c>
      <c r="N439" s="106" t="s">
        <v>1093</v>
      </c>
      <c r="O439" s="113"/>
      <c r="P439" s="32">
        <v>231.0</v>
      </c>
      <c r="Q439" s="32"/>
      <c r="R439" s="32"/>
      <c r="S439" s="32"/>
      <c r="T439" s="32"/>
      <c r="U439" s="32"/>
      <c r="V439" s="32"/>
      <c r="W439" s="32"/>
      <c r="X439" s="32"/>
      <c r="Y439" s="32"/>
      <c r="Z439" s="32"/>
    </row>
    <row r="440">
      <c r="A440" s="20" t="s">
        <v>1116</v>
      </c>
      <c r="B440" s="138"/>
      <c r="C440" s="22">
        <v>4.9611709E7</v>
      </c>
      <c r="D440" s="26">
        <v>2016.0</v>
      </c>
      <c r="E440" s="101">
        <v>42461.0</v>
      </c>
      <c r="F440" s="34" t="s">
        <v>1117</v>
      </c>
      <c r="G440" s="26" t="s">
        <v>64</v>
      </c>
      <c r="H440" s="26" t="s">
        <v>23</v>
      </c>
      <c r="I440" s="28"/>
      <c r="J440" s="26">
        <v>2.0</v>
      </c>
      <c r="K440" s="57"/>
      <c r="L440" s="28"/>
      <c r="M440" s="53" t="s">
        <v>591</v>
      </c>
      <c r="N440" s="106" t="s">
        <v>1118</v>
      </c>
      <c r="O440" s="113"/>
      <c r="P440" s="32">
        <v>225.0</v>
      </c>
      <c r="Q440" s="32"/>
      <c r="R440" s="32"/>
      <c r="S440" s="32"/>
      <c r="T440" s="32"/>
      <c r="U440" s="32"/>
      <c r="V440" s="32"/>
      <c r="W440" s="32"/>
      <c r="X440" s="32"/>
      <c r="Y440" s="32"/>
      <c r="Z440" s="32"/>
    </row>
    <row r="441">
      <c r="A441" s="20" t="s">
        <v>499</v>
      </c>
      <c r="B441" s="51"/>
      <c r="C441" s="22">
        <v>1.0E7</v>
      </c>
      <c r="D441" s="26">
        <v>2021.0</v>
      </c>
      <c r="E441" s="91">
        <v>44470.0</v>
      </c>
      <c r="F441" s="26" t="s">
        <v>500</v>
      </c>
      <c r="G441" s="26" t="s">
        <v>236</v>
      </c>
      <c r="H441" s="26" t="s">
        <v>23</v>
      </c>
      <c r="I441" s="26" t="s">
        <v>29</v>
      </c>
      <c r="J441" s="26">
        <v>4.0</v>
      </c>
      <c r="K441" s="27" t="s">
        <v>360</v>
      </c>
      <c r="L441" s="28"/>
      <c r="M441" s="34" t="s">
        <v>147</v>
      </c>
      <c r="N441" s="92" t="s">
        <v>501</v>
      </c>
      <c r="O441" s="31"/>
      <c r="P441" s="32">
        <v>395.0</v>
      </c>
      <c r="Q441" s="32"/>
      <c r="R441" s="32"/>
      <c r="S441" s="32"/>
      <c r="T441" s="32"/>
      <c r="U441" s="32"/>
      <c r="V441" s="32"/>
      <c r="W441" s="32"/>
      <c r="X441" s="32"/>
      <c r="Y441" s="32"/>
      <c r="Z441" s="32"/>
    </row>
    <row r="442">
      <c r="A442" s="156" t="s">
        <v>499</v>
      </c>
      <c r="B442" s="115" t="s">
        <v>1218</v>
      </c>
      <c r="C442" s="22">
        <v>1.0E7</v>
      </c>
      <c r="D442" s="26">
        <v>2015.0</v>
      </c>
      <c r="E442" s="101">
        <v>42064.0</v>
      </c>
      <c r="F442" s="34" t="s">
        <v>1219</v>
      </c>
      <c r="G442" s="26" t="s">
        <v>258</v>
      </c>
      <c r="H442" s="115" t="s">
        <v>23</v>
      </c>
      <c r="I442" s="53"/>
      <c r="J442" s="130">
        <v>1.0</v>
      </c>
      <c r="K442" s="57"/>
      <c r="L442" s="53"/>
      <c r="M442" s="53" t="s">
        <v>499</v>
      </c>
      <c r="N442" s="157" t="s">
        <v>1220</v>
      </c>
      <c r="O442" s="19"/>
      <c r="P442" s="32">
        <v>199.0</v>
      </c>
      <c r="Q442" s="32"/>
      <c r="R442" s="32"/>
      <c r="S442" s="32"/>
      <c r="T442" s="32"/>
      <c r="U442" s="32"/>
      <c r="V442" s="32"/>
      <c r="W442" s="32"/>
      <c r="X442" s="32"/>
      <c r="Y442" s="32"/>
      <c r="Z442" s="32"/>
    </row>
    <row r="443">
      <c r="A443" s="20" t="s">
        <v>407</v>
      </c>
      <c r="B443" s="47"/>
      <c r="C443" s="22">
        <v>2.0E8</v>
      </c>
      <c r="D443" s="26">
        <v>2022.0</v>
      </c>
      <c r="E443" s="24">
        <v>44896.0</v>
      </c>
      <c r="F443" s="38" t="s">
        <v>408</v>
      </c>
      <c r="G443" s="26" t="s">
        <v>409</v>
      </c>
      <c r="H443" s="26" t="s">
        <v>23</v>
      </c>
      <c r="I443" s="26"/>
      <c r="J443" s="26">
        <v>1.0</v>
      </c>
      <c r="K443" s="27"/>
      <c r="L443" s="28"/>
      <c r="M443" s="34" t="s">
        <v>410</v>
      </c>
      <c r="N443" s="48" t="s">
        <v>411</v>
      </c>
      <c r="O443" s="31"/>
      <c r="P443" s="32">
        <v>422.0</v>
      </c>
      <c r="Q443" s="34"/>
      <c r="R443" s="32"/>
      <c r="S443" s="32"/>
      <c r="T443" s="32"/>
      <c r="U443" s="32"/>
      <c r="V443" s="32"/>
      <c r="W443" s="32"/>
      <c r="X443" s="32"/>
      <c r="Y443" s="32"/>
      <c r="Z443" s="32"/>
    </row>
    <row r="444">
      <c r="A444" s="62" t="s">
        <v>407</v>
      </c>
      <c r="B444" s="63"/>
      <c r="C444" s="64">
        <v>5400000.0</v>
      </c>
      <c r="D444" s="68">
        <v>2021.0</v>
      </c>
      <c r="E444" s="66">
        <v>44531.0</v>
      </c>
      <c r="F444" s="75" t="s">
        <v>419</v>
      </c>
      <c r="G444" s="68" t="s">
        <v>28</v>
      </c>
      <c r="H444" s="68" t="s">
        <v>23</v>
      </c>
      <c r="I444" s="68"/>
      <c r="J444" s="68">
        <v>2.0</v>
      </c>
      <c r="K444" s="69"/>
      <c r="L444" s="70"/>
      <c r="M444" s="71" t="s">
        <v>85</v>
      </c>
      <c r="N444" s="72" t="s">
        <v>420</v>
      </c>
      <c r="O444" s="73"/>
      <c r="P444" s="74">
        <v>419.0</v>
      </c>
      <c r="Q444" s="74"/>
      <c r="R444" s="74"/>
      <c r="S444" s="74"/>
      <c r="T444" s="74"/>
      <c r="U444" s="74"/>
      <c r="V444" s="74"/>
      <c r="W444" s="74"/>
      <c r="X444" s="74"/>
      <c r="Y444" s="74"/>
      <c r="Z444" s="74"/>
    </row>
    <row r="445">
      <c r="A445" s="20" t="s">
        <v>407</v>
      </c>
      <c r="B445" s="26"/>
      <c r="C445" s="22">
        <v>3.3E8</v>
      </c>
      <c r="D445" s="26">
        <v>2018.0</v>
      </c>
      <c r="E445" s="101">
        <v>43221.0</v>
      </c>
      <c r="F445" s="26" t="s">
        <v>934</v>
      </c>
      <c r="G445" s="26" t="s">
        <v>50</v>
      </c>
      <c r="H445" s="26" t="s">
        <v>51</v>
      </c>
      <c r="I445" s="28"/>
      <c r="J445" s="26">
        <v>1.0</v>
      </c>
      <c r="K445" s="27" t="s">
        <v>935</v>
      </c>
      <c r="L445" s="110"/>
      <c r="M445" s="26" t="s">
        <v>286</v>
      </c>
      <c r="N445" s="106" t="s">
        <v>936</v>
      </c>
      <c r="O445" s="113"/>
      <c r="P445" s="32">
        <v>271.0</v>
      </c>
      <c r="Q445" s="32"/>
      <c r="R445" s="32"/>
      <c r="S445" s="32"/>
      <c r="T445" s="32"/>
      <c r="U445" s="32"/>
      <c r="V445" s="32"/>
      <c r="W445" s="32"/>
      <c r="X445" s="32"/>
      <c r="Y445" s="32"/>
      <c r="Z445" s="32"/>
    </row>
    <row r="446">
      <c r="A446" s="165" t="s">
        <v>407</v>
      </c>
      <c r="B446" s="28"/>
      <c r="C446" s="22">
        <v>250000.0</v>
      </c>
      <c r="D446" s="26">
        <v>2013.0</v>
      </c>
      <c r="E446" s="101">
        <v>41306.0</v>
      </c>
      <c r="F446" s="26" t="s">
        <v>1436</v>
      </c>
      <c r="G446" s="130" t="s">
        <v>28</v>
      </c>
      <c r="H446" s="26" t="s">
        <v>23</v>
      </c>
      <c r="I446" s="28"/>
      <c r="J446" s="130">
        <v>1.0</v>
      </c>
      <c r="K446" s="57"/>
      <c r="L446" s="28"/>
      <c r="M446" s="105" t="s">
        <v>1088</v>
      </c>
      <c r="N446" s="106" t="s">
        <v>1437</v>
      </c>
      <c r="O446" s="113"/>
      <c r="P446" s="32">
        <v>146.0</v>
      </c>
      <c r="Q446" s="32"/>
      <c r="R446" s="32"/>
      <c r="S446" s="32"/>
      <c r="T446" s="32"/>
      <c r="U446" s="32"/>
      <c r="V446" s="32"/>
      <c r="W446" s="32"/>
      <c r="X446" s="32"/>
      <c r="Y446" s="32"/>
      <c r="Z446" s="32"/>
    </row>
    <row r="447">
      <c r="A447" s="226" t="s">
        <v>118</v>
      </c>
      <c r="B447" s="224"/>
      <c r="C447" s="214">
        <v>472300.0</v>
      </c>
      <c r="D447" s="215">
        <v>2025.0</v>
      </c>
      <c r="E447" s="216">
        <v>45802.0</v>
      </c>
      <c r="F447" s="227" t="s">
        <v>119</v>
      </c>
      <c r="G447" s="215" t="s">
        <v>22</v>
      </c>
      <c r="H447" s="215" t="s">
        <v>23</v>
      </c>
      <c r="I447" s="215"/>
      <c r="J447" s="215">
        <v>2.0</v>
      </c>
      <c r="K447" s="218"/>
      <c r="L447" s="219"/>
      <c r="M447" s="220" t="s">
        <v>72</v>
      </c>
      <c r="N447" s="229" t="s">
        <v>120</v>
      </c>
      <c r="O447" s="222"/>
      <c r="P447" s="223">
        <v>499.0</v>
      </c>
      <c r="Q447" s="215"/>
      <c r="R447" s="224"/>
      <c r="S447" s="224"/>
      <c r="T447" s="224"/>
      <c r="U447" s="224"/>
      <c r="V447" s="224"/>
      <c r="W447" s="224"/>
      <c r="X447" s="224"/>
      <c r="Y447" s="224"/>
      <c r="Z447" s="224"/>
    </row>
    <row r="448">
      <c r="A448" s="20" t="s">
        <v>288</v>
      </c>
      <c r="B448" s="21"/>
      <c r="C448" s="22">
        <v>2.0E7</v>
      </c>
      <c r="D448" s="26">
        <v>2022.0</v>
      </c>
      <c r="E448" s="24">
        <v>44896.0</v>
      </c>
      <c r="F448" s="38" t="s">
        <v>289</v>
      </c>
      <c r="G448" s="26" t="s">
        <v>22</v>
      </c>
      <c r="H448" s="26" t="s">
        <v>23</v>
      </c>
      <c r="I448" s="26" t="s">
        <v>29</v>
      </c>
      <c r="J448" s="26">
        <v>1.0</v>
      </c>
      <c r="K448" s="27"/>
      <c r="L448" s="28"/>
      <c r="M448" s="34" t="s">
        <v>290</v>
      </c>
      <c r="N448" s="35" t="s">
        <v>291</v>
      </c>
      <c r="O448" s="31"/>
      <c r="P448" s="32">
        <v>452.0</v>
      </c>
      <c r="Q448" s="26"/>
      <c r="R448" s="21"/>
      <c r="S448" s="21"/>
      <c r="T448" s="21"/>
      <c r="U448" s="21"/>
      <c r="V448" s="21"/>
      <c r="W448" s="21"/>
      <c r="X448" s="21"/>
      <c r="Y448" s="21"/>
      <c r="Z448" s="21"/>
    </row>
    <row r="449">
      <c r="A449" s="20" t="s">
        <v>288</v>
      </c>
      <c r="B449" s="26"/>
      <c r="C449" s="22">
        <v>5.7E7</v>
      </c>
      <c r="D449" s="150">
        <v>2017.0</v>
      </c>
      <c r="E449" s="101">
        <v>43040.0</v>
      </c>
      <c r="F449" s="26" t="s">
        <v>1000</v>
      </c>
      <c r="G449" s="26" t="s">
        <v>28</v>
      </c>
      <c r="H449" s="26" t="s">
        <v>23</v>
      </c>
      <c r="I449" s="26" t="s">
        <v>29</v>
      </c>
      <c r="J449" s="26">
        <v>1.0</v>
      </c>
      <c r="K449" s="27" t="s">
        <v>1001</v>
      </c>
      <c r="L449" s="120"/>
      <c r="M449" s="105" t="s">
        <v>867</v>
      </c>
      <c r="N449" s="106" t="s">
        <v>1002</v>
      </c>
      <c r="O449" s="113"/>
      <c r="P449" s="32">
        <v>254.0</v>
      </c>
      <c r="Q449" s="32"/>
      <c r="R449" s="32"/>
      <c r="S449" s="32"/>
      <c r="T449" s="32"/>
      <c r="U449" s="32"/>
      <c r="V449" s="32"/>
      <c r="W449" s="32"/>
      <c r="X449" s="32"/>
      <c r="Y449" s="32"/>
      <c r="Z449" s="32"/>
    </row>
    <row r="450">
      <c r="A450" s="114" t="s">
        <v>288</v>
      </c>
      <c r="B450" s="53"/>
      <c r="C450" s="22">
        <v>50000.0</v>
      </c>
      <c r="D450" s="26">
        <v>2015.0</v>
      </c>
      <c r="E450" s="101">
        <v>42036.0</v>
      </c>
      <c r="F450" s="34" t="s">
        <v>1226</v>
      </c>
      <c r="G450" s="26" t="s">
        <v>1227</v>
      </c>
      <c r="H450" s="115" t="s">
        <v>51</v>
      </c>
      <c r="I450" s="53"/>
      <c r="J450" s="130">
        <v>1.0</v>
      </c>
      <c r="K450" s="57"/>
      <c r="L450" s="53"/>
      <c r="M450" s="34" t="s">
        <v>880</v>
      </c>
      <c r="N450" s="157" t="s">
        <v>1228</v>
      </c>
      <c r="O450" s="19"/>
      <c r="P450" s="32">
        <v>197.0</v>
      </c>
      <c r="Q450" s="32"/>
      <c r="R450" s="32"/>
      <c r="S450" s="32"/>
      <c r="T450" s="32"/>
      <c r="U450" s="32"/>
      <c r="V450" s="32"/>
      <c r="W450" s="32"/>
      <c r="X450" s="32"/>
      <c r="Y450" s="32"/>
      <c r="Z450" s="32"/>
    </row>
    <row r="451">
      <c r="A451" s="20" t="s">
        <v>569</v>
      </c>
      <c r="B451" s="51"/>
      <c r="C451" s="22">
        <v>1.6E7</v>
      </c>
      <c r="D451" s="26">
        <v>2021.0</v>
      </c>
      <c r="E451" s="91">
        <v>44228.0</v>
      </c>
      <c r="F451" s="26" t="s">
        <v>570</v>
      </c>
      <c r="G451" s="26" t="s">
        <v>50</v>
      </c>
      <c r="H451" s="26" t="s">
        <v>23</v>
      </c>
      <c r="I451" s="26"/>
      <c r="J451" s="26">
        <v>2.0</v>
      </c>
      <c r="K451" s="27"/>
      <c r="L451" s="28"/>
      <c r="M451" s="34" t="s">
        <v>571</v>
      </c>
      <c r="N451" s="100" t="s">
        <v>572</v>
      </c>
      <c r="O451" s="31"/>
      <c r="P451" s="32">
        <v>376.0</v>
      </c>
      <c r="Q451" s="32"/>
      <c r="R451" s="32"/>
      <c r="S451" s="32"/>
      <c r="T451" s="32"/>
      <c r="U451" s="32"/>
      <c r="V451" s="32"/>
      <c r="W451" s="32"/>
      <c r="X451" s="32"/>
      <c r="Y451" s="32"/>
      <c r="Z451" s="32"/>
    </row>
    <row r="452">
      <c r="A452" s="114" t="s">
        <v>1459</v>
      </c>
      <c r="B452" s="115" t="s">
        <v>1460</v>
      </c>
      <c r="C452" s="22">
        <v>5.8E7</v>
      </c>
      <c r="D452" s="26">
        <v>2013.0</v>
      </c>
      <c r="E452" s="101">
        <v>41456.0</v>
      </c>
      <c r="F452" s="34" t="s">
        <v>1461</v>
      </c>
      <c r="G452" s="115" t="s">
        <v>236</v>
      </c>
      <c r="H452" s="115" t="s">
        <v>23</v>
      </c>
      <c r="I452" s="53"/>
      <c r="J452" s="26">
        <v>2.0</v>
      </c>
      <c r="K452" s="57"/>
      <c r="L452" s="53"/>
      <c r="M452" s="34" t="s">
        <v>905</v>
      </c>
      <c r="N452" s="106" t="s">
        <v>1462</v>
      </c>
      <c r="O452" s="19"/>
      <c r="P452" s="32">
        <v>139.0</v>
      </c>
      <c r="Q452" s="32"/>
      <c r="R452" s="32"/>
      <c r="S452" s="32"/>
      <c r="T452" s="32"/>
      <c r="U452" s="32"/>
      <c r="V452" s="32"/>
      <c r="W452" s="32"/>
      <c r="X452" s="32"/>
      <c r="Y452" s="32"/>
      <c r="Z452" s="32"/>
    </row>
    <row r="453">
      <c r="A453" s="165" t="s">
        <v>1463</v>
      </c>
      <c r="B453" s="130" t="s">
        <v>1464</v>
      </c>
      <c r="C453" s="22">
        <v>2000000.0</v>
      </c>
      <c r="D453" s="26">
        <v>2013.0</v>
      </c>
      <c r="E453" s="101">
        <v>41456.0</v>
      </c>
      <c r="F453" s="26" t="s">
        <v>1465</v>
      </c>
      <c r="G453" s="26" t="s">
        <v>1227</v>
      </c>
      <c r="H453" s="130" t="s">
        <v>23</v>
      </c>
      <c r="I453" s="130" t="s">
        <v>29</v>
      </c>
      <c r="J453" s="26">
        <v>3.0</v>
      </c>
      <c r="K453" s="57"/>
      <c r="L453" s="28"/>
      <c r="M453" s="105" t="s">
        <v>247</v>
      </c>
      <c r="N453" s="106" t="s">
        <v>1466</v>
      </c>
      <c r="O453" s="113"/>
      <c r="P453" s="32">
        <v>138.0</v>
      </c>
      <c r="Q453" s="32"/>
      <c r="R453" s="32"/>
      <c r="S453" s="32"/>
      <c r="T453" s="32"/>
      <c r="U453" s="32"/>
      <c r="V453" s="32"/>
      <c r="W453" s="32"/>
      <c r="X453" s="32"/>
      <c r="Y453" s="32"/>
      <c r="Z453" s="32"/>
    </row>
    <row r="454">
      <c r="A454" s="20" t="s">
        <v>1315</v>
      </c>
      <c r="B454" s="111"/>
      <c r="C454" s="22">
        <v>4500000.0</v>
      </c>
      <c r="D454" s="26">
        <v>2015.0</v>
      </c>
      <c r="E454" s="101">
        <v>42125.0</v>
      </c>
      <c r="F454" s="26" t="s">
        <v>1316</v>
      </c>
      <c r="G454" s="26" t="s">
        <v>258</v>
      </c>
      <c r="H454" s="26" t="s">
        <v>23</v>
      </c>
      <c r="I454" s="28"/>
      <c r="J454" s="26">
        <v>4.0</v>
      </c>
      <c r="K454" s="27" t="s">
        <v>1317</v>
      </c>
      <c r="L454" s="28"/>
      <c r="M454" s="34" t="s">
        <v>1318</v>
      </c>
      <c r="N454" s="102" t="s">
        <v>1319</v>
      </c>
      <c r="O454" s="31"/>
      <c r="P454" s="32">
        <v>176.0</v>
      </c>
      <c r="Q454" s="32"/>
      <c r="R454" s="32"/>
      <c r="S454" s="32"/>
      <c r="T454" s="32"/>
      <c r="U454" s="32"/>
      <c r="V454" s="32"/>
      <c r="W454" s="32"/>
      <c r="X454" s="32"/>
      <c r="Y454" s="32"/>
      <c r="Z454" s="32"/>
    </row>
    <row r="455">
      <c r="A455" s="165" t="s">
        <v>1880</v>
      </c>
      <c r="B455" s="28"/>
      <c r="C455" s="22">
        <v>84000.0</v>
      </c>
      <c r="D455" s="26">
        <v>2008.0</v>
      </c>
      <c r="E455" s="101">
        <v>39661.0</v>
      </c>
      <c r="F455" s="111" t="s">
        <v>1881</v>
      </c>
      <c r="G455" s="130" t="s">
        <v>64</v>
      </c>
      <c r="H455" s="26" t="s">
        <v>1034</v>
      </c>
      <c r="I455" s="28"/>
      <c r="J455" s="26">
        <v>2.0</v>
      </c>
      <c r="K455" s="57"/>
      <c r="L455" s="28"/>
      <c r="M455" s="53" t="s">
        <v>1882</v>
      </c>
      <c r="N455" s="106" t="s">
        <v>1883</v>
      </c>
      <c r="O455" s="113"/>
      <c r="P455" s="32">
        <v>34.0</v>
      </c>
      <c r="Q455" s="32"/>
      <c r="R455" s="32"/>
      <c r="S455" s="32"/>
      <c r="T455" s="32"/>
      <c r="U455" s="32"/>
      <c r="V455" s="32"/>
      <c r="W455" s="32"/>
      <c r="X455" s="32"/>
      <c r="Y455" s="32"/>
      <c r="Z455" s="32"/>
    </row>
    <row r="456">
      <c r="A456" s="165" t="s">
        <v>1919</v>
      </c>
      <c r="B456" s="28"/>
      <c r="C456" s="22">
        <v>1700000.0</v>
      </c>
      <c r="D456" s="26">
        <v>2008.0</v>
      </c>
      <c r="E456" s="101">
        <v>39722.0</v>
      </c>
      <c r="F456" s="111" t="s">
        <v>1920</v>
      </c>
      <c r="G456" s="130" t="s">
        <v>64</v>
      </c>
      <c r="H456" s="26" t="s">
        <v>1034</v>
      </c>
      <c r="I456" s="130" t="s">
        <v>29</v>
      </c>
      <c r="J456" s="26">
        <v>5.0</v>
      </c>
      <c r="K456" s="57"/>
      <c r="L456" s="28"/>
      <c r="M456" s="53" t="s">
        <v>905</v>
      </c>
      <c r="N456" s="106" t="s">
        <v>1921</v>
      </c>
      <c r="O456" s="113"/>
      <c r="P456" s="32">
        <v>24.0</v>
      </c>
      <c r="Q456" s="32"/>
      <c r="R456" s="32"/>
      <c r="S456" s="32"/>
      <c r="T456" s="32"/>
      <c r="U456" s="32"/>
      <c r="V456" s="32"/>
      <c r="W456" s="32"/>
      <c r="X456" s="32"/>
      <c r="Y456" s="32"/>
      <c r="Z456" s="32"/>
    </row>
    <row r="457">
      <c r="A457" s="20" t="s">
        <v>210</v>
      </c>
      <c r="B457" s="21"/>
      <c r="C457" s="22">
        <v>270000.0</v>
      </c>
      <c r="D457" s="26">
        <v>2024.0</v>
      </c>
      <c r="E457" s="24">
        <v>45419.0</v>
      </c>
      <c r="F457" s="38" t="s">
        <v>211</v>
      </c>
      <c r="G457" s="26" t="s">
        <v>64</v>
      </c>
      <c r="H457" s="26" t="s">
        <v>23</v>
      </c>
      <c r="I457" s="26"/>
      <c r="J457" s="26">
        <v>2.0</v>
      </c>
      <c r="K457" s="27"/>
      <c r="L457" s="28"/>
      <c r="M457" s="43" t="s">
        <v>85</v>
      </c>
      <c r="N457" s="35" t="s">
        <v>212</v>
      </c>
      <c r="O457" s="35" t="s">
        <v>213</v>
      </c>
      <c r="P457" s="32">
        <v>473.0</v>
      </c>
      <c r="Q457" s="26"/>
      <c r="R457" s="21"/>
      <c r="S457" s="21"/>
      <c r="T457" s="21"/>
      <c r="U457" s="21"/>
      <c r="V457" s="21"/>
      <c r="W457" s="21"/>
      <c r="X457" s="21"/>
      <c r="Y457" s="21"/>
      <c r="Z457" s="21"/>
    </row>
    <row r="458">
      <c r="A458" s="165" t="s">
        <v>1960</v>
      </c>
      <c r="B458" s="130" t="s">
        <v>1961</v>
      </c>
      <c r="C458" s="22">
        <v>2.5E7</v>
      </c>
      <c r="D458" s="26">
        <v>2007.0</v>
      </c>
      <c r="E458" s="101">
        <v>39387.0</v>
      </c>
      <c r="F458" s="26" t="s">
        <v>1962</v>
      </c>
      <c r="G458" s="130" t="s">
        <v>64</v>
      </c>
      <c r="H458" s="26" t="s">
        <v>1034</v>
      </c>
      <c r="I458" s="28"/>
      <c r="J458" s="130">
        <v>1.0</v>
      </c>
      <c r="K458" s="57"/>
      <c r="L458" s="28"/>
      <c r="M458" s="53" t="s">
        <v>905</v>
      </c>
      <c r="N458" s="106" t="s">
        <v>1963</v>
      </c>
      <c r="O458" s="113"/>
      <c r="P458" s="32">
        <v>12.0</v>
      </c>
      <c r="Q458" s="32"/>
      <c r="R458" s="32"/>
      <c r="S458" s="32"/>
      <c r="T458" s="32"/>
      <c r="U458" s="32"/>
      <c r="V458" s="32"/>
      <c r="W458" s="32"/>
      <c r="X458" s="32"/>
      <c r="Y458" s="32"/>
      <c r="Z458" s="32"/>
    </row>
    <row r="459">
      <c r="A459" s="245" t="s">
        <v>61</v>
      </c>
      <c r="B459" s="213" t="s">
        <v>62</v>
      </c>
      <c r="C459" s="214">
        <v>2100000.0</v>
      </c>
      <c r="D459" s="215">
        <v>2025.0</v>
      </c>
      <c r="E459" s="216">
        <v>45793.0</v>
      </c>
      <c r="F459" s="227" t="s">
        <v>63</v>
      </c>
      <c r="G459" s="215" t="s">
        <v>64</v>
      </c>
      <c r="H459" s="215" t="s">
        <v>23</v>
      </c>
      <c r="I459" s="215" t="s">
        <v>29</v>
      </c>
      <c r="J459" s="215">
        <v>3.0</v>
      </c>
      <c r="K459" s="218"/>
      <c r="L459" s="219"/>
      <c r="M459" s="220" t="s">
        <v>39</v>
      </c>
      <c r="N459" s="229" t="s">
        <v>65</v>
      </c>
      <c r="O459" s="222"/>
      <c r="P459" s="223">
        <v>515.0</v>
      </c>
      <c r="Q459" s="215"/>
      <c r="R459" s="224"/>
      <c r="S459" s="224"/>
      <c r="T459" s="224"/>
      <c r="U459" s="224"/>
      <c r="V459" s="224"/>
      <c r="W459" s="224"/>
      <c r="X459" s="224"/>
      <c r="Y459" s="224"/>
      <c r="Z459" s="224"/>
    </row>
    <row r="460">
      <c r="A460" s="226" t="s">
        <v>94</v>
      </c>
      <c r="B460" s="224"/>
      <c r="C460" s="214">
        <v>1.9E8</v>
      </c>
      <c r="D460" s="215">
        <v>2024.0</v>
      </c>
      <c r="E460" s="216">
        <v>45589.0</v>
      </c>
      <c r="F460" s="227" t="s">
        <v>95</v>
      </c>
      <c r="G460" s="215" t="s">
        <v>89</v>
      </c>
      <c r="H460" s="215" t="s">
        <v>23</v>
      </c>
      <c r="I460" s="215"/>
      <c r="J460" s="215">
        <v>4.0</v>
      </c>
      <c r="K460" s="218" t="s">
        <v>96</v>
      </c>
      <c r="L460" s="219"/>
      <c r="M460" s="220" t="s">
        <v>85</v>
      </c>
      <c r="N460" s="221" t="s">
        <v>97</v>
      </c>
      <c r="O460" s="230"/>
      <c r="P460" s="223">
        <v>506.0</v>
      </c>
      <c r="Q460" s="215"/>
      <c r="R460" s="224"/>
      <c r="S460" s="224"/>
      <c r="T460" s="224"/>
      <c r="U460" s="224"/>
      <c r="V460" s="224"/>
      <c r="W460" s="224"/>
      <c r="X460" s="224"/>
      <c r="Y460" s="224"/>
      <c r="Z460" s="224"/>
    </row>
    <row r="461">
      <c r="A461" s="165" t="s">
        <v>1849</v>
      </c>
      <c r="B461" s="130" t="s">
        <v>1850</v>
      </c>
      <c r="C461" s="22">
        <v>160000.0</v>
      </c>
      <c r="D461" s="26">
        <v>2009.0</v>
      </c>
      <c r="E461" s="101">
        <v>39934.0</v>
      </c>
      <c r="F461" s="26" t="s">
        <v>1851</v>
      </c>
      <c r="G461" s="26" t="s">
        <v>110</v>
      </c>
      <c r="H461" s="130" t="s">
        <v>23</v>
      </c>
      <c r="I461" s="28"/>
      <c r="J461" s="26">
        <v>3.0</v>
      </c>
      <c r="K461" s="57"/>
      <c r="L461" s="28"/>
      <c r="M461" s="105" t="s">
        <v>1599</v>
      </c>
      <c r="N461" s="106" t="s">
        <v>1852</v>
      </c>
      <c r="O461" s="113"/>
      <c r="P461" s="32">
        <v>42.0</v>
      </c>
      <c r="Q461" s="32"/>
      <c r="R461" s="32"/>
      <c r="S461" s="32"/>
      <c r="T461" s="32"/>
      <c r="U461" s="32"/>
      <c r="V461" s="32"/>
      <c r="W461" s="32"/>
      <c r="X461" s="32"/>
      <c r="Y461" s="32"/>
      <c r="Z461" s="32"/>
    </row>
    <row r="462">
      <c r="A462" s="20" t="s">
        <v>1429</v>
      </c>
      <c r="B462" s="28"/>
      <c r="C462" s="22">
        <v>74000.0</v>
      </c>
      <c r="D462" s="26">
        <v>2013.0</v>
      </c>
      <c r="E462" s="101">
        <v>41487.0</v>
      </c>
      <c r="F462" s="26" t="s">
        <v>1430</v>
      </c>
      <c r="G462" s="26" t="s">
        <v>110</v>
      </c>
      <c r="H462" s="26" t="s">
        <v>23</v>
      </c>
      <c r="I462" s="28"/>
      <c r="J462" s="26">
        <v>2.0</v>
      </c>
      <c r="K462" s="57"/>
      <c r="L462" s="28"/>
      <c r="M462" s="105" t="s">
        <v>1429</v>
      </c>
      <c r="N462" s="106" t="s">
        <v>1431</v>
      </c>
      <c r="O462" s="113"/>
      <c r="P462" s="32">
        <v>148.0</v>
      </c>
      <c r="Q462" s="32"/>
      <c r="R462" s="32"/>
      <c r="S462" s="32"/>
      <c r="T462" s="32"/>
      <c r="U462" s="32"/>
      <c r="V462" s="32"/>
      <c r="W462" s="32"/>
      <c r="X462" s="32"/>
      <c r="Y462" s="32"/>
      <c r="Z462" s="32"/>
    </row>
    <row r="463">
      <c r="A463" s="165" t="s">
        <v>1867</v>
      </c>
      <c r="B463" s="28"/>
      <c r="C463" s="22">
        <v>2100000.0</v>
      </c>
      <c r="D463" s="26">
        <v>2008.0</v>
      </c>
      <c r="E463" s="101">
        <v>39539.0</v>
      </c>
      <c r="F463" s="26" t="s">
        <v>1868</v>
      </c>
      <c r="G463" s="26" t="s">
        <v>110</v>
      </c>
      <c r="H463" s="26" t="s">
        <v>1034</v>
      </c>
      <c r="I463" s="28"/>
      <c r="J463" s="26">
        <v>3.0</v>
      </c>
      <c r="K463" s="57"/>
      <c r="L463" s="28"/>
      <c r="M463" s="105" t="s">
        <v>1869</v>
      </c>
      <c r="N463" s="106" t="s">
        <v>1870</v>
      </c>
      <c r="O463" s="113"/>
      <c r="P463" s="32">
        <v>37.0</v>
      </c>
      <c r="Q463" s="32"/>
      <c r="R463" s="32"/>
      <c r="S463" s="32"/>
      <c r="T463" s="32"/>
      <c r="U463" s="32"/>
      <c r="V463" s="32"/>
      <c r="W463" s="32"/>
      <c r="X463" s="32"/>
      <c r="Y463" s="32"/>
      <c r="Z463" s="32"/>
    </row>
    <row r="464">
      <c r="A464" s="165" t="s">
        <v>1902</v>
      </c>
      <c r="B464" s="130" t="s">
        <v>1903</v>
      </c>
      <c r="C464" s="22">
        <v>2200000.0</v>
      </c>
      <c r="D464" s="26">
        <v>2008.0</v>
      </c>
      <c r="E464" s="101">
        <v>39600.0</v>
      </c>
      <c r="F464" s="26" t="s">
        <v>1904</v>
      </c>
      <c r="G464" s="26" t="s">
        <v>110</v>
      </c>
      <c r="H464" s="26" t="s">
        <v>1034</v>
      </c>
      <c r="I464" s="130" t="s">
        <v>29</v>
      </c>
      <c r="J464" s="26">
        <v>4.0</v>
      </c>
      <c r="K464" s="57"/>
      <c r="L464" s="28"/>
      <c r="M464" s="34" t="s">
        <v>1905</v>
      </c>
      <c r="N464" s="106" t="s">
        <v>1906</v>
      </c>
      <c r="O464" s="113"/>
      <c r="P464" s="32">
        <v>28.0</v>
      </c>
      <c r="Q464" s="32"/>
      <c r="R464" s="32"/>
      <c r="S464" s="32"/>
      <c r="T464" s="32"/>
      <c r="U464" s="32"/>
      <c r="V464" s="32"/>
      <c r="W464" s="32"/>
      <c r="X464" s="32"/>
      <c r="Y464" s="32"/>
      <c r="Z464" s="32"/>
    </row>
    <row r="465">
      <c r="A465" s="114" t="s">
        <v>1670</v>
      </c>
      <c r="B465" s="28"/>
      <c r="C465" s="22">
        <v>73000.0</v>
      </c>
      <c r="D465" s="26">
        <v>2011.0</v>
      </c>
      <c r="E465" s="183">
        <v>40756.0</v>
      </c>
      <c r="F465" s="184" t="s">
        <v>1671</v>
      </c>
      <c r="G465" s="26" t="s">
        <v>110</v>
      </c>
      <c r="H465" s="130" t="s">
        <v>23</v>
      </c>
      <c r="I465" s="28"/>
      <c r="J465" s="26">
        <v>2.0</v>
      </c>
      <c r="K465" s="57"/>
      <c r="L465" s="28"/>
      <c r="M465" s="34" t="s">
        <v>571</v>
      </c>
      <c r="N465" s="106" t="s">
        <v>1672</v>
      </c>
      <c r="O465" s="113"/>
      <c r="P465" s="32">
        <v>87.0</v>
      </c>
      <c r="Q465" s="32"/>
      <c r="R465" s="32"/>
      <c r="S465" s="32"/>
      <c r="T465" s="32"/>
      <c r="U465" s="32"/>
      <c r="V465" s="32"/>
      <c r="W465" s="32"/>
      <c r="X465" s="32"/>
      <c r="Y465" s="32"/>
      <c r="Z465" s="32"/>
    </row>
    <row r="466">
      <c r="A466" s="103" t="s">
        <v>734</v>
      </c>
      <c r="B466" s="104" t="s">
        <v>735</v>
      </c>
      <c r="C466" s="22">
        <v>1800000.0</v>
      </c>
      <c r="D466" s="26">
        <v>2019.0</v>
      </c>
      <c r="E466" s="101">
        <v>43525.0</v>
      </c>
      <c r="F466" s="26" t="s">
        <v>736</v>
      </c>
      <c r="G466" s="26" t="s">
        <v>28</v>
      </c>
      <c r="H466" s="26" t="s">
        <v>51</v>
      </c>
      <c r="I466" s="26" t="s">
        <v>29</v>
      </c>
      <c r="J466" s="26">
        <v>4.0</v>
      </c>
      <c r="K466" s="27" t="str">
        <f>IF(C466&gt;100000000,C466,"")</f>
        <v/>
      </c>
      <c r="L466" s="28"/>
      <c r="M466" s="105" t="s">
        <v>325</v>
      </c>
      <c r="N466" s="106" t="s">
        <v>737</v>
      </c>
      <c r="O466" s="107"/>
      <c r="P466" s="32">
        <v>334.0</v>
      </c>
      <c r="Q466" s="32"/>
      <c r="R466" s="32"/>
      <c r="S466" s="32"/>
      <c r="T466" s="32"/>
      <c r="U466" s="32"/>
      <c r="V466" s="32"/>
      <c r="W466" s="32"/>
      <c r="X466" s="32"/>
      <c r="Y466" s="32"/>
      <c r="Z466" s="32"/>
    </row>
    <row r="467">
      <c r="A467" s="114" t="s">
        <v>1346</v>
      </c>
      <c r="B467" s="53"/>
      <c r="C467" s="22">
        <v>4000000.0</v>
      </c>
      <c r="D467" s="26">
        <v>2014.0</v>
      </c>
      <c r="E467" s="101">
        <v>41852.0</v>
      </c>
      <c r="F467" s="34" t="s">
        <v>1347</v>
      </c>
      <c r="G467" s="115" t="s">
        <v>43</v>
      </c>
      <c r="H467" s="115" t="s">
        <v>23</v>
      </c>
      <c r="I467" s="53"/>
      <c r="J467" s="26">
        <v>3.0</v>
      </c>
      <c r="K467" s="57"/>
      <c r="L467" s="53"/>
      <c r="M467" s="53" t="s">
        <v>1348</v>
      </c>
      <c r="N467" s="116" t="s">
        <v>1349</v>
      </c>
      <c r="O467" s="19"/>
      <c r="P467" s="32">
        <v>168.0</v>
      </c>
      <c r="Q467" s="32"/>
      <c r="R467" s="32"/>
      <c r="S467" s="32"/>
      <c r="T467" s="32"/>
      <c r="U467" s="32"/>
      <c r="V467" s="32"/>
      <c r="W467" s="32"/>
      <c r="X467" s="32"/>
      <c r="Y467" s="32"/>
      <c r="Z467" s="32"/>
    </row>
    <row r="468">
      <c r="A468" s="20" t="s">
        <v>948</v>
      </c>
      <c r="B468" s="26" t="s">
        <v>949</v>
      </c>
      <c r="C468" s="22">
        <v>309000.0</v>
      </c>
      <c r="D468" s="26">
        <v>2018.0</v>
      </c>
      <c r="E468" s="101">
        <v>43405.0</v>
      </c>
      <c r="F468" s="26" t="s">
        <v>950</v>
      </c>
      <c r="G468" s="26" t="s">
        <v>28</v>
      </c>
      <c r="H468" s="105" t="s">
        <v>51</v>
      </c>
      <c r="I468" s="28"/>
      <c r="J468" s="26">
        <v>2.0</v>
      </c>
      <c r="K468" s="27"/>
      <c r="L468" s="110"/>
      <c r="M468" s="26" t="s">
        <v>34</v>
      </c>
      <c r="N468" s="106" t="s">
        <v>951</v>
      </c>
      <c r="O468" s="113"/>
      <c r="P468" s="32">
        <v>267.0</v>
      </c>
      <c r="Q468" s="32"/>
      <c r="R468" s="32"/>
      <c r="S468" s="32"/>
      <c r="T468" s="32"/>
      <c r="U468" s="32"/>
      <c r="V468" s="32"/>
      <c r="W468" s="32"/>
      <c r="X468" s="32"/>
      <c r="Y468" s="32"/>
      <c r="Z468" s="32"/>
    </row>
    <row r="469">
      <c r="A469" s="103" t="s">
        <v>708</v>
      </c>
      <c r="B469" s="104"/>
      <c r="C469" s="22">
        <v>100000.0</v>
      </c>
      <c r="D469" s="26">
        <v>2019.0</v>
      </c>
      <c r="E469" s="101">
        <v>43617.0</v>
      </c>
      <c r="F469" s="26" t="s">
        <v>709</v>
      </c>
      <c r="G469" s="26" t="s">
        <v>64</v>
      </c>
      <c r="H469" s="26" t="s">
        <v>23</v>
      </c>
      <c r="I469" s="26" t="s">
        <v>29</v>
      </c>
      <c r="J469" s="26">
        <v>2.0</v>
      </c>
      <c r="K469" s="27"/>
      <c r="L469" s="28"/>
      <c r="M469" s="105" t="s">
        <v>710</v>
      </c>
      <c r="N469" s="106" t="s">
        <v>711</v>
      </c>
      <c r="O469" s="107"/>
      <c r="P469" s="32">
        <v>342.0</v>
      </c>
      <c r="Q469" s="32"/>
      <c r="R469" s="32"/>
      <c r="S469" s="32"/>
      <c r="T469" s="32"/>
      <c r="U469" s="32"/>
      <c r="V469" s="32"/>
      <c r="W469" s="32"/>
      <c r="X469" s="32"/>
      <c r="Y469" s="32"/>
      <c r="Z469" s="32"/>
    </row>
    <row r="470">
      <c r="A470" s="165" t="s">
        <v>1973</v>
      </c>
      <c r="B470" s="28"/>
      <c r="C470" s="22">
        <v>2.65E7</v>
      </c>
      <c r="D470" s="26">
        <v>2006.0</v>
      </c>
      <c r="E470" s="101">
        <v>38899.0</v>
      </c>
      <c r="F470" s="26" t="s">
        <v>1974</v>
      </c>
      <c r="G470" s="130" t="s">
        <v>1975</v>
      </c>
      <c r="H470" s="26" t="s">
        <v>1034</v>
      </c>
      <c r="I470" s="28"/>
      <c r="J470" s="26">
        <v>2.0</v>
      </c>
      <c r="K470" s="57"/>
      <c r="L470" s="28"/>
      <c r="M470" s="105" t="s">
        <v>1976</v>
      </c>
      <c r="N470" s="106" t="s">
        <v>1977</v>
      </c>
      <c r="O470" s="106" t="s">
        <v>1978</v>
      </c>
      <c r="P470" s="32">
        <v>9.0</v>
      </c>
      <c r="Q470" s="32"/>
      <c r="R470" s="32"/>
      <c r="S470" s="32"/>
      <c r="T470" s="32"/>
      <c r="U470" s="32"/>
      <c r="V470" s="32"/>
      <c r="W470" s="32"/>
      <c r="X470" s="32"/>
      <c r="Y470" s="32"/>
      <c r="Z470" s="32"/>
    </row>
    <row r="471">
      <c r="A471" s="165" t="s">
        <v>1815</v>
      </c>
      <c r="B471" s="28"/>
      <c r="C471" s="22">
        <v>400000.0</v>
      </c>
      <c r="D471" s="26">
        <v>2010.0</v>
      </c>
      <c r="E471" s="101">
        <v>40483.0</v>
      </c>
      <c r="F471" s="26" t="s">
        <v>1816</v>
      </c>
      <c r="G471" s="26" t="s">
        <v>58</v>
      </c>
      <c r="H471" s="130" t="s">
        <v>23</v>
      </c>
      <c r="I471" s="28"/>
      <c r="J471" s="26">
        <v>3.0</v>
      </c>
      <c r="K471" s="57"/>
      <c r="L471" s="28"/>
      <c r="M471" s="34" t="s">
        <v>1817</v>
      </c>
      <c r="N471" s="106" t="s">
        <v>1818</v>
      </c>
      <c r="O471" s="113"/>
      <c r="P471" s="32">
        <v>50.0</v>
      </c>
      <c r="Q471" s="32"/>
      <c r="R471" s="32"/>
      <c r="S471" s="32"/>
      <c r="T471" s="32"/>
      <c r="U471" s="32"/>
      <c r="V471" s="32"/>
      <c r="W471" s="32"/>
      <c r="X471" s="32"/>
      <c r="Y471" s="32"/>
      <c r="Z471" s="32"/>
    </row>
    <row r="472">
      <c r="A472" s="165" t="s">
        <v>1667</v>
      </c>
      <c r="B472" s="28"/>
      <c r="C472" s="22">
        <v>123461.0</v>
      </c>
      <c r="D472" s="26">
        <v>2011.0</v>
      </c>
      <c r="E472" s="101">
        <v>40756.0</v>
      </c>
      <c r="F472" s="26" t="s">
        <v>1668</v>
      </c>
      <c r="G472" s="130" t="s">
        <v>64</v>
      </c>
      <c r="H472" s="26" t="s">
        <v>23</v>
      </c>
      <c r="I472" s="28"/>
      <c r="J472" s="26">
        <v>3.0</v>
      </c>
      <c r="K472" s="57"/>
      <c r="L472" s="28"/>
      <c r="M472" s="53" t="s">
        <v>1608</v>
      </c>
      <c r="N472" s="106" t="s">
        <v>1669</v>
      </c>
      <c r="O472" s="113"/>
      <c r="P472" s="32">
        <v>88.0</v>
      </c>
      <c r="Q472" s="32"/>
      <c r="R472" s="32"/>
      <c r="S472" s="32"/>
      <c r="T472" s="32"/>
      <c r="U472" s="32"/>
      <c r="V472" s="32"/>
      <c r="W472" s="32"/>
      <c r="X472" s="32"/>
      <c r="Y472" s="32"/>
      <c r="Z472" s="32"/>
    </row>
    <row r="473">
      <c r="A473" s="20" t="s">
        <v>639</v>
      </c>
      <c r="B473" s="51"/>
      <c r="C473" s="22">
        <v>387000.0</v>
      </c>
      <c r="D473" s="26">
        <v>2020.0</v>
      </c>
      <c r="E473" s="101">
        <v>43952.0</v>
      </c>
      <c r="F473" s="26" t="s">
        <v>640</v>
      </c>
      <c r="G473" s="26" t="s">
        <v>64</v>
      </c>
      <c r="H473" s="26" t="s">
        <v>23</v>
      </c>
      <c r="I473" s="28"/>
      <c r="J473" s="26">
        <v>2.0</v>
      </c>
      <c r="K473" s="27" t="s">
        <v>641</v>
      </c>
      <c r="L473" s="28"/>
      <c r="M473" s="34" t="s">
        <v>642</v>
      </c>
      <c r="N473" s="100" t="s">
        <v>643</v>
      </c>
      <c r="O473" s="31"/>
      <c r="P473" s="32">
        <v>357.0</v>
      </c>
      <c r="Q473" s="32"/>
      <c r="R473" s="32"/>
      <c r="S473" s="32"/>
      <c r="T473" s="32"/>
      <c r="U473" s="32"/>
      <c r="V473" s="32"/>
      <c r="W473" s="32"/>
      <c r="X473" s="32"/>
      <c r="Y473" s="32"/>
      <c r="Z473" s="32"/>
    </row>
    <row r="474">
      <c r="A474" s="165" t="s">
        <v>1777</v>
      </c>
      <c r="B474" s="115" t="s">
        <v>1778</v>
      </c>
      <c r="C474" s="22">
        <v>260000.0</v>
      </c>
      <c r="D474" s="26">
        <v>2010.0</v>
      </c>
      <c r="E474" s="101">
        <v>40483.0</v>
      </c>
      <c r="F474" s="34" t="s">
        <v>1779</v>
      </c>
      <c r="G474" s="130" t="s">
        <v>1676</v>
      </c>
      <c r="H474" s="130" t="s">
        <v>59</v>
      </c>
      <c r="I474" s="130" t="s">
        <v>29</v>
      </c>
      <c r="J474" s="26">
        <v>5.0</v>
      </c>
      <c r="K474" s="57"/>
      <c r="L474" s="28"/>
      <c r="M474" s="53" t="s">
        <v>507</v>
      </c>
      <c r="N474" s="106" t="s">
        <v>1780</v>
      </c>
      <c r="O474" s="113"/>
      <c r="P474" s="32">
        <v>59.0</v>
      </c>
      <c r="Q474" s="32"/>
      <c r="R474" s="32"/>
      <c r="S474" s="32"/>
      <c r="T474" s="32"/>
      <c r="U474" s="32"/>
      <c r="V474" s="32"/>
      <c r="W474" s="32"/>
      <c r="X474" s="32"/>
      <c r="Y474" s="32"/>
      <c r="Z474" s="32"/>
    </row>
    <row r="475">
      <c r="A475" s="165" t="s">
        <v>1777</v>
      </c>
      <c r="B475" s="28"/>
      <c r="C475" s="22">
        <v>7.6E7</v>
      </c>
      <c r="D475" s="26">
        <v>2009.0</v>
      </c>
      <c r="E475" s="101">
        <v>40087.0</v>
      </c>
      <c r="F475" s="26" t="s">
        <v>1857</v>
      </c>
      <c r="G475" s="130" t="s">
        <v>1676</v>
      </c>
      <c r="H475" s="26" t="s">
        <v>1034</v>
      </c>
      <c r="I475" s="130" t="s">
        <v>29</v>
      </c>
      <c r="J475" s="26">
        <v>2.0</v>
      </c>
      <c r="K475" s="57"/>
      <c r="L475" s="28"/>
      <c r="M475" s="105" t="s">
        <v>410</v>
      </c>
      <c r="N475" s="106" t="s">
        <v>1858</v>
      </c>
      <c r="O475" s="113"/>
      <c r="P475" s="32">
        <v>40.0</v>
      </c>
      <c r="Q475" s="32"/>
      <c r="R475" s="32"/>
      <c r="S475" s="32"/>
      <c r="T475" s="32"/>
      <c r="U475" s="32"/>
      <c r="V475" s="32"/>
      <c r="W475" s="32"/>
      <c r="X475" s="32"/>
      <c r="Y475" s="32"/>
      <c r="Z475" s="32"/>
    </row>
    <row r="476" ht="17.25" customHeight="1">
      <c r="A476" s="165" t="s">
        <v>1828</v>
      </c>
      <c r="B476" s="28"/>
      <c r="C476" s="22">
        <v>131000.0</v>
      </c>
      <c r="D476" s="26">
        <v>2009.0</v>
      </c>
      <c r="E476" s="101">
        <v>40148.0</v>
      </c>
      <c r="F476" s="26" t="s">
        <v>1829</v>
      </c>
      <c r="G476" s="130" t="s">
        <v>1676</v>
      </c>
      <c r="H476" s="26" t="s">
        <v>1034</v>
      </c>
      <c r="I476" s="130" t="s">
        <v>29</v>
      </c>
      <c r="J476" s="26">
        <v>2.0</v>
      </c>
      <c r="K476" s="57"/>
      <c r="L476" s="28"/>
      <c r="M476" s="105" t="s">
        <v>1088</v>
      </c>
      <c r="N476" s="106" t="s">
        <v>1830</v>
      </c>
      <c r="O476" s="113"/>
      <c r="P476" s="32">
        <v>47.0</v>
      </c>
      <c r="Q476" s="32"/>
      <c r="R476" s="32"/>
      <c r="S476" s="32"/>
      <c r="T476" s="32"/>
      <c r="U476" s="32"/>
      <c r="V476" s="32"/>
      <c r="W476" s="32"/>
      <c r="X476" s="32"/>
      <c r="Y476" s="32"/>
      <c r="Z476" s="32"/>
    </row>
    <row r="477">
      <c r="A477" s="114" t="s">
        <v>1266</v>
      </c>
      <c r="B477" s="53"/>
      <c r="C477" s="22">
        <v>4000000.0</v>
      </c>
      <c r="D477" s="26">
        <v>2015.0</v>
      </c>
      <c r="E477" s="101">
        <v>42156.0</v>
      </c>
      <c r="F477" s="34" t="s">
        <v>1267</v>
      </c>
      <c r="G477" s="115" t="s">
        <v>64</v>
      </c>
      <c r="H477" s="115" t="s">
        <v>23</v>
      </c>
      <c r="I477" s="53"/>
      <c r="J477" s="26">
        <v>2.0</v>
      </c>
      <c r="K477" s="57"/>
      <c r="L477" s="53"/>
      <c r="M477" s="53" t="s">
        <v>710</v>
      </c>
      <c r="N477" s="160" t="s">
        <v>1268</v>
      </c>
      <c r="O477" s="19"/>
      <c r="P477" s="32">
        <v>188.0</v>
      </c>
      <c r="Q477" s="32"/>
      <c r="R477" s="32"/>
      <c r="S477" s="32"/>
      <c r="T477" s="32"/>
      <c r="U477" s="32"/>
      <c r="V477" s="32"/>
      <c r="W477" s="32"/>
      <c r="X477" s="32"/>
      <c r="Y477" s="32"/>
      <c r="Z477" s="32"/>
    </row>
    <row r="478">
      <c r="A478" s="114" t="s">
        <v>1262</v>
      </c>
      <c r="B478" s="53"/>
      <c r="C478" s="22">
        <v>2.15E7</v>
      </c>
      <c r="D478" s="26">
        <v>2015.0</v>
      </c>
      <c r="E478" s="101">
        <v>42186.0</v>
      </c>
      <c r="F478" s="34" t="s">
        <v>1263</v>
      </c>
      <c r="G478" s="115" t="s">
        <v>64</v>
      </c>
      <c r="H478" s="115" t="s">
        <v>23</v>
      </c>
      <c r="I478" s="53"/>
      <c r="J478" s="26">
        <v>5.0</v>
      </c>
      <c r="K478" s="57"/>
      <c r="L478" s="53"/>
      <c r="M478" s="53" t="s">
        <v>905</v>
      </c>
      <c r="N478" s="160" t="s">
        <v>1264</v>
      </c>
      <c r="O478" s="116" t="s">
        <v>1265</v>
      </c>
      <c r="P478" s="32">
        <v>189.0</v>
      </c>
      <c r="Q478" s="32"/>
      <c r="R478" s="32"/>
      <c r="S478" s="32"/>
      <c r="T478" s="32"/>
      <c r="U478" s="32"/>
      <c r="V478" s="32"/>
      <c r="W478" s="32"/>
      <c r="X478" s="32"/>
      <c r="Y478" s="32"/>
      <c r="Z478" s="32"/>
    </row>
    <row r="479">
      <c r="A479" s="46" t="s">
        <v>229</v>
      </c>
      <c r="B479" s="20" t="s">
        <v>230</v>
      </c>
      <c r="C479" s="22">
        <v>800000.0</v>
      </c>
      <c r="D479" s="26">
        <v>2023.0</v>
      </c>
      <c r="E479" s="24">
        <v>45440.0</v>
      </c>
      <c r="F479" s="38" t="s">
        <v>231</v>
      </c>
      <c r="G479" s="26" t="s">
        <v>64</v>
      </c>
      <c r="H479" s="26" t="s">
        <v>23</v>
      </c>
      <c r="I479" s="26"/>
      <c r="J479" s="26">
        <v>2.0</v>
      </c>
      <c r="K479" s="27"/>
      <c r="L479" s="28"/>
      <c r="M479" s="34" t="s">
        <v>85</v>
      </c>
      <c r="N479" s="35" t="s">
        <v>232</v>
      </c>
      <c r="O479" s="35" t="s">
        <v>233</v>
      </c>
      <c r="P479" s="32">
        <v>468.0</v>
      </c>
      <c r="Q479" s="26"/>
      <c r="R479" s="21"/>
      <c r="S479" s="21"/>
      <c r="T479" s="21"/>
      <c r="U479" s="21"/>
      <c r="V479" s="21"/>
      <c r="W479" s="21"/>
      <c r="X479" s="21"/>
      <c r="Y479" s="21"/>
      <c r="Z479" s="21"/>
    </row>
    <row r="480">
      <c r="A480" s="145" t="s">
        <v>1145</v>
      </c>
      <c r="B480" s="142"/>
      <c r="C480" s="22">
        <v>35000.0</v>
      </c>
      <c r="D480" s="26">
        <v>2016.0</v>
      </c>
      <c r="E480" s="101">
        <v>42522.0</v>
      </c>
      <c r="F480" s="26" t="s">
        <v>1146</v>
      </c>
      <c r="G480" s="28" t="s">
        <v>28</v>
      </c>
      <c r="H480" s="28" t="s">
        <v>23</v>
      </c>
      <c r="I480" s="53"/>
      <c r="J480" s="28">
        <v>1.0</v>
      </c>
      <c r="K480" s="57"/>
      <c r="L480" s="53"/>
      <c r="M480" s="53" t="s">
        <v>1147</v>
      </c>
      <c r="N480" s="146" t="s">
        <v>1148</v>
      </c>
      <c r="O480" s="117"/>
      <c r="P480" s="32">
        <v>217.0</v>
      </c>
      <c r="Q480" s="32"/>
      <c r="R480" s="32"/>
      <c r="S480" s="32"/>
      <c r="T480" s="32"/>
      <c r="U480" s="32"/>
      <c r="V480" s="32"/>
      <c r="W480" s="32"/>
      <c r="X480" s="32"/>
      <c r="Y480" s="32"/>
      <c r="Z480" s="32"/>
    </row>
    <row r="481">
      <c r="A481" s="103" t="s">
        <v>738</v>
      </c>
      <c r="B481" s="104" t="s">
        <v>739</v>
      </c>
      <c r="C481" s="22">
        <v>2700000.0</v>
      </c>
      <c r="D481" s="26">
        <v>2019.0</v>
      </c>
      <c r="E481" s="101">
        <v>43497.0</v>
      </c>
      <c r="F481" s="26" t="s">
        <v>740</v>
      </c>
      <c r="G481" s="26" t="s">
        <v>258</v>
      </c>
      <c r="H481" s="26" t="s">
        <v>51</v>
      </c>
      <c r="I481" s="26" t="s">
        <v>29</v>
      </c>
      <c r="J481" s="26">
        <v>5.0</v>
      </c>
      <c r="K481" s="27" t="str">
        <f>IF(C481&gt;100000000,C481,"")</f>
        <v/>
      </c>
      <c r="L481" s="28"/>
      <c r="M481" s="105" t="s">
        <v>741</v>
      </c>
      <c r="N481" s="106" t="s">
        <v>742</v>
      </c>
      <c r="O481" s="106" t="s">
        <v>743</v>
      </c>
      <c r="P481" s="32">
        <v>333.0</v>
      </c>
      <c r="Q481" s="32"/>
      <c r="R481" s="32"/>
      <c r="S481" s="32"/>
      <c r="T481" s="32"/>
      <c r="U481" s="32"/>
      <c r="V481" s="32"/>
      <c r="W481" s="32"/>
      <c r="X481" s="32"/>
      <c r="Y481" s="32"/>
      <c r="Z481" s="32"/>
    </row>
    <row r="482">
      <c r="A482" s="226" t="s">
        <v>105</v>
      </c>
      <c r="B482" s="224"/>
      <c r="C482" s="214">
        <v>4000000.0</v>
      </c>
      <c r="D482" s="215">
        <v>2024.0</v>
      </c>
      <c r="E482" s="216">
        <v>45346.0</v>
      </c>
      <c r="F482" s="227" t="s">
        <v>106</v>
      </c>
      <c r="G482" s="26" t="s">
        <v>58</v>
      </c>
      <c r="H482" s="215" t="s">
        <v>23</v>
      </c>
      <c r="I482" s="215"/>
      <c r="J482" s="215">
        <v>2.0</v>
      </c>
      <c r="K482" s="218"/>
      <c r="L482" s="219"/>
      <c r="M482" s="244" t="s">
        <v>85</v>
      </c>
      <c r="N482" s="221" t="s">
        <v>107</v>
      </c>
      <c r="O482" s="223"/>
      <c r="P482" s="223">
        <v>503.0</v>
      </c>
      <c r="Q482" s="215"/>
      <c r="R482" s="224"/>
      <c r="S482" s="224"/>
      <c r="T482" s="224"/>
      <c r="U482" s="224"/>
      <c r="V482" s="224"/>
      <c r="W482" s="224"/>
      <c r="X482" s="224"/>
      <c r="Y482" s="224"/>
      <c r="Z482" s="224"/>
    </row>
    <row r="483">
      <c r="A483" s="141" t="s">
        <v>1071</v>
      </c>
      <c r="B483" s="120"/>
      <c r="C483" s="133">
        <v>3000000.0</v>
      </c>
      <c r="D483" s="26">
        <v>2017.0</v>
      </c>
      <c r="E483" s="134">
        <v>42979.0</v>
      </c>
      <c r="F483" s="105" t="s">
        <v>1072</v>
      </c>
      <c r="G483" s="120" t="s">
        <v>28</v>
      </c>
      <c r="H483" s="120" t="s">
        <v>23</v>
      </c>
      <c r="I483" s="120"/>
      <c r="J483" s="150">
        <v>4.0</v>
      </c>
      <c r="K483" s="57"/>
      <c r="L483" s="120"/>
      <c r="M483" s="120" t="s">
        <v>1073</v>
      </c>
      <c r="N483" s="122" t="s">
        <v>1074</v>
      </c>
      <c r="O483" s="117"/>
      <c r="P483" s="32">
        <v>235.0</v>
      </c>
      <c r="Q483" s="32"/>
      <c r="R483" s="32"/>
      <c r="S483" s="32"/>
      <c r="T483" s="32"/>
      <c r="U483" s="32"/>
      <c r="V483" s="32"/>
      <c r="W483" s="32"/>
      <c r="X483" s="32"/>
      <c r="Y483" s="32"/>
      <c r="Z483" s="32"/>
    </row>
    <row r="484">
      <c r="A484" s="118" t="s">
        <v>937</v>
      </c>
      <c r="B484" s="112" t="s">
        <v>938</v>
      </c>
      <c r="C484" s="119">
        <v>934000.0</v>
      </c>
      <c r="D484" s="139">
        <v>2018.0</v>
      </c>
      <c r="E484" s="101">
        <v>43221.0</v>
      </c>
      <c r="F484" s="34" t="s">
        <v>939</v>
      </c>
      <c r="G484" s="127" t="s">
        <v>22</v>
      </c>
      <c r="H484" s="105" t="s">
        <v>142</v>
      </c>
      <c r="I484" s="128"/>
      <c r="J484" s="150">
        <v>4.0</v>
      </c>
      <c r="K484" s="57"/>
      <c r="L484" s="120"/>
      <c r="M484" s="53" t="s">
        <v>940</v>
      </c>
      <c r="N484" s="121" t="s">
        <v>941</v>
      </c>
      <c r="O484" s="117"/>
      <c r="P484" s="32">
        <v>270.0</v>
      </c>
      <c r="Q484" s="32"/>
      <c r="R484" s="32"/>
      <c r="S484" s="32"/>
      <c r="T484" s="32"/>
      <c r="U484" s="32"/>
      <c r="V484" s="32"/>
      <c r="W484" s="32"/>
      <c r="X484" s="32"/>
      <c r="Y484" s="32"/>
      <c r="Z484" s="32"/>
    </row>
    <row r="485">
      <c r="A485" s="20" t="s">
        <v>661</v>
      </c>
      <c r="B485" s="51"/>
      <c r="C485" s="22">
        <v>900000.0</v>
      </c>
      <c r="D485" s="26">
        <v>2020.0</v>
      </c>
      <c r="E485" s="101">
        <v>43891.0</v>
      </c>
      <c r="F485" s="26" t="s">
        <v>662</v>
      </c>
      <c r="G485" s="26" t="s">
        <v>43</v>
      </c>
      <c r="H485" s="26" t="s">
        <v>51</v>
      </c>
      <c r="I485" s="28"/>
      <c r="J485" s="26">
        <v>1.0</v>
      </c>
      <c r="K485" s="27" t="s">
        <v>663</v>
      </c>
      <c r="L485" s="28"/>
      <c r="M485" s="34" t="s">
        <v>664</v>
      </c>
      <c r="N485" s="100" t="s">
        <v>665</v>
      </c>
      <c r="O485" s="31"/>
      <c r="P485" s="32">
        <v>352.0</v>
      </c>
      <c r="Q485" s="32"/>
      <c r="R485" s="32"/>
      <c r="S485" s="32"/>
      <c r="T485" s="32"/>
      <c r="U485" s="32"/>
      <c r="V485" s="32"/>
      <c r="W485" s="32"/>
      <c r="X485" s="32"/>
      <c r="Y485" s="32"/>
      <c r="Z485" s="32"/>
    </row>
    <row r="486">
      <c r="A486" s="165" t="s">
        <v>1845</v>
      </c>
      <c r="B486" s="28"/>
      <c r="C486" s="22">
        <v>531400.0</v>
      </c>
      <c r="D486" s="26">
        <v>2009.0</v>
      </c>
      <c r="E486" s="101">
        <v>39934.0</v>
      </c>
      <c r="F486" s="26" t="s">
        <v>1846</v>
      </c>
      <c r="G486" s="26" t="s">
        <v>258</v>
      </c>
      <c r="H486" s="130" t="s">
        <v>23</v>
      </c>
      <c r="I486" s="130" t="s">
        <v>29</v>
      </c>
      <c r="J486" s="26">
        <v>2.0</v>
      </c>
      <c r="K486" s="57"/>
      <c r="L486" s="28"/>
      <c r="M486" s="34" t="s">
        <v>1847</v>
      </c>
      <c r="N486" s="106" t="s">
        <v>1848</v>
      </c>
      <c r="O486" s="113"/>
      <c r="P486" s="32">
        <v>43.0</v>
      </c>
      <c r="Q486" s="32"/>
      <c r="R486" s="32"/>
      <c r="S486" s="32"/>
      <c r="T486" s="32"/>
      <c r="U486" s="32"/>
      <c r="V486" s="32"/>
      <c r="W486" s="32"/>
      <c r="X486" s="32"/>
      <c r="Y486" s="32"/>
      <c r="Z486" s="32"/>
    </row>
    <row r="487">
      <c r="A487" s="20" t="s">
        <v>963</v>
      </c>
      <c r="B487" s="26" t="s">
        <v>964</v>
      </c>
      <c r="C487" s="22">
        <v>16300.0</v>
      </c>
      <c r="D487" s="26">
        <v>2018.0</v>
      </c>
      <c r="E487" s="101">
        <v>43405.0</v>
      </c>
      <c r="F487" s="26" t="s">
        <v>965</v>
      </c>
      <c r="G487" s="26" t="s">
        <v>43</v>
      </c>
      <c r="H487" s="105" t="s">
        <v>23</v>
      </c>
      <c r="I487" s="28"/>
      <c r="J487" s="26">
        <v>4.0</v>
      </c>
      <c r="K487" s="27"/>
      <c r="L487" s="110"/>
      <c r="M487" s="26" t="s">
        <v>147</v>
      </c>
      <c r="N487" s="106" t="s">
        <v>966</v>
      </c>
      <c r="O487" s="113"/>
      <c r="P487" s="32">
        <v>263.0</v>
      </c>
      <c r="Q487" s="32"/>
      <c r="R487" s="32"/>
      <c r="S487" s="32"/>
      <c r="T487" s="32"/>
      <c r="U487" s="32"/>
      <c r="V487" s="32"/>
      <c r="W487" s="32"/>
      <c r="X487" s="32"/>
      <c r="Y487" s="32"/>
      <c r="Z487" s="32"/>
    </row>
    <row r="488">
      <c r="A488" s="20" t="s">
        <v>1158</v>
      </c>
      <c r="B488" s="111" t="s">
        <v>1159</v>
      </c>
      <c r="C488" s="22">
        <v>1.71E8</v>
      </c>
      <c r="D488" s="26">
        <v>2016.0</v>
      </c>
      <c r="E488" s="101">
        <v>42522.0</v>
      </c>
      <c r="F488" s="26" t="s">
        <v>1160</v>
      </c>
      <c r="G488" s="26" t="s">
        <v>28</v>
      </c>
      <c r="H488" s="26" t="s">
        <v>23</v>
      </c>
      <c r="I488" s="28"/>
      <c r="J488" s="26">
        <v>4.0</v>
      </c>
      <c r="K488" s="27" t="s">
        <v>517</v>
      </c>
      <c r="L488" s="28"/>
      <c r="M488" s="53" t="s">
        <v>886</v>
      </c>
      <c r="N488" s="106" t="s">
        <v>1161</v>
      </c>
      <c r="O488" s="113"/>
      <c r="P488" s="32">
        <v>214.0</v>
      </c>
      <c r="Q488" s="32"/>
      <c r="R488" s="32"/>
      <c r="S488" s="32"/>
      <c r="T488" s="32"/>
      <c r="U488" s="32"/>
      <c r="V488" s="32"/>
      <c r="W488" s="32"/>
      <c r="X488" s="32"/>
      <c r="Y488" s="32"/>
      <c r="Z488" s="32"/>
    </row>
    <row r="489">
      <c r="A489" s="114" t="s">
        <v>1512</v>
      </c>
      <c r="B489" s="53"/>
      <c r="C489" s="22">
        <v>2000000.0</v>
      </c>
      <c r="D489" s="26">
        <v>2013.0</v>
      </c>
      <c r="E489" s="101">
        <v>41518.0</v>
      </c>
      <c r="F489" s="34" t="s">
        <v>1513</v>
      </c>
      <c r="G489" s="115" t="s">
        <v>129</v>
      </c>
      <c r="H489" s="115" t="s">
        <v>59</v>
      </c>
      <c r="I489" s="115" t="s">
        <v>29</v>
      </c>
      <c r="J489" s="26">
        <v>3.0</v>
      </c>
      <c r="K489" s="57"/>
      <c r="L489" s="53"/>
      <c r="M489" s="120" t="s">
        <v>1382</v>
      </c>
      <c r="N489" s="135" t="s">
        <v>1514</v>
      </c>
      <c r="O489" s="19"/>
      <c r="P489" s="32">
        <v>126.0</v>
      </c>
      <c r="Q489" s="32"/>
      <c r="R489" s="32"/>
      <c r="S489" s="32"/>
      <c r="T489" s="32"/>
      <c r="U489" s="32"/>
      <c r="V489" s="32"/>
      <c r="W489" s="32"/>
      <c r="X489" s="32"/>
      <c r="Y489" s="32"/>
      <c r="Z489" s="32"/>
    </row>
    <row r="490">
      <c r="A490" s="20" t="s">
        <v>1250</v>
      </c>
      <c r="B490" s="26" t="s">
        <v>1251</v>
      </c>
      <c r="C490" s="22">
        <v>6400000.0</v>
      </c>
      <c r="D490" s="26">
        <v>2015.0</v>
      </c>
      <c r="E490" s="101">
        <v>42339.0</v>
      </c>
      <c r="F490" s="26" t="s">
        <v>1252</v>
      </c>
      <c r="G490" s="26" t="s">
        <v>28</v>
      </c>
      <c r="H490" s="26" t="s">
        <v>23</v>
      </c>
      <c r="I490" s="28"/>
      <c r="J490" s="26">
        <v>5.0</v>
      </c>
      <c r="K490" s="57"/>
      <c r="L490" s="28"/>
      <c r="M490" s="53" t="s">
        <v>325</v>
      </c>
      <c r="N490" s="106" t="s">
        <v>1253</v>
      </c>
      <c r="O490" s="106" t="s">
        <v>1254</v>
      </c>
      <c r="P490" s="32">
        <v>192.0</v>
      </c>
      <c r="Q490" s="32"/>
      <c r="R490" s="32"/>
      <c r="S490" s="32"/>
      <c r="T490" s="32"/>
      <c r="U490" s="32"/>
      <c r="V490" s="32"/>
      <c r="W490" s="32"/>
      <c r="X490" s="32"/>
      <c r="Y490" s="32"/>
      <c r="Z490" s="32"/>
    </row>
    <row r="491">
      <c r="A491" s="20" t="s">
        <v>541</v>
      </c>
      <c r="B491" s="98"/>
      <c r="C491" s="22">
        <v>3300000.0</v>
      </c>
      <c r="D491" s="26">
        <v>2021.0</v>
      </c>
      <c r="E491" s="91">
        <v>44348.0</v>
      </c>
      <c r="F491" s="67" t="s">
        <v>542</v>
      </c>
      <c r="G491" s="26" t="s">
        <v>22</v>
      </c>
      <c r="H491" s="26" t="s">
        <v>23</v>
      </c>
      <c r="I491" s="26"/>
      <c r="J491" s="26">
        <v>2.0</v>
      </c>
      <c r="K491" s="27"/>
      <c r="L491" s="28"/>
      <c r="M491" s="34" t="s">
        <v>286</v>
      </c>
      <c r="N491" s="92" t="s">
        <v>543</v>
      </c>
      <c r="O491" s="31"/>
      <c r="P491" s="32">
        <v>384.0</v>
      </c>
      <c r="Q491" s="32"/>
      <c r="R491" s="32"/>
      <c r="S491" s="32"/>
      <c r="T491" s="32"/>
      <c r="U491" s="32"/>
      <c r="V491" s="32"/>
      <c r="W491" s="32"/>
      <c r="X491" s="32"/>
      <c r="Y491" s="32"/>
      <c r="Z491" s="32"/>
    </row>
    <row r="492">
      <c r="A492" s="165" t="s">
        <v>710</v>
      </c>
      <c r="B492" s="28"/>
      <c r="C492" s="22">
        <v>1270000.0</v>
      </c>
      <c r="D492" s="26">
        <v>2011.0</v>
      </c>
      <c r="E492" s="101">
        <v>40725.0</v>
      </c>
      <c r="F492" s="26" t="s">
        <v>1704</v>
      </c>
      <c r="G492" s="26" t="s">
        <v>38</v>
      </c>
      <c r="H492" s="130" t="s">
        <v>23</v>
      </c>
      <c r="I492" s="28"/>
      <c r="J492" s="26">
        <v>2.0</v>
      </c>
      <c r="K492" s="57"/>
      <c r="L492" s="28"/>
      <c r="M492" s="34" t="s">
        <v>629</v>
      </c>
      <c r="N492" s="106" t="s">
        <v>1705</v>
      </c>
      <c r="O492" s="113"/>
      <c r="P492" s="32">
        <v>77.0</v>
      </c>
      <c r="Q492" s="32"/>
      <c r="R492" s="32"/>
      <c r="S492" s="32"/>
      <c r="T492" s="32"/>
      <c r="U492" s="32"/>
      <c r="V492" s="32"/>
      <c r="W492" s="32"/>
      <c r="X492" s="32"/>
      <c r="Y492" s="32"/>
      <c r="Z492" s="32"/>
    </row>
    <row r="493">
      <c r="A493" s="165" t="s">
        <v>1497</v>
      </c>
      <c r="B493" s="130" t="s">
        <v>1498</v>
      </c>
      <c r="C493" s="22">
        <v>160000.0</v>
      </c>
      <c r="D493" s="26">
        <v>2013.0</v>
      </c>
      <c r="E493" s="101">
        <v>41395.0</v>
      </c>
      <c r="F493" s="26" t="s">
        <v>1499</v>
      </c>
      <c r="G493" s="130" t="s">
        <v>64</v>
      </c>
      <c r="H493" s="130" t="s">
        <v>23</v>
      </c>
      <c r="I493" s="28"/>
      <c r="J493" s="26">
        <v>2.0</v>
      </c>
      <c r="K493" s="57"/>
      <c r="L493" s="28"/>
      <c r="M493" s="34" t="s">
        <v>1500</v>
      </c>
      <c r="N493" s="106" t="s">
        <v>1501</v>
      </c>
      <c r="O493" s="166" t="s">
        <v>1502</v>
      </c>
      <c r="P493" s="32">
        <v>129.0</v>
      </c>
      <c r="Q493" s="32"/>
      <c r="R493" s="32"/>
      <c r="S493" s="32"/>
      <c r="T493" s="32"/>
      <c r="U493" s="32"/>
      <c r="V493" s="32"/>
      <c r="W493" s="32"/>
      <c r="X493" s="32"/>
      <c r="Y493" s="32"/>
      <c r="Z493" s="32"/>
    </row>
    <row r="494">
      <c r="A494" s="62" t="s">
        <v>443</v>
      </c>
      <c r="B494" s="63"/>
      <c r="C494" s="64">
        <v>257000.0</v>
      </c>
      <c r="D494" s="68">
        <v>2022.0</v>
      </c>
      <c r="E494" s="66">
        <v>44593.0</v>
      </c>
      <c r="F494" s="81" t="s">
        <v>444</v>
      </c>
      <c r="G494" s="68" t="s">
        <v>64</v>
      </c>
      <c r="H494" s="68" t="s">
        <v>23</v>
      </c>
      <c r="I494" s="68"/>
      <c r="J494" s="68">
        <v>3.0</v>
      </c>
      <c r="K494" s="69"/>
      <c r="L494" s="70"/>
      <c r="M494" s="71" t="s">
        <v>445</v>
      </c>
      <c r="N494" s="82" t="s">
        <v>446</v>
      </c>
      <c r="O494" s="73"/>
      <c r="P494" s="74">
        <v>412.0</v>
      </c>
      <c r="Q494" s="74"/>
      <c r="R494" s="74"/>
      <c r="S494" s="74"/>
      <c r="T494" s="74"/>
      <c r="U494" s="74"/>
      <c r="V494" s="74"/>
      <c r="W494" s="74"/>
      <c r="X494" s="74"/>
      <c r="Y494" s="74"/>
      <c r="Z494" s="74"/>
    </row>
    <row r="495">
      <c r="A495" s="20" t="s">
        <v>1023</v>
      </c>
      <c r="B495" s="26" t="s">
        <v>1024</v>
      </c>
      <c r="C495" s="22">
        <v>1000000.0</v>
      </c>
      <c r="D495" s="26">
        <v>2017.0</v>
      </c>
      <c r="E495" s="101">
        <v>42736.0</v>
      </c>
      <c r="F495" s="26" t="s">
        <v>1025</v>
      </c>
      <c r="G495" s="26" t="s">
        <v>28</v>
      </c>
      <c r="H495" s="26" t="s">
        <v>51</v>
      </c>
      <c r="I495" s="28"/>
      <c r="J495" s="26">
        <v>3.0</v>
      </c>
      <c r="K495" s="57"/>
      <c r="L495" s="28"/>
      <c r="M495" s="53" t="s">
        <v>1026</v>
      </c>
      <c r="N495" s="106" t="s">
        <v>1027</v>
      </c>
      <c r="O495" s="113"/>
      <c r="P495" s="32">
        <v>247.0</v>
      </c>
      <c r="Q495" s="32"/>
      <c r="R495" s="32"/>
      <c r="S495" s="32"/>
      <c r="T495" s="32"/>
      <c r="U495" s="32"/>
      <c r="V495" s="32"/>
      <c r="W495" s="32"/>
      <c r="X495" s="32"/>
      <c r="Y495" s="32"/>
      <c r="Z495" s="32"/>
    </row>
    <row r="496">
      <c r="A496" s="20" t="s">
        <v>698</v>
      </c>
      <c r="B496" s="98" t="s">
        <v>699</v>
      </c>
      <c r="C496" s="22">
        <v>3.0E7</v>
      </c>
      <c r="D496" s="26">
        <v>2019.0</v>
      </c>
      <c r="E496" s="101">
        <v>43800.0</v>
      </c>
      <c r="F496" s="26" t="s">
        <v>700</v>
      </c>
      <c r="G496" s="26" t="s">
        <v>43</v>
      </c>
      <c r="H496" s="26" t="s">
        <v>23</v>
      </c>
      <c r="I496" s="28"/>
      <c r="J496" s="26">
        <v>3.0</v>
      </c>
      <c r="K496" s="27" t="s">
        <v>701</v>
      </c>
      <c r="L496" s="28"/>
      <c r="M496" s="34" t="s">
        <v>702</v>
      </c>
      <c r="N496" s="100" t="s">
        <v>703</v>
      </c>
      <c r="O496" s="31"/>
      <c r="P496" s="32">
        <v>344.0</v>
      </c>
      <c r="Q496" s="32"/>
      <c r="R496" s="32"/>
      <c r="S496" s="32"/>
      <c r="T496" s="32"/>
      <c r="U496" s="32"/>
      <c r="V496" s="32"/>
      <c r="W496" s="32"/>
      <c r="X496" s="32"/>
      <c r="Y496" s="32"/>
      <c r="Z496" s="32"/>
    </row>
    <row r="497">
      <c r="A497" s="20" t="s">
        <v>181</v>
      </c>
      <c r="B497" s="21"/>
      <c r="C497" s="22" t="s">
        <v>182</v>
      </c>
      <c r="D497" s="26">
        <v>2023.0</v>
      </c>
      <c r="E497" s="24">
        <v>45034.0</v>
      </c>
      <c r="F497" s="38" t="s">
        <v>183</v>
      </c>
      <c r="G497" s="26" t="s">
        <v>50</v>
      </c>
      <c r="H497" s="26" t="s">
        <v>23</v>
      </c>
      <c r="I497" s="26"/>
      <c r="J497" s="26">
        <v>2.0</v>
      </c>
      <c r="K497" s="27"/>
      <c r="L497" s="28"/>
      <c r="M497" s="34" t="s">
        <v>85</v>
      </c>
      <c r="N497" s="30" t="s">
        <v>184</v>
      </c>
      <c r="O497" s="31"/>
      <c r="P497" s="32">
        <v>480.0</v>
      </c>
      <c r="Q497" s="26"/>
      <c r="R497" s="21"/>
      <c r="S497" s="21"/>
      <c r="T497" s="21"/>
      <c r="U497" s="21"/>
      <c r="V497" s="21"/>
      <c r="W497" s="21"/>
      <c r="X497" s="21"/>
      <c r="Y497" s="21"/>
      <c r="Z497" s="21"/>
    </row>
    <row r="498">
      <c r="A498" s="20" t="s">
        <v>1191</v>
      </c>
      <c r="B498" s="26"/>
      <c r="C498" s="22">
        <v>4.3E7</v>
      </c>
      <c r="D498" s="26">
        <v>2016.0</v>
      </c>
      <c r="E498" s="101">
        <v>42644.0</v>
      </c>
      <c r="F498" s="26" t="s">
        <v>1192</v>
      </c>
      <c r="G498" s="26" t="s">
        <v>28</v>
      </c>
      <c r="H498" s="26" t="s">
        <v>23</v>
      </c>
      <c r="I498" s="28"/>
      <c r="J498" s="26">
        <v>4.0</v>
      </c>
      <c r="K498" s="57"/>
      <c r="L498" s="28"/>
      <c r="M498" s="53" t="s">
        <v>34</v>
      </c>
      <c r="N498" s="106" t="s">
        <v>1193</v>
      </c>
      <c r="O498" s="113"/>
      <c r="P498" s="32">
        <v>206.0</v>
      </c>
      <c r="Q498" s="32"/>
      <c r="R498" s="32"/>
      <c r="S498" s="32"/>
      <c r="T498" s="32"/>
      <c r="U498" s="32"/>
      <c r="V498" s="32"/>
      <c r="W498" s="32"/>
      <c r="X498" s="32"/>
      <c r="Y498" s="32"/>
      <c r="Z498" s="32"/>
    </row>
    <row r="499">
      <c r="A499" s="20" t="s">
        <v>256</v>
      </c>
      <c r="B499" s="47"/>
      <c r="C499" s="22">
        <v>8500000.0</v>
      </c>
      <c r="D499" s="26">
        <v>2023.0</v>
      </c>
      <c r="E499" s="24">
        <v>45253.0</v>
      </c>
      <c r="F499" s="25" t="s">
        <v>257</v>
      </c>
      <c r="G499" s="26" t="s">
        <v>258</v>
      </c>
      <c r="H499" s="26" t="s">
        <v>23</v>
      </c>
      <c r="I499" s="26"/>
      <c r="J499" s="26">
        <v>4.0</v>
      </c>
      <c r="K499" s="27"/>
      <c r="L499" s="28"/>
      <c r="M499" s="34" t="s">
        <v>85</v>
      </c>
      <c r="N499" s="48" t="s">
        <v>259</v>
      </c>
      <c r="O499" s="31"/>
      <c r="P499" s="32">
        <v>461.0</v>
      </c>
      <c r="Q499" s="34"/>
      <c r="R499" s="32"/>
      <c r="S499" s="32"/>
      <c r="T499" s="32"/>
      <c r="U499" s="32"/>
      <c r="V499" s="32"/>
      <c r="W499" s="32"/>
      <c r="X499" s="32"/>
      <c r="Y499" s="32"/>
      <c r="Z499" s="32"/>
    </row>
    <row r="500">
      <c r="A500" s="20" t="s">
        <v>1138</v>
      </c>
      <c r="B500" s="111" t="s">
        <v>1139</v>
      </c>
      <c r="C500" s="22">
        <v>1025.0</v>
      </c>
      <c r="D500" s="26">
        <v>2016.0</v>
      </c>
      <c r="E500" s="101">
        <v>42552.0</v>
      </c>
      <c r="F500" s="26" t="s">
        <v>1140</v>
      </c>
      <c r="G500" s="26" t="s">
        <v>43</v>
      </c>
      <c r="H500" s="26" t="s">
        <v>23</v>
      </c>
      <c r="I500" s="26" t="s">
        <v>29</v>
      </c>
      <c r="J500" s="26">
        <v>3.0</v>
      </c>
      <c r="K500" s="57"/>
      <c r="L500" s="28"/>
      <c r="M500" s="34" t="s">
        <v>278</v>
      </c>
      <c r="N500" s="106" t="s">
        <v>1141</v>
      </c>
      <c r="O500" s="113"/>
      <c r="P500" s="32">
        <v>219.0</v>
      </c>
      <c r="Q500" s="32"/>
      <c r="R500" s="32"/>
      <c r="S500" s="32"/>
      <c r="T500" s="32"/>
      <c r="U500" s="32"/>
      <c r="V500" s="32"/>
      <c r="W500" s="32"/>
      <c r="X500" s="32"/>
      <c r="Y500" s="32"/>
      <c r="Z500" s="32"/>
    </row>
    <row r="501">
      <c r="A501" s="20" t="s">
        <v>241</v>
      </c>
      <c r="B501" s="21"/>
      <c r="C501" s="22">
        <v>7500.0</v>
      </c>
      <c r="D501" s="26">
        <v>2023.0</v>
      </c>
      <c r="E501" s="24">
        <v>45429.0</v>
      </c>
      <c r="F501" s="38" t="s">
        <v>242</v>
      </c>
      <c r="G501" s="26" t="s">
        <v>110</v>
      </c>
      <c r="H501" s="26" t="s">
        <v>23</v>
      </c>
      <c r="I501" s="26"/>
      <c r="J501" s="26">
        <v>1.0</v>
      </c>
      <c r="K501" s="27"/>
      <c r="L501" s="28"/>
      <c r="M501" s="34" t="s">
        <v>85</v>
      </c>
      <c r="N501" s="35" t="s">
        <v>243</v>
      </c>
      <c r="O501" s="31"/>
      <c r="P501" s="32">
        <v>465.0</v>
      </c>
      <c r="Q501" s="26"/>
      <c r="R501" s="21"/>
      <c r="S501" s="21"/>
      <c r="T501" s="21"/>
      <c r="U501" s="21"/>
      <c r="V501" s="21"/>
      <c r="W501" s="21"/>
      <c r="X501" s="21"/>
      <c r="Y501" s="21"/>
      <c r="Z501" s="21"/>
    </row>
    <row r="502">
      <c r="A502" s="103" t="s">
        <v>753</v>
      </c>
      <c r="B502" s="104"/>
      <c r="C502" s="22">
        <v>1.8E7</v>
      </c>
      <c r="D502" s="26">
        <v>2019.0</v>
      </c>
      <c r="E502" s="101">
        <v>43497.0</v>
      </c>
      <c r="F502" s="26" t="s">
        <v>745</v>
      </c>
      <c r="G502" s="26" t="s">
        <v>28</v>
      </c>
      <c r="H502" s="26" t="s">
        <v>23</v>
      </c>
      <c r="I502" s="28"/>
      <c r="J502" s="26">
        <v>1.0</v>
      </c>
      <c r="K502" s="27" t="str">
        <f t="shared" ref="K502:K503" si="4">IF(C502&gt;100000000,C502,"")</f>
        <v/>
      </c>
      <c r="L502" s="28"/>
      <c r="M502" s="105" t="s">
        <v>227</v>
      </c>
      <c r="N502" s="106" t="s">
        <v>747</v>
      </c>
      <c r="O502" s="109"/>
      <c r="P502" s="32">
        <v>326.0</v>
      </c>
      <c r="Q502" s="32"/>
      <c r="R502" s="32"/>
      <c r="S502" s="32"/>
      <c r="T502" s="32"/>
      <c r="U502" s="32"/>
      <c r="V502" s="32"/>
      <c r="W502" s="32"/>
      <c r="X502" s="32"/>
      <c r="Y502" s="32"/>
      <c r="Z502" s="32"/>
    </row>
    <row r="503">
      <c r="A503" s="103" t="s">
        <v>727</v>
      </c>
      <c r="B503" s="104" t="s">
        <v>728</v>
      </c>
      <c r="C503" s="22">
        <v>2000000.0</v>
      </c>
      <c r="D503" s="26">
        <v>2019.0</v>
      </c>
      <c r="E503" s="101">
        <v>43556.0</v>
      </c>
      <c r="F503" s="26" t="s">
        <v>729</v>
      </c>
      <c r="G503" s="26" t="s">
        <v>28</v>
      </c>
      <c r="H503" s="26" t="s">
        <v>51</v>
      </c>
      <c r="I503" s="26"/>
      <c r="J503" s="26">
        <v>1.0</v>
      </c>
      <c r="K503" s="27" t="str">
        <f t="shared" si="4"/>
        <v/>
      </c>
      <c r="L503" s="28"/>
      <c r="M503" s="105" t="s">
        <v>725</v>
      </c>
      <c r="N503" s="106" t="s">
        <v>730</v>
      </c>
      <c r="O503" s="107"/>
      <c r="P503" s="32">
        <v>336.0</v>
      </c>
      <c r="Q503" s="32"/>
      <c r="R503" s="32"/>
      <c r="S503" s="32"/>
      <c r="T503" s="32"/>
      <c r="U503" s="32"/>
      <c r="V503" s="32"/>
      <c r="W503" s="32"/>
      <c r="X503" s="32"/>
      <c r="Y503" s="32"/>
      <c r="Z503" s="32"/>
    </row>
    <row r="504">
      <c r="A504" s="226" t="s">
        <v>121</v>
      </c>
      <c r="B504" s="213"/>
      <c r="C504" s="214">
        <v>918500.0</v>
      </c>
      <c r="D504" s="215">
        <v>2022.0</v>
      </c>
      <c r="E504" s="216">
        <v>44703.0</v>
      </c>
      <c r="F504" s="227" t="s">
        <v>122</v>
      </c>
      <c r="G504" s="215" t="s">
        <v>28</v>
      </c>
      <c r="H504" s="215" t="s">
        <v>23</v>
      </c>
      <c r="I504" s="215"/>
      <c r="J504" s="215">
        <v>2.0</v>
      </c>
      <c r="K504" s="218"/>
      <c r="L504" s="219"/>
      <c r="M504" s="220" t="s">
        <v>72</v>
      </c>
      <c r="N504" s="221" t="s">
        <v>123</v>
      </c>
      <c r="O504" s="223"/>
      <c r="P504" s="223">
        <v>498.0</v>
      </c>
      <c r="Q504" s="215"/>
      <c r="R504" s="224"/>
      <c r="S504" s="224"/>
      <c r="T504" s="224"/>
      <c r="U504" s="224"/>
      <c r="V504" s="224"/>
      <c r="W504" s="224"/>
      <c r="X504" s="224"/>
      <c r="Y504" s="224"/>
      <c r="Z504" s="224"/>
    </row>
    <row r="505">
      <c r="A505" s="20" t="s">
        <v>1003</v>
      </c>
      <c r="B505" s="26"/>
      <c r="C505" s="22">
        <v>270000.0</v>
      </c>
      <c r="D505" s="26">
        <v>2017.0</v>
      </c>
      <c r="E505" s="101">
        <v>42826.0</v>
      </c>
      <c r="F505" s="26" t="s">
        <v>1004</v>
      </c>
      <c r="G505" s="26" t="s">
        <v>58</v>
      </c>
      <c r="H505" s="26" t="s">
        <v>23</v>
      </c>
      <c r="I505" s="28"/>
      <c r="J505" s="26">
        <v>4.0</v>
      </c>
      <c r="K505" s="57"/>
      <c r="L505" s="28"/>
      <c r="M505" s="53" t="s">
        <v>325</v>
      </c>
      <c r="N505" s="106" t="s">
        <v>1005</v>
      </c>
      <c r="O505" s="113"/>
      <c r="P505" s="32">
        <v>253.0</v>
      </c>
      <c r="Q505" s="32"/>
      <c r="R505" s="32"/>
      <c r="S505" s="32"/>
      <c r="T505" s="32"/>
      <c r="U505" s="32"/>
      <c r="V505" s="32"/>
      <c r="W505" s="32"/>
      <c r="X505" s="32"/>
      <c r="Y505" s="32"/>
      <c r="Z505" s="32"/>
    </row>
    <row r="506">
      <c r="A506" s="20" t="s">
        <v>1149</v>
      </c>
      <c r="B506" s="111" t="s">
        <v>1150</v>
      </c>
      <c r="C506" s="22">
        <v>2200000.0</v>
      </c>
      <c r="D506" s="26">
        <v>2016.0</v>
      </c>
      <c r="E506" s="101">
        <v>42522.0</v>
      </c>
      <c r="F506" s="26" t="s">
        <v>1151</v>
      </c>
      <c r="G506" s="26" t="s">
        <v>38</v>
      </c>
      <c r="H506" s="26" t="s">
        <v>51</v>
      </c>
      <c r="I506" s="28"/>
      <c r="J506" s="26">
        <v>3.0</v>
      </c>
      <c r="K506" s="57"/>
      <c r="L506" s="28"/>
      <c r="M506" s="53" t="s">
        <v>1152</v>
      </c>
      <c r="N506" s="106" t="s">
        <v>1153</v>
      </c>
      <c r="O506" s="113"/>
      <c r="P506" s="32">
        <v>216.0</v>
      </c>
      <c r="Q506" s="32"/>
      <c r="R506" s="32"/>
      <c r="S506" s="32"/>
      <c r="T506" s="32"/>
      <c r="U506" s="32"/>
      <c r="V506" s="32"/>
      <c r="W506" s="32"/>
      <c r="X506" s="32"/>
      <c r="Y506" s="32"/>
      <c r="Z506" s="32"/>
    </row>
    <row r="507">
      <c r="A507" s="185" t="s">
        <v>1686</v>
      </c>
      <c r="B507" s="130" t="s">
        <v>1687</v>
      </c>
      <c r="C507" s="22">
        <v>62000.0</v>
      </c>
      <c r="D507" s="26">
        <v>2011.0</v>
      </c>
      <c r="E507" s="101">
        <v>40695.0</v>
      </c>
      <c r="F507" s="26" t="s">
        <v>1688</v>
      </c>
      <c r="G507" s="130" t="s">
        <v>28</v>
      </c>
      <c r="H507" s="130" t="s">
        <v>23</v>
      </c>
      <c r="I507" s="28"/>
      <c r="J507" s="130">
        <v>1.0</v>
      </c>
      <c r="K507" s="57"/>
      <c r="L507" s="28"/>
      <c r="M507" s="120" t="s">
        <v>629</v>
      </c>
      <c r="N507" s="135" t="s">
        <v>1689</v>
      </c>
      <c r="O507" s="113"/>
      <c r="P507" s="32">
        <v>83.0</v>
      </c>
      <c r="Q507" s="32"/>
      <c r="R507" s="32"/>
      <c r="S507" s="32"/>
      <c r="T507" s="32"/>
      <c r="U507" s="32"/>
      <c r="V507" s="32"/>
      <c r="W507" s="32"/>
      <c r="X507" s="32"/>
      <c r="Y507" s="32"/>
      <c r="Z507" s="32"/>
    </row>
    <row r="508">
      <c r="A508" s="20" t="s">
        <v>292</v>
      </c>
      <c r="B508" s="51"/>
      <c r="C508" s="22">
        <v>2.0E8</v>
      </c>
      <c r="D508" s="26">
        <v>2023.0</v>
      </c>
      <c r="E508" s="24">
        <v>44927.0</v>
      </c>
      <c r="F508" s="38" t="s">
        <v>293</v>
      </c>
      <c r="G508" s="26" t="s">
        <v>28</v>
      </c>
      <c r="H508" s="26" t="s">
        <v>51</v>
      </c>
      <c r="I508" s="28"/>
      <c r="J508" s="26">
        <v>1.0</v>
      </c>
      <c r="K508" s="27" t="s">
        <v>294</v>
      </c>
      <c r="L508" s="28"/>
      <c r="M508" s="34" t="s">
        <v>295</v>
      </c>
      <c r="N508" s="35" t="s">
        <v>296</v>
      </c>
      <c r="O508" s="31"/>
      <c r="P508" s="32">
        <v>451.0</v>
      </c>
      <c r="Q508" s="26"/>
      <c r="R508" s="21"/>
      <c r="S508" s="21"/>
      <c r="T508" s="21"/>
      <c r="U508" s="21"/>
      <c r="V508" s="21"/>
      <c r="W508" s="21"/>
      <c r="X508" s="21"/>
      <c r="Y508" s="21"/>
      <c r="Z508" s="21"/>
    </row>
    <row r="509">
      <c r="A509" s="20" t="s">
        <v>269</v>
      </c>
      <c r="B509" s="47"/>
      <c r="C509" s="22">
        <v>3.6E7</v>
      </c>
      <c r="D509" s="26">
        <v>2023.0</v>
      </c>
      <c r="E509" s="24">
        <v>45222.0</v>
      </c>
      <c r="F509" s="38" t="s">
        <v>270</v>
      </c>
      <c r="G509" s="26" t="s">
        <v>129</v>
      </c>
      <c r="H509" s="26" t="s">
        <v>23</v>
      </c>
      <c r="I509" s="26"/>
      <c r="J509" s="26">
        <v>2.0</v>
      </c>
      <c r="K509" s="27"/>
      <c r="L509" s="28"/>
      <c r="M509" s="34" t="s">
        <v>34</v>
      </c>
      <c r="N509" s="48" t="s">
        <v>271</v>
      </c>
      <c r="O509" s="31"/>
      <c r="P509" s="32">
        <v>457.0</v>
      </c>
      <c r="Q509" s="34"/>
      <c r="R509" s="32"/>
      <c r="S509" s="32"/>
      <c r="T509" s="32"/>
      <c r="U509" s="32"/>
      <c r="V509" s="32"/>
      <c r="W509" s="32"/>
      <c r="X509" s="32"/>
      <c r="Y509" s="32"/>
      <c r="Z509" s="32"/>
    </row>
    <row r="510">
      <c r="A510" s="20" t="s">
        <v>996</v>
      </c>
      <c r="B510" s="26"/>
      <c r="C510" s="22">
        <v>3.2E7</v>
      </c>
      <c r="D510" s="26">
        <v>2017.0</v>
      </c>
      <c r="E510" s="101">
        <v>42795.0</v>
      </c>
      <c r="F510" s="26" t="s">
        <v>997</v>
      </c>
      <c r="G510" s="26" t="s">
        <v>28</v>
      </c>
      <c r="H510" s="26" t="s">
        <v>23</v>
      </c>
      <c r="I510" s="28"/>
      <c r="J510" s="26">
        <v>4.0</v>
      </c>
      <c r="K510" s="57"/>
      <c r="L510" s="28"/>
      <c r="M510" s="53" t="s">
        <v>998</v>
      </c>
      <c r="N510" s="106" t="s">
        <v>999</v>
      </c>
      <c r="O510" s="113"/>
      <c r="P510" s="32">
        <v>255.0</v>
      </c>
      <c r="Q510" s="32"/>
      <c r="R510" s="32"/>
      <c r="S510" s="32"/>
      <c r="T510" s="32"/>
      <c r="U510" s="32"/>
      <c r="V510" s="32"/>
      <c r="W510" s="32"/>
      <c r="X510" s="32"/>
      <c r="Y510" s="32"/>
      <c r="Z510" s="32"/>
    </row>
    <row r="511">
      <c r="A511" s="20" t="s">
        <v>996</v>
      </c>
      <c r="B511" s="111"/>
      <c r="C511" s="22">
        <v>5.0E8</v>
      </c>
      <c r="D511" s="26">
        <v>2016.0</v>
      </c>
      <c r="E511" s="101">
        <v>42614.0</v>
      </c>
      <c r="F511" s="26" t="s">
        <v>1094</v>
      </c>
      <c r="G511" s="26" t="s">
        <v>28</v>
      </c>
      <c r="H511" s="26" t="s">
        <v>23</v>
      </c>
      <c r="I511" s="28"/>
      <c r="J511" s="26">
        <v>2.0</v>
      </c>
      <c r="K511" s="27" t="s">
        <v>1095</v>
      </c>
      <c r="L511" s="28"/>
      <c r="M511" s="34" t="s">
        <v>1096</v>
      </c>
      <c r="N511" s="106" t="s">
        <v>1097</v>
      </c>
      <c r="O511" s="109"/>
      <c r="P511" s="32">
        <v>230.0</v>
      </c>
      <c r="Q511" s="32"/>
      <c r="R511" s="32"/>
      <c r="S511" s="32"/>
      <c r="T511" s="32"/>
      <c r="U511" s="32"/>
      <c r="V511" s="32"/>
      <c r="W511" s="32"/>
      <c r="X511" s="32"/>
      <c r="Y511" s="32"/>
      <c r="Z511" s="32"/>
    </row>
    <row r="512">
      <c r="A512" s="20" t="s">
        <v>996</v>
      </c>
      <c r="B512" s="26"/>
      <c r="C512" s="22">
        <v>5.5E8</v>
      </c>
      <c r="D512" s="26">
        <v>2013.0</v>
      </c>
      <c r="E512" s="101">
        <v>42705.0</v>
      </c>
      <c r="F512" s="26" t="s">
        <v>1421</v>
      </c>
      <c r="G512" s="26" t="s">
        <v>28</v>
      </c>
      <c r="H512" s="26" t="s">
        <v>23</v>
      </c>
      <c r="I512" s="28"/>
      <c r="J512" s="26">
        <v>2.0</v>
      </c>
      <c r="K512" s="27" t="s">
        <v>1422</v>
      </c>
      <c r="L512" s="28"/>
      <c r="M512" s="34" t="s">
        <v>1423</v>
      </c>
      <c r="N512" s="106" t="s">
        <v>1424</v>
      </c>
      <c r="O512" s="180" t="s">
        <v>1425</v>
      </c>
      <c r="P512" s="32">
        <v>150.0</v>
      </c>
      <c r="Q512" s="32"/>
      <c r="R512" s="32"/>
      <c r="S512" s="32"/>
      <c r="T512" s="32"/>
      <c r="U512" s="32"/>
      <c r="V512" s="32"/>
      <c r="W512" s="32"/>
      <c r="X512" s="32"/>
      <c r="Y512" s="32"/>
      <c r="Z512" s="32"/>
    </row>
    <row r="513">
      <c r="A513" s="165" t="s">
        <v>1485</v>
      </c>
      <c r="B513" s="28"/>
      <c r="C513" s="22">
        <v>2.2E7</v>
      </c>
      <c r="D513" s="26">
        <v>2013.0</v>
      </c>
      <c r="E513" s="101">
        <v>41395.0</v>
      </c>
      <c r="F513" s="26" t="s">
        <v>1486</v>
      </c>
      <c r="G513" s="130" t="s">
        <v>1227</v>
      </c>
      <c r="H513" s="130" t="s">
        <v>23</v>
      </c>
      <c r="I513" s="28"/>
      <c r="J513" s="130">
        <v>1.0</v>
      </c>
      <c r="K513" s="57"/>
      <c r="L513" s="28"/>
      <c r="M513" s="53" t="s">
        <v>286</v>
      </c>
      <c r="N513" s="106" t="s">
        <v>1487</v>
      </c>
      <c r="O513" s="113"/>
      <c r="P513" s="32">
        <v>132.0</v>
      </c>
      <c r="Q513" s="32"/>
      <c r="R513" s="32"/>
      <c r="S513" s="32"/>
      <c r="T513" s="32"/>
      <c r="U513" s="32"/>
      <c r="V513" s="32"/>
      <c r="W513" s="32"/>
      <c r="X513" s="32"/>
      <c r="Y513" s="32"/>
      <c r="Z513" s="32"/>
    </row>
    <row r="514">
      <c r="A514" s="165" t="s">
        <v>1589</v>
      </c>
      <c r="B514" s="28"/>
      <c r="C514" s="22">
        <v>450000.0</v>
      </c>
      <c r="D514" s="26">
        <v>2012.0</v>
      </c>
      <c r="E514" s="101">
        <v>41091.0</v>
      </c>
      <c r="F514" s="26" t="s">
        <v>1590</v>
      </c>
      <c r="G514" s="130" t="s">
        <v>1227</v>
      </c>
      <c r="H514" s="130" t="s">
        <v>23</v>
      </c>
      <c r="I514" s="28"/>
      <c r="J514" s="130">
        <v>1.0</v>
      </c>
      <c r="K514" s="57"/>
      <c r="L514" s="28"/>
      <c r="M514" s="53" t="s">
        <v>152</v>
      </c>
      <c r="N514" s="106" t="s">
        <v>1591</v>
      </c>
      <c r="O514" s="109"/>
      <c r="P514" s="32">
        <v>107.0</v>
      </c>
      <c r="Q514" s="32"/>
      <c r="R514" s="32"/>
      <c r="S514" s="32"/>
      <c r="T514" s="32"/>
      <c r="U514" s="32"/>
      <c r="V514" s="32"/>
      <c r="W514" s="32"/>
      <c r="X514" s="32"/>
      <c r="Y514" s="32"/>
      <c r="Z514" s="32"/>
    </row>
    <row r="515">
      <c r="A515" s="165" t="s">
        <v>1649</v>
      </c>
      <c r="B515" s="28"/>
      <c r="C515" s="22">
        <v>43000.0</v>
      </c>
      <c r="D515" s="26">
        <v>2011.0</v>
      </c>
      <c r="E515" s="101">
        <v>40756.0</v>
      </c>
      <c r="F515" s="26" t="s">
        <v>1650</v>
      </c>
      <c r="G515" s="26" t="s">
        <v>110</v>
      </c>
      <c r="H515" s="105" t="s">
        <v>142</v>
      </c>
      <c r="I515" s="28"/>
      <c r="J515" s="26">
        <v>2.0</v>
      </c>
      <c r="K515" s="57"/>
      <c r="L515" s="28"/>
      <c r="M515" s="34" t="s">
        <v>918</v>
      </c>
      <c r="N515" s="106" t="s">
        <v>1651</v>
      </c>
      <c r="O515" s="113"/>
      <c r="P515" s="32">
        <v>93.0</v>
      </c>
      <c r="Q515" s="32"/>
      <c r="R515" s="32"/>
      <c r="S515" s="32"/>
      <c r="T515" s="32"/>
      <c r="U515" s="32"/>
      <c r="V515" s="32"/>
      <c r="W515" s="32"/>
      <c r="X515" s="32"/>
      <c r="Y515" s="32"/>
      <c r="Z515" s="32"/>
    </row>
    <row r="516">
      <c r="A516" s="103" t="s">
        <v>763</v>
      </c>
      <c r="B516" s="104"/>
      <c r="C516" s="22">
        <v>4.0E7</v>
      </c>
      <c r="D516" s="26">
        <v>2019.0</v>
      </c>
      <c r="E516" s="101">
        <v>43497.0</v>
      </c>
      <c r="F516" s="26" t="s">
        <v>761</v>
      </c>
      <c r="G516" s="26" t="s">
        <v>28</v>
      </c>
      <c r="H516" s="26" t="s">
        <v>23</v>
      </c>
      <c r="I516" s="28"/>
      <c r="J516" s="26">
        <v>1.0</v>
      </c>
      <c r="K516" s="27" t="str">
        <f>IF(C516&gt;100000000,C516,"")</f>
        <v/>
      </c>
      <c r="L516" s="28"/>
      <c r="M516" s="105" t="s">
        <v>725</v>
      </c>
      <c r="N516" s="106" t="s">
        <v>762</v>
      </c>
      <c r="O516" s="109"/>
      <c r="P516" s="32">
        <v>318.0</v>
      </c>
      <c r="Q516" s="32"/>
      <c r="R516" s="32"/>
      <c r="S516" s="32"/>
      <c r="T516" s="32"/>
      <c r="U516" s="32"/>
      <c r="V516" s="32"/>
      <c r="W516" s="32"/>
      <c r="X516" s="32"/>
      <c r="Y516" s="32"/>
      <c r="Z516" s="32"/>
    </row>
    <row r="517">
      <c r="A517" s="20" t="s">
        <v>300</v>
      </c>
      <c r="B517" s="51"/>
      <c r="C517" s="22">
        <v>1.0E7</v>
      </c>
      <c r="D517" s="26">
        <v>2023.0</v>
      </c>
      <c r="E517" s="24">
        <v>44927.0</v>
      </c>
      <c r="F517" s="26" t="s">
        <v>301</v>
      </c>
      <c r="G517" s="26" t="s">
        <v>43</v>
      </c>
      <c r="H517" s="26" t="s">
        <v>23</v>
      </c>
      <c r="I517" s="26" t="s">
        <v>29</v>
      </c>
      <c r="J517" s="26">
        <v>2.0</v>
      </c>
      <c r="K517" s="27"/>
      <c r="L517" s="28"/>
      <c r="M517" s="34" t="s">
        <v>85</v>
      </c>
      <c r="N517" s="35" t="s">
        <v>302</v>
      </c>
      <c r="O517" s="31"/>
      <c r="P517" s="32">
        <v>449.0</v>
      </c>
      <c r="Q517" s="26"/>
      <c r="R517" s="21"/>
      <c r="S517" s="21"/>
      <c r="T517" s="21"/>
      <c r="U517" s="21"/>
      <c r="V517" s="21"/>
      <c r="W517" s="21"/>
      <c r="X517" s="21"/>
      <c r="Y517" s="21"/>
      <c r="Z517" s="21"/>
    </row>
    <row r="518">
      <c r="A518" s="165" t="s">
        <v>1576</v>
      </c>
      <c r="B518" s="28"/>
      <c r="C518" s="22">
        <v>2.4E7</v>
      </c>
      <c r="D518" s="26">
        <v>2012.0</v>
      </c>
      <c r="E518" s="101">
        <v>40909.0</v>
      </c>
      <c r="F518" s="111" t="s">
        <v>1577</v>
      </c>
      <c r="G518" s="130" t="s">
        <v>28</v>
      </c>
      <c r="H518" s="130" t="s">
        <v>23</v>
      </c>
      <c r="I518" s="28"/>
      <c r="J518" s="26">
        <v>2.0</v>
      </c>
      <c r="K518" s="57"/>
      <c r="L518" s="28"/>
      <c r="M518" s="53" t="s">
        <v>278</v>
      </c>
      <c r="N518" s="106" t="s">
        <v>1578</v>
      </c>
      <c r="O518" s="113"/>
      <c r="P518" s="32">
        <v>110.0</v>
      </c>
      <c r="Q518" s="32"/>
      <c r="R518" s="32"/>
      <c r="S518" s="32"/>
      <c r="T518" s="32"/>
      <c r="U518" s="32"/>
      <c r="V518" s="32"/>
      <c r="W518" s="32"/>
      <c r="X518" s="32"/>
      <c r="Y518" s="32"/>
      <c r="Z518" s="32"/>
    </row>
    <row r="519">
      <c r="A519" s="20" t="s">
        <v>623</v>
      </c>
      <c r="B519" s="51"/>
      <c r="C519" s="22">
        <v>2400000.0</v>
      </c>
      <c r="D519" s="26">
        <v>2020.0</v>
      </c>
      <c r="E519" s="101">
        <v>44075.0</v>
      </c>
      <c r="F519" s="26" t="s">
        <v>624</v>
      </c>
      <c r="G519" s="26" t="s">
        <v>38</v>
      </c>
      <c r="H519" s="26" t="s">
        <v>142</v>
      </c>
      <c r="I519" s="26" t="s">
        <v>29</v>
      </c>
      <c r="J519" s="26">
        <v>1.0</v>
      </c>
      <c r="K519" s="27"/>
      <c r="L519" s="28"/>
      <c r="M519" s="34" t="s">
        <v>325</v>
      </c>
      <c r="N519" s="100" t="s">
        <v>625</v>
      </c>
      <c r="O519" s="31"/>
      <c r="P519" s="32">
        <v>361.0</v>
      </c>
      <c r="Q519" s="32"/>
      <c r="R519" s="32"/>
      <c r="S519" s="32"/>
      <c r="T519" s="32"/>
      <c r="U519" s="32"/>
      <c r="V519" s="32"/>
      <c r="W519" s="32"/>
      <c r="X519" s="32"/>
      <c r="Y519" s="32"/>
      <c r="Z519" s="32"/>
    </row>
    <row r="520">
      <c r="A520" s="20" t="s">
        <v>1049</v>
      </c>
      <c r="B520" s="26" t="s">
        <v>1050</v>
      </c>
      <c r="C520" s="22">
        <v>1.7E7</v>
      </c>
      <c r="D520" s="26">
        <v>2017.0</v>
      </c>
      <c r="E520" s="101">
        <v>42856.0</v>
      </c>
      <c r="F520" s="26" t="s">
        <v>1051</v>
      </c>
      <c r="G520" s="26" t="s">
        <v>28</v>
      </c>
      <c r="H520" s="26" t="s">
        <v>23</v>
      </c>
      <c r="I520" s="28"/>
      <c r="J520" s="26">
        <v>4.0</v>
      </c>
      <c r="K520" s="57"/>
      <c r="L520" s="28"/>
      <c r="M520" s="53" t="s">
        <v>1052</v>
      </c>
      <c r="N520" s="106" t="s">
        <v>1053</v>
      </c>
      <c r="O520" s="113"/>
      <c r="P520" s="32">
        <v>241.0</v>
      </c>
      <c r="Q520" s="32"/>
      <c r="R520" s="32"/>
      <c r="S520" s="32"/>
      <c r="T520" s="32"/>
      <c r="U520" s="32"/>
      <c r="V520" s="32"/>
      <c r="W520" s="32"/>
      <c r="X520" s="32"/>
      <c r="Y520" s="32"/>
      <c r="Z520" s="32"/>
    </row>
    <row r="521">
      <c r="A521" s="20" t="s">
        <v>680</v>
      </c>
      <c r="B521" s="51"/>
      <c r="C521" s="22">
        <v>500000.0</v>
      </c>
      <c r="D521" s="26">
        <v>2020.0</v>
      </c>
      <c r="E521" s="101">
        <v>43922.0</v>
      </c>
      <c r="F521" s="26" t="s">
        <v>681</v>
      </c>
      <c r="G521" s="26" t="s">
        <v>28</v>
      </c>
      <c r="H521" s="26" t="s">
        <v>23</v>
      </c>
      <c r="I521" s="28"/>
      <c r="J521" s="26">
        <v>1.0</v>
      </c>
      <c r="K521" s="27" t="s">
        <v>682</v>
      </c>
      <c r="L521" s="28"/>
      <c r="M521" s="34" t="s">
        <v>683</v>
      </c>
      <c r="N521" s="92" t="s">
        <v>684</v>
      </c>
      <c r="O521" s="31"/>
      <c r="P521" s="32">
        <v>348.0</v>
      </c>
      <c r="Q521" s="32"/>
      <c r="R521" s="32"/>
      <c r="S521" s="32"/>
      <c r="T521" s="32"/>
      <c r="U521" s="32"/>
      <c r="V521" s="32"/>
      <c r="W521" s="32"/>
      <c r="X521" s="32"/>
      <c r="Y521" s="32"/>
      <c r="Z521" s="32"/>
    </row>
    <row r="522">
      <c r="A522" s="165"/>
      <c r="B522" s="51"/>
      <c r="C522" s="22"/>
      <c r="D522" s="26"/>
      <c r="E522" s="101"/>
      <c r="F522" s="26"/>
      <c r="G522" s="130"/>
      <c r="H522" s="26"/>
      <c r="I522" s="28"/>
      <c r="J522" s="130"/>
      <c r="K522" s="27"/>
      <c r="L522" s="28"/>
      <c r="M522" s="53"/>
      <c r="N522" s="31"/>
      <c r="O522" s="31"/>
      <c r="P522" s="32"/>
      <c r="Q522" s="32"/>
      <c r="R522" s="32"/>
      <c r="S522" s="32"/>
      <c r="T522" s="32"/>
      <c r="U522" s="32"/>
      <c r="V522" s="32"/>
      <c r="W522" s="32"/>
      <c r="X522" s="32"/>
      <c r="Y522" s="32"/>
      <c r="Z522" s="32"/>
    </row>
  </sheetData>
  <hyperlinks>
    <hyperlink r:id="rId1" ref="N2"/>
    <hyperlink r:id="rId2" ref="O2"/>
    <hyperlink r:id="rId3" ref="N3"/>
    <hyperlink r:id="rId4" ref="O3"/>
    <hyperlink r:id="rId5" ref="N4"/>
    <hyperlink r:id="rId6" ref="N5"/>
    <hyperlink r:id="rId7" ref="N6"/>
    <hyperlink r:id="rId8" ref="N7"/>
    <hyperlink r:id="rId9" ref="N8"/>
    <hyperlink r:id="rId10" ref="O8"/>
    <hyperlink r:id="rId11" ref="N9"/>
    <hyperlink r:id="rId12" ref="N10"/>
    <hyperlink r:id="rId13" ref="N11"/>
    <hyperlink r:id="rId14" ref="N12"/>
    <hyperlink r:id="rId15" ref="N13"/>
    <hyperlink r:id="rId16" ref="N14"/>
    <hyperlink r:id="rId17" ref="N16"/>
    <hyperlink r:id="rId18" ref="N17"/>
    <hyperlink r:id="rId19" ref="N18"/>
    <hyperlink r:id="rId20" ref="N19"/>
    <hyperlink r:id="rId21" ref="N20"/>
    <hyperlink r:id="rId22" ref="N21"/>
    <hyperlink r:id="rId23" ref="N22"/>
    <hyperlink r:id="rId24" ref="N23"/>
    <hyperlink r:id="rId25" ref="N24"/>
    <hyperlink r:id="rId26" ref="N25"/>
    <hyperlink r:id="rId27" ref="N26"/>
    <hyperlink r:id="rId28" ref="N27"/>
    <hyperlink r:id="rId29" ref="N28"/>
    <hyperlink r:id="rId30" ref="N29"/>
    <hyperlink r:id="rId31" ref="N30"/>
    <hyperlink r:id="rId32" ref="A31"/>
    <hyperlink r:id="rId33" ref="N31"/>
    <hyperlink r:id="rId34" ref="N32"/>
    <hyperlink r:id="rId35" ref="N33"/>
    <hyperlink r:id="rId36" ref="N34"/>
    <hyperlink r:id="rId37" ref="N35"/>
    <hyperlink r:id="rId38" ref="A36"/>
    <hyperlink r:id="rId39" ref="N36"/>
    <hyperlink r:id="rId40" ref="N37"/>
    <hyperlink r:id="rId41" ref="N38"/>
    <hyperlink r:id="rId42" location=".UFcROxgUwaA" ref="N39"/>
    <hyperlink r:id="rId43" ref="N40"/>
    <hyperlink r:id="rId44" ref="N41"/>
    <hyperlink r:id="rId45" ref="N42"/>
    <hyperlink r:id="rId46" ref="N43"/>
    <hyperlink r:id="rId47" ref="N44"/>
    <hyperlink r:id="rId48" ref="N45"/>
    <hyperlink r:id="rId49" ref="N46"/>
    <hyperlink r:id="rId50" ref="N47"/>
    <hyperlink r:id="rId51" ref="N48"/>
    <hyperlink r:id="rId52" location="6dfbcdc355d1" ref="N49"/>
    <hyperlink r:id="rId53" ref="N50"/>
    <hyperlink r:id="rId54" ref="N51"/>
    <hyperlink r:id="rId55" ref="N52"/>
    <hyperlink r:id="rId56" ref="N53"/>
    <hyperlink r:id="rId57" ref="N54"/>
    <hyperlink r:id="rId58" ref="N55"/>
    <hyperlink r:id="rId59" ref="F56"/>
    <hyperlink r:id="rId60" ref="N56"/>
    <hyperlink r:id="rId61" ref="N57"/>
    <hyperlink r:id="rId62" ref="N58"/>
    <hyperlink r:id="rId63" ref="N59"/>
    <hyperlink r:id="rId64" ref="N60"/>
    <hyperlink r:id="rId65" ref="N61"/>
    <hyperlink r:id="rId66" ref="N62"/>
    <hyperlink r:id="rId67" ref="N63"/>
    <hyperlink r:id="rId68" ref="N64"/>
    <hyperlink r:id="rId69" location="2a5cb36b41d2" ref="N65"/>
    <hyperlink r:id="rId70" ref="N66"/>
    <hyperlink r:id="rId71" ref="N67"/>
    <hyperlink r:id="rId72" ref="N68"/>
    <hyperlink r:id="rId73" ref="N69"/>
    <hyperlink r:id="rId74" ref="N70"/>
    <hyperlink r:id="rId75" ref="N71"/>
    <hyperlink r:id="rId76" ref="N72"/>
    <hyperlink r:id="rId77" ref="N73"/>
    <hyperlink r:id="rId78" ref="N74"/>
    <hyperlink r:id="rId79" ref="N75"/>
    <hyperlink r:id="rId80" ref="N76"/>
    <hyperlink r:id="rId81" ref="N77"/>
    <hyperlink r:id="rId82" ref="N78"/>
    <hyperlink r:id="rId83" ref="N79"/>
    <hyperlink r:id="rId84" ref="N80"/>
    <hyperlink r:id="rId85" ref="O80"/>
    <hyperlink r:id="rId86" ref="N81"/>
    <hyperlink r:id="rId87" ref="N82"/>
    <hyperlink r:id="rId88" ref="N83"/>
    <hyperlink r:id="rId89" ref="N84"/>
    <hyperlink r:id="rId90" ref="N85"/>
    <hyperlink r:id="rId91" ref="N86"/>
    <hyperlink r:id="rId92" ref="N87"/>
    <hyperlink r:id="rId93" ref="N88"/>
    <hyperlink r:id="rId94" ref="N89"/>
    <hyperlink r:id="rId95" ref="N90"/>
    <hyperlink r:id="rId96" ref="N91"/>
    <hyperlink r:id="rId97" ref="O91"/>
    <hyperlink r:id="rId98" ref="N92"/>
    <hyperlink r:id="rId99" ref="N93"/>
    <hyperlink r:id="rId100" ref="N94"/>
    <hyperlink r:id="rId101" ref="N95"/>
    <hyperlink r:id="rId102" ref="N96"/>
    <hyperlink r:id="rId103" ref="A97"/>
    <hyperlink r:id="rId104" ref="N97"/>
    <hyperlink r:id="rId105" ref="N98"/>
    <hyperlink r:id="rId106" ref="N99"/>
    <hyperlink r:id="rId107" ref="N100"/>
    <hyperlink r:id="rId108" ref="N101"/>
    <hyperlink r:id="rId109" ref="N102"/>
    <hyperlink r:id="rId110" ref="N103"/>
    <hyperlink r:id="rId111" ref="N104"/>
    <hyperlink r:id="rId112" ref="N105"/>
    <hyperlink r:id="rId113" ref="N106"/>
    <hyperlink r:id="rId114" ref="N107"/>
    <hyperlink r:id="rId115" ref="N108"/>
    <hyperlink r:id="rId116" ref="N109"/>
    <hyperlink r:id="rId117" ref="N110"/>
    <hyperlink r:id="rId118" ref="O110"/>
    <hyperlink r:id="rId119" ref="N111"/>
    <hyperlink r:id="rId120" ref="N112"/>
    <hyperlink r:id="rId121" ref="O112"/>
    <hyperlink r:id="rId122" ref="N113"/>
    <hyperlink r:id="rId123" ref="N114"/>
    <hyperlink r:id="rId124" ref="N115"/>
    <hyperlink r:id="rId125" ref="N116"/>
    <hyperlink r:id="rId126" ref="N117"/>
    <hyperlink r:id="rId127" ref="N118"/>
    <hyperlink r:id="rId128" ref="O118"/>
    <hyperlink r:id="rId129" ref="N119"/>
    <hyperlink r:id="rId130" ref="N120"/>
    <hyperlink r:id="rId131" ref="N121"/>
    <hyperlink r:id="rId132" ref="N122"/>
    <hyperlink r:id="rId133" ref="N123"/>
    <hyperlink r:id="rId134" ref="A124"/>
    <hyperlink r:id="rId135" ref="N124"/>
    <hyperlink r:id="rId136" ref="N125"/>
    <hyperlink r:id="rId137" ref="N126"/>
    <hyperlink r:id="rId138" ref="N127"/>
    <hyperlink r:id="rId139" ref="N128"/>
    <hyperlink r:id="rId140" ref="N129"/>
    <hyperlink r:id="rId141" ref="N130"/>
    <hyperlink r:id="rId142" ref="N131"/>
    <hyperlink r:id="rId143" ref="N132"/>
    <hyperlink r:id="rId144" ref="N133"/>
    <hyperlink r:id="rId145" ref="N134"/>
    <hyperlink r:id="rId146" ref="N135"/>
    <hyperlink r:id="rId147" ref="N136"/>
    <hyperlink r:id="rId148" ref="N137"/>
    <hyperlink r:id="rId149" ref="N138"/>
    <hyperlink r:id="rId150" ref="N139"/>
    <hyperlink r:id="rId151" ref="N140"/>
    <hyperlink r:id="rId152" ref="N141"/>
    <hyperlink r:id="rId153" ref="N142"/>
    <hyperlink r:id="rId154" ref="N143"/>
    <hyperlink r:id="rId155" ref="N144"/>
    <hyperlink r:id="rId156" ref="N145"/>
    <hyperlink r:id="rId157" ref="N146"/>
    <hyperlink r:id="rId158" ref="N147"/>
    <hyperlink r:id="rId159" ref="N148"/>
    <hyperlink r:id="rId160" ref="N149"/>
    <hyperlink r:id="rId161" ref="N150"/>
    <hyperlink r:id="rId162" ref="N151"/>
    <hyperlink r:id="rId163" ref="O151"/>
    <hyperlink r:id="rId164" ref="N152"/>
    <hyperlink r:id="rId165" ref="N153"/>
    <hyperlink r:id="rId166" location=":~:text=Experian%20disclosed%20the%20data%20breach,local%20businesses%20(Cimpanu%202020)." ref="N154"/>
    <hyperlink r:id="rId167" ref="N155"/>
    <hyperlink r:id="rId168" ref="N156"/>
    <hyperlink r:id="rId169" ref="N157"/>
    <hyperlink r:id="rId170" ref="N158"/>
    <hyperlink r:id="rId171" ref="N159"/>
    <hyperlink r:id="rId172" ref="O159"/>
    <hyperlink r:id="rId173" ref="N160"/>
    <hyperlink r:id="rId174" ref="N161"/>
    <hyperlink r:id="rId175" ref="N162"/>
    <hyperlink r:id="rId176" ref="N163"/>
    <hyperlink r:id="rId177" ref="N164"/>
    <hyperlink r:id="rId178" ref="N165"/>
    <hyperlink r:id="rId179" ref="N166"/>
    <hyperlink r:id="rId180" ref="O166"/>
    <hyperlink r:id="rId181" ref="N167"/>
    <hyperlink r:id="rId182" ref="N168"/>
    <hyperlink r:id="rId183" ref="N169"/>
    <hyperlink r:id="rId184" ref="N170"/>
    <hyperlink r:id="rId185" ref="N171"/>
    <hyperlink r:id="rId186" ref="N172"/>
    <hyperlink r:id="rId187" ref="N173"/>
    <hyperlink r:id="rId188" ref="N174"/>
    <hyperlink r:id="rId189" ref="N175"/>
    <hyperlink r:id="rId190" ref="N176"/>
    <hyperlink r:id="rId191" ref="N177"/>
    <hyperlink r:id="rId192" ref="A178"/>
    <hyperlink r:id="rId193" ref="N178"/>
    <hyperlink r:id="rId194" ref="O178"/>
    <hyperlink r:id="rId195" ref="A179"/>
    <hyperlink r:id="rId196" ref="N179"/>
    <hyperlink r:id="rId197" ref="N180"/>
    <hyperlink r:id="rId198" ref="N181"/>
    <hyperlink r:id="rId199" ref="N182"/>
    <hyperlink r:id="rId200" ref="N183"/>
    <hyperlink r:id="rId201" ref="N184"/>
    <hyperlink r:id="rId202" ref="N185"/>
    <hyperlink r:id="rId203" ref="N186"/>
    <hyperlink r:id="rId204" ref="N187"/>
    <hyperlink r:id="rId205" ref="A188"/>
    <hyperlink r:id="rId206" ref="N188"/>
    <hyperlink r:id="rId207" ref="N189"/>
    <hyperlink r:id="rId208" ref="N190"/>
    <hyperlink r:id="rId209" ref="N191"/>
    <hyperlink r:id="rId210" ref="N192"/>
    <hyperlink r:id="rId211" ref="N193"/>
    <hyperlink r:id="rId212" ref="N194"/>
    <hyperlink r:id="rId213" ref="N195"/>
    <hyperlink r:id="rId214" ref="N196"/>
    <hyperlink r:id="rId215" ref="N197"/>
    <hyperlink r:id="rId216" ref="N198"/>
    <hyperlink r:id="rId217" ref="N199"/>
    <hyperlink r:id="rId218" ref="N200"/>
    <hyperlink r:id="rId219" ref="N201"/>
    <hyperlink r:id="rId220" ref="N202"/>
    <hyperlink r:id="rId221" ref="N203"/>
    <hyperlink r:id="rId222" ref="N204"/>
    <hyperlink r:id="rId223" ref="N205"/>
    <hyperlink r:id="rId224" ref="N206"/>
    <hyperlink r:id="rId225" ref="N207"/>
    <hyperlink r:id="rId226" ref="N208"/>
    <hyperlink r:id="rId227" ref="N209"/>
    <hyperlink r:id="rId228" ref="N210"/>
    <hyperlink r:id="rId229" ref="N211"/>
    <hyperlink r:id="rId230" ref="N212"/>
    <hyperlink r:id="rId231" ref="N213"/>
    <hyperlink r:id="rId232" ref="O213"/>
    <hyperlink r:id="rId233" ref="N214"/>
    <hyperlink r:id="rId234" ref="N215"/>
    <hyperlink r:id="rId235" ref="N216"/>
    <hyperlink r:id="rId236" ref="N217"/>
    <hyperlink r:id="rId237" ref="N218"/>
    <hyperlink r:id="rId238" ref="N219"/>
    <hyperlink r:id="rId239" ref="N220"/>
    <hyperlink r:id="rId240" ref="N221"/>
    <hyperlink r:id="rId241" ref="N222"/>
    <hyperlink r:id="rId242" ref="N223"/>
    <hyperlink r:id="rId243" ref="N224"/>
    <hyperlink r:id="rId244" ref="O224"/>
    <hyperlink r:id="rId245" ref="N225"/>
    <hyperlink r:id="rId246" ref="N226"/>
    <hyperlink r:id="rId247" ref="N227"/>
    <hyperlink r:id="rId248" ref="N228"/>
    <hyperlink r:id="rId249" ref="N229"/>
    <hyperlink r:id="rId250" ref="N230"/>
    <hyperlink r:id="rId251" ref="N231"/>
    <hyperlink r:id="rId252" ref="N232"/>
    <hyperlink r:id="rId253" ref="N233"/>
    <hyperlink r:id="rId254" ref="O233"/>
    <hyperlink r:id="rId255" ref="N234"/>
    <hyperlink r:id="rId256" ref="O234"/>
    <hyperlink r:id="rId257" ref="A235"/>
    <hyperlink r:id="rId258" ref="N235"/>
    <hyperlink r:id="rId259" ref="O235"/>
    <hyperlink r:id="rId260" ref="N236"/>
    <hyperlink r:id="rId261" ref="O236"/>
    <hyperlink r:id="rId262" ref="N237"/>
    <hyperlink r:id="rId263" ref="N238"/>
    <hyperlink r:id="rId264" ref="N239"/>
    <hyperlink r:id="rId265" ref="N240"/>
    <hyperlink r:id="rId266" ref="N241"/>
    <hyperlink r:id="rId267" ref="N242"/>
    <hyperlink r:id="rId268" ref="N243"/>
    <hyperlink r:id="rId269" ref="N244"/>
    <hyperlink r:id="rId270" ref="O244"/>
    <hyperlink r:id="rId271" ref="N245"/>
    <hyperlink r:id="rId272" ref="N246"/>
    <hyperlink r:id="rId273" ref="N247"/>
    <hyperlink r:id="rId274" ref="O247"/>
    <hyperlink r:id="rId275" ref="N248"/>
    <hyperlink r:id="rId276" ref="A249"/>
    <hyperlink r:id="rId277" ref="N249"/>
    <hyperlink r:id="rId278" ref="N250"/>
    <hyperlink r:id="rId279" ref="A251"/>
    <hyperlink r:id="rId280" ref="N251"/>
    <hyperlink r:id="rId281" ref="N252"/>
    <hyperlink r:id="rId282" ref="N253"/>
    <hyperlink r:id="rId283" ref="N254"/>
    <hyperlink r:id="rId284" ref="N255"/>
    <hyperlink r:id="rId285" ref="N256"/>
    <hyperlink r:id="rId286" ref="N257"/>
    <hyperlink r:id="rId287" ref="N258"/>
    <hyperlink r:id="rId288" ref="O258"/>
    <hyperlink r:id="rId289" location=".XAfhPhP7TUI" ref="N259"/>
    <hyperlink r:id="rId290" ref="N260"/>
    <hyperlink r:id="rId291" ref="N261"/>
    <hyperlink r:id="rId292" ref="N262"/>
    <hyperlink r:id="rId293" ref="N263"/>
    <hyperlink r:id="rId294" ref="N264"/>
    <hyperlink r:id="rId295" ref="N265"/>
    <hyperlink r:id="rId296" ref="N266"/>
    <hyperlink r:id="rId297" ref="N267"/>
    <hyperlink r:id="rId298" ref="N268"/>
    <hyperlink r:id="rId299" ref="N269"/>
    <hyperlink r:id="rId300" ref="N270"/>
    <hyperlink r:id="rId301" ref="O270"/>
    <hyperlink r:id="rId302" location="91076484d1b3" ref="N271"/>
    <hyperlink r:id="rId303" ref="A272"/>
    <hyperlink r:id="rId304" ref="N272"/>
    <hyperlink r:id="rId305" ref="N273"/>
    <hyperlink r:id="rId306" ref="A274"/>
    <hyperlink r:id="rId307" ref="N274"/>
    <hyperlink r:id="rId308" ref="N275"/>
    <hyperlink r:id="rId309" ref="N276"/>
    <hyperlink r:id="rId310" ref="N277"/>
    <hyperlink r:id="rId311" ref="N278"/>
    <hyperlink r:id="rId312" ref="N279"/>
    <hyperlink r:id="rId313" ref="O279"/>
    <hyperlink r:id="rId314" ref="N280"/>
    <hyperlink r:id="rId315" ref="N281"/>
    <hyperlink r:id="rId316" ref="N282"/>
    <hyperlink r:id="rId317" ref="N283"/>
    <hyperlink r:id="rId318" ref="N284"/>
    <hyperlink r:id="rId319" ref="N285"/>
    <hyperlink r:id="rId320" ref="N286"/>
    <hyperlink r:id="rId321" ref="N287"/>
    <hyperlink r:id="rId322" ref="N288"/>
    <hyperlink r:id="rId323" location=":~:text=On%20Sunday%2C%20the%20SiegedSec%20crew,)%3B%20the%20Communities%20of%20Interest" ref="N289"/>
    <hyperlink r:id="rId324" ref="N290"/>
    <hyperlink r:id="rId325" ref="N291"/>
    <hyperlink r:id="rId326" ref="O291"/>
    <hyperlink r:id="rId327" ref="N292"/>
    <hyperlink r:id="rId328" ref="N293"/>
    <hyperlink r:id="rId329" ref="N294"/>
    <hyperlink r:id="rId330" ref="N295"/>
    <hyperlink r:id="rId331" ref="N296"/>
    <hyperlink r:id="rId332" ref="N297"/>
    <hyperlink r:id="rId333" ref="N298"/>
    <hyperlink r:id="rId334" ref="N299"/>
    <hyperlink r:id="rId335" ref="N300"/>
    <hyperlink r:id="rId336" ref="N301"/>
    <hyperlink r:id="rId337" ref="N302"/>
    <hyperlink r:id="rId338" ref="N303"/>
    <hyperlink r:id="rId339" ref="N304"/>
    <hyperlink r:id="rId340" ref="N305"/>
    <hyperlink r:id="rId341" ref="N306"/>
    <hyperlink r:id="rId342" ref="O306"/>
    <hyperlink r:id="rId343" ref="N307"/>
    <hyperlink r:id="rId344" ref="N308"/>
    <hyperlink r:id="rId345" ref="N309"/>
    <hyperlink r:id="rId346" ref="N310"/>
    <hyperlink r:id="rId347" ref="N311"/>
    <hyperlink r:id="rId348" ref="O311"/>
    <hyperlink r:id="rId349" ref="N312"/>
    <hyperlink r:id="rId350" ref="N313"/>
    <hyperlink r:id="rId351" ref="N314"/>
    <hyperlink r:id="rId352" ref="N315"/>
    <hyperlink r:id="rId353" ref="O315"/>
    <hyperlink r:id="rId354" ref="N316"/>
    <hyperlink r:id="rId355" ref="N317"/>
    <hyperlink r:id="rId356" ref="N318"/>
    <hyperlink r:id="rId357" ref="N319"/>
    <hyperlink r:id="rId358" ref="N320"/>
    <hyperlink r:id="rId359" ref="N321"/>
    <hyperlink r:id="rId360" ref="N322"/>
    <hyperlink r:id="rId361" ref="N323"/>
    <hyperlink r:id="rId362" ref="N324"/>
    <hyperlink r:id="rId363" ref="O324"/>
    <hyperlink r:id="rId364" ref="N325"/>
    <hyperlink r:id="rId365" ref="N326"/>
    <hyperlink r:id="rId366" ref="N327"/>
    <hyperlink r:id="rId367" ref="N328"/>
    <hyperlink r:id="rId368" ref="O328"/>
    <hyperlink r:id="rId369" location="p3" ref="N329"/>
    <hyperlink r:id="rId370" ref="N330"/>
    <hyperlink r:id="rId371" ref="N331"/>
    <hyperlink r:id="rId372" ref="N332"/>
    <hyperlink r:id="rId373" ref="N333"/>
    <hyperlink r:id="rId374" ref="N334"/>
    <hyperlink r:id="rId375" ref="N335"/>
    <hyperlink r:id="rId376" ref="N336"/>
    <hyperlink r:id="rId377" ref="N337"/>
    <hyperlink r:id="rId378" ref="N338"/>
    <hyperlink r:id="rId379" location="assets_129" ref="N339"/>
    <hyperlink r:id="rId380" ref="N340"/>
    <hyperlink r:id="rId381" ref="N341"/>
    <hyperlink r:id="rId382" ref="N342"/>
    <hyperlink r:id="rId383" ref="N343"/>
    <hyperlink r:id="rId384" ref="N344"/>
    <hyperlink r:id="rId385" ref="N345"/>
    <hyperlink r:id="rId386" ref="N346"/>
    <hyperlink r:id="rId387" ref="N347"/>
    <hyperlink r:id="rId388" ref="N348"/>
    <hyperlink r:id="rId389" ref="N349"/>
    <hyperlink r:id="rId390" ref="N350"/>
    <hyperlink r:id="rId391" ref="N351"/>
    <hyperlink r:id="rId392" ref="N352"/>
    <hyperlink r:id="rId393" ref="N353"/>
    <hyperlink r:id="rId394" ref="N354"/>
    <hyperlink r:id="rId395" ref="N355"/>
    <hyperlink r:id="rId396" ref="N356"/>
    <hyperlink r:id="rId397" ref="N357"/>
    <hyperlink r:id="rId398" ref="N358"/>
    <hyperlink r:id="rId399" ref="N359"/>
    <hyperlink r:id="rId400" ref="O359"/>
    <hyperlink r:id="rId401" ref="N360"/>
    <hyperlink r:id="rId402" ref="N361"/>
    <hyperlink r:id="rId403" ref="N362"/>
    <hyperlink r:id="rId404" ref="N363"/>
    <hyperlink r:id="rId405" ref="N364"/>
    <hyperlink r:id="rId406" ref="N365"/>
    <hyperlink r:id="rId407" ref="N366"/>
    <hyperlink r:id="rId408" ref="N367"/>
    <hyperlink r:id="rId409" ref="N368"/>
    <hyperlink r:id="rId410" ref="N369"/>
    <hyperlink r:id="rId411" ref="N370"/>
    <hyperlink r:id="rId412" ref="N371"/>
    <hyperlink r:id="rId413" ref="N372"/>
    <hyperlink r:id="rId414" ref="N373"/>
    <hyperlink r:id="rId415" ref="N374"/>
    <hyperlink r:id="rId416" ref="O374"/>
    <hyperlink r:id="rId417" ref="N375"/>
    <hyperlink r:id="rId418" ref="N376"/>
    <hyperlink r:id="rId419" ref="N377"/>
    <hyperlink r:id="rId420" ref="N378"/>
    <hyperlink r:id="rId421" ref="N379"/>
    <hyperlink r:id="rId422" ref="N380"/>
    <hyperlink r:id="rId423" ref="N381"/>
    <hyperlink r:id="rId424" ref="N382"/>
    <hyperlink r:id="rId425" ref="N383"/>
    <hyperlink r:id="rId426" ref="N384"/>
    <hyperlink r:id="rId427" ref="N385"/>
    <hyperlink r:id="rId428" ref="N386"/>
    <hyperlink r:id="rId429" ref="A387"/>
    <hyperlink r:id="rId430" ref="N387"/>
    <hyperlink r:id="rId431" ref="N388"/>
    <hyperlink r:id="rId432" ref="N389"/>
    <hyperlink r:id="rId433" ref="N390"/>
    <hyperlink r:id="rId434" ref="N391"/>
    <hyperlink r:id="rId435" ref="N392"/>
    <hyperlink r:id="rId436" ref="N393"/>
    <hyperlink r:id="rId437" ref="N394"/>
    <hyperlink r:id="rId438" ref="N395"/>
    <hyperlink r:id="rId439" ref="N396"/>
    <hyperlink r:id="rId440" ref="N397"/>
    <hyperlink r:id="rId441" ref="N398"/>
    <hyperlink r:id="rId442" ref="N399"/>
    <hyperlink r:id="rId443" ref="N400"/>
    <hyperlink r:id="rId444" ref="N401"/>
    <hyperlink r:id="rId445" ref="N402"/>
    <hyperlink r:id="rId446" ref="N403"/>
    <hyperlink r:id="rId447" ref="N404"/>
    <hyperlink r:id="rId448" ref="N405"/>
    <hyperlink r:id="rId449" ref="N406"/>
    <hyperlink r:id="rId450" ref="N407"/>
    <hyperlink r:id="rId451" ref="N408"/>
    <hyperlink r:id="rId452" ref="N409"/>
    <hyperlink r:id="rId453" ref="O409"/>
    <hyperlink r:id="rId454" ref="N410"/>
    <hyperlink r:id="rId455" ref="N411"/>
    <hyperlink r:id="rId456" ref="O411"/>
    <hyperlink r:id="rId457" ref="N412"/>
    <hyperlink r:id="rId458" ref="N413"/>
    <hyperlink r:id="rId459" ref="N414"/>
    <hyperlink r:id="rId460" ref="N415"/>
    <hyperlink r:id="rId461" ref="O415"/>
    <hyperlink r:id="rId462" ref="N416"/>
    <hyperlink r:id="rId463" ref="N417"/>
    <hyperlink r:id="rId464" ref="N418"/>
    <hyperlink r:id="rId465" ref="N419"/>
    <hyperlink r:id="rId466" ref="N420"/>
    <hyperlink r:id="rId467" ref="N421"/>
    <hyperlink r:id="rId468" ref="N422"/>
    <hyperlink r:id="rId469" ref="O422"/>
    <hyperlink r:id="rId470" ref="N423"/>
    <hyperlink r:id="rId471" ref="N424"/>
    <hyperlink r:id="rId472" ref="N425"/>
    <hyperlink r:id="rId473" ref="M426"/>
    <hyperlink r:id="rId474" location=":~:text=Teachers%20Insurance%20and%20Annuity%20Association%20of%20America%20faces%20a%20class,of%20approximately%202.3%20million%20individuals." ref="N426"/>
    <hyperlink r:id="rId475" ref="N427"/>
    <hyperlink r:id="rId476" ref="O427"/>
    <hyperlink r:id="rId477" ref="N428"/>
    <hyperlink r:id="rId478" ref="N429"/>
    <hyperlink r:id="rId479" ref="N430"/>
    <hyperlink r:id="rId480" ref="N431"/>
    <hyperlink r:id="rId481" ref="N432"/>
    <hyperlink r:id="rId482" ref="N433"/>
    <hyperlink r:id="rId483" ref="N434"/>
    <hyperlink r:id="rId484" ref="N435"/>
    <hyperlink r:id="rId485" ref="O435"/>
    <hyperlink r:id="rId486" ref="N436"/>
    <hyperlink r:id="rId487" ref="N437"/>
    <hyperlink r:id="rId488" ref="N438"/>
    <hyperlink r:id="rId489" ref="N439"/>
    <hyperlink r:id="rId490" ref="N440"/>
    <hyperlink r:id="rId491" ref="N441"/>
    <hyperlink r:id="rId492" ref="N442"/>
    <hyperlink r:id="rId493" ref="N443"/>
    <hyperlink r:id="rId494" ref="N444"/>
    <hyperlink r:id="rId495" ref="N445"/>
    <hyperlink r:id="rId496" ref="N446"/>
    <hyperlink r:id="rId497" ref="N447"/>
    <hyperlink r:id="rId498" ref="N448"/>
    <hyperlink r:id="rId499" ref="N449"/>
    <hyperlink r:id="rId500" ref="N450"/>
    <hyperlink r:id="rId501" ref="N451"/>
    <hyperlink r:id="rId502" ref="N452"/>
    <hyperlink r:id="rId503" ref="N453"/>
    <hyperlink r:id="rId504" ref="N454"/>
    <hyperlink r:id="rId505" ref="N455"/>
    <hyperlink r:id="rId506" ref="N456"/>
    <hyperlink r:id="rId507" ref="N457"/>
    <hyperlink r:id="rId508" ref="O457"/>
    <hyperlink r:id="rId509" ref="N458"/>
    <hyperlink r:id="rId510" ref="N459"/>
    <hyperlink r:id="rId511" ref="N460"/>
    <hyperlink r:id="rId512" ref="N461"/>
    <hyperlink r:id="rId513" ref="N462"/>
    <hyperlink r:id="rId514" ref="N463"/>
    <hyperlink r:id="rId515" ref="N464"/>
    <hyperlink r:id="rId516" ref="N465"/>
    <hyperlink r:id="rId517" ref="N466"/>
    <hyperlink r:id="rId518" ref="N467"/>
    <hyperlink r:id="rId519" ref="N468"/>
    <hyperlink r:id="rId520" ref="N469"/>
    <hyperlink r:id="rId521" ref="N470"/>
    <hyperlink r:id="rId522" ref="O470"/>
    <hyperlink r:id="rId523" ref="N471"/>
    <hyperlink r:id="rId524" ref="N472"/>
    <hyperlink r:id="rId525" ref="N473"/>
    <hyperlink r:id="rId526" ref="N474"/>
    <hyperlink r:id="rId527" ref="N475"/>
    <hyperlink r:id="rId528" ref="N476"/>
    <hyperlink r:id="rId529" ref="N477"/>
    <hyperlink r:id="rId530" ref="N478"/>
    <hyperlink r:id="rId531" ref="O478"/>
    <hyperlink r:id="rId532" ref="N479"/>
    <hyperlink r:id="rId533" ref="O479"/>
    <hyperlink r:id="rId534" ref="N480"/>
    <hyperlink r:id="rId535" ref="N481"/>
    <hyperlink r:id="rId536" ref="O481"/>
    <hyperlink r:id="rId537" ref="N482"/>
    <hyperlink r:id="rId538" ref="N483"/>
    <hyperlink r:id="rId539" ref="N485"/>
    <hyperlink r:id="rId540" ref="N486"/>
    <hyperlink r:id="rId541" ref="N487"/>
    <hyperlink r:id="rId542" ref="N488"/>
    <hyperlink r:id="rId543" ref="N489"/>
    <hyperlink r:id="rId544" ref="N490"/>
    <hyperlink r:id="rId545" ref="O490"/>
    <hyperlink r:id="rId546" ref="N491"/>
    <hyperlink r:id="rId547" ref="N492"/>
    <hyperlink r:id="rId548" ref="N493"/>
    <hyperlink r:id="rId549" ref="O493"/>
    <hyperlink r:id="rId550" ref="N494"/>
    <hyperlink r:id="rId551" ref="N495"/>
    <hyperlink r:id="rId552" ref="N496"/>
    <hyperlink r:id="rId553" ref="N497"/>
    <hyperlink r:id="rId554" ref="N498"/>
    <hyperlink r:id="rId555" ref="N499"/>
    <hyperlink r:id="rId556" location="260a2f727bab" ref="N500"/>
    <hyperlink r:id="rId557" ref="N501"/>
    <hyperlink r:id="rId558" ref="N502"/>
    <hyperlink r:id="rId559" ref="N503"/>
    <hyperlink r:id="rId560" ref="N504"/>
    <hyperlink r:id="rId561" ref="N505"/>
    <hyperlink r:id="rId562" ref="N506"/>
    <hyperlink r:id="rId563" ref="A507"/>
    <hyperlink r:id="rId564" ref="N507"/>
    <hyperlink r:id="rId565" ref="N508"/>
    <hyperlink r:id="rId566" ref="N509"/>
    <hyperlink r:id="rId567" ref="N510"/>
    <hyperlink r:id="rId568" ref="N511"/>
    <hyperlink r:id="rId569" ref="N512"/>
    <hyperlink r:id="rId570" ref="O512"/>
    <hyperlink r:id="rId571" ref="N513"/>
    <hyperlink r:id="rId572" ref="N514"/>
    <hyperlink r:id="rId573" ref="N515"/>
    <hyperlink r:id="rId574" ref="N516"/>
    <hyperlink r:id="rId575" ref="N517"/>
    <hyperlink r:id="rId576" ref="N518"/>
    <hyperlink r:id="rId577" ref="N519"/>
    <hyperlink r:id="rId578" ref="N520"/>
    <hyperlink r:id="rId579" ref="N521"/>
  </hyperlinks>
  <drawing r:id="rId58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2.75"/>
  <cols>
    <col customWidth="1" min="1" max="1" width="22.63"/>
    <col customWidth="1" min="2" max="2" width="16.25"/>
    <col customWidth="1" min="3" max="3" width="14.75"/>
    <col customWidth="1" min="4" max="4" width="8.75"/>
    <col customWidth="1" min="5" max="5" width="13.13"/>
    <col customWidth="1" min="6" max="6" width="39.75"/>
    <col customWidth="1" min="7" max="7" width="13.0"/>
    <col customWidth="1" min="8" max="8" width="14.88"/>
    <col customWidth="1" min="9" max="9" width="10.13"/>
    <col customWidth="1" min="10" max="10" width="13.13"/>
    <col customWidth="1" min="11" max="11" width="13.63"/>
    <col customWidth="1" min="12" max="12" width="2.0"/>
    <col customWidth="1" min="13" max="16" width="15.13"/>
    <col customWidth="1" min="17" max="17" width="30.25"/>
    <col customWidth="1" min="18" max="26" width="15.13"/>
  </cols>
  <sheetData>
    <row r="1">
      <c r="A1" s="246" t="s">
        <v>0</v>
      </c>
      <c r="B1" s="247" t="s">
        <v>1</v>
      </c>
      <c r="C1" s="248" t="s">
        <v>2</v>
      </c>
      <c r="D1" s="249" t="s">
        <v>3</v>
      </c>
      <c r="E1" s="250" t="s">
        <v>4</v>
      </c>
      <c r="F1" s="247" t="s">
        <v>5</v>
      </c>
      <c r="G1" s="251" t="s">
        <v>6</v>
      </c>
      <c r="H1" s="246" t="s">
        <v>7</v>
      </c>
      <c r="I1" s="247" t="s">
        <v>8</v>
      </c>
      <c r="J1" s="199" t="s">
        <v>9</v>
      </c>
      <c r="K1" s="249" t="s">
        <v>10</v>
      </c>
      <c r="L1" s="252"/>
      <c r="M1" s="252" t="s">
        <v>11</v>
      </c>
      <c r="N1" s="253" t="s">
        <v>12</v>
      </c>
      <c r="O1" s="253" t="s">
        <v>13</v>
      </c>
      <c r="P1" s="254" t="s">
        <v>14</v>
      </c>
      <c r="Q1" s="246" t="s">
        <v>2105</v>
      </c>
      <c r="R1" s="254"/>
      <c r="S1" s="254"/>
      <c r="T1" s="254"/>
      <c r="U1" s="254"/>
      <c r="V1" s="254"/>
      <c r="W1" s="254"/>
      <c r="X1" s="254"/>
      <c r="Y1" s="254"/>
      <c r="Z1" s="254"/>
    </row>
    <row r="2">
      <c r="A2" s="255"/>
      <c r="B2" s="256"/>
      <c r="C2" s="206"/>
      <c r="D2" s="202" t="s">
        <v>17</v>
      </c>
      <c r="E2" s="203"/>
      <c r="F2" s="208" t="s">
        <v>2106</v>
      </c>
      <c r="G2" s="208" t="s">
        <v>2107</v>
      </c>
      <c r="H2" s="208" t="s">
        <v>18</v>
      </c>
      <c r="I2" s="256"/>
      <c r="J2" s="257" t="s">
        <v>2108</v>
      </c>
      <c r="K2" s="258" t="str">
        <f>"=IF(C3&gt;100000000,C3,"")"</f>
        <v>=IF(C3&gt;100000000,C3,")</v>
      </c>
      <c r="L2" s="256"/>
      <c r="M2" s="256"/>
      <c r="N2" s="259"/>
      <c r="O2" s="259"/>
      <c r="P2" s="259"/>
      <c r="Q2" s="208"/>
      <c r="R2" s="259"/>
      <c r="S2" s="259"/>
      <c r="T2" s="259"/>
      <c r="U2" s="259"/>
      <c r="V2" s="259"/>
      <c r="W2" s="259"/>
      <c r="X2" s="259"/>
      <c r="Y2" s="259"/>
      <c r="Z2" s="259"/>
    </row>
    <row r="3" ht="49.5" customHeight="1">
      <c r="A3" s="226" t="s">
        <v>2109</v>
      </c>
      <c r="B3" s="260"/>
      <c r="C3" s="218">
        <v>512000.0</v>
      </c>
      <c r="D3" s="261">
        <v>2023.0</v>
      </c>
      <c r="E3" s="262" t="s">
        <v>2110</v>
      </c>
      <c r="F3" s="213" t="s">
        <v>2111</v>
      </c>
      <c r="G3" s="215" t="s">
        <v>22</v>
      </c>
      <c r="H3" s="215" t="s">
        <v>51</v>
      </c>
      <c r="I3" s="215"/>
      <c r="J3" s="215">
        <v>3.0</v>
      </c>
      <c r="K3" s="218"/>
      <c r="L3" s="219"/>
      <c r="M3" s="220" t="s">
        <v>251</v>
      </c>
      <c r="N3" s="263" t="s">
        <v>252</v>
      </c>
      <c r="O3" s="222"/>
      <c r="P3" s="223">
        <v>463.0</v>
      </c>
      <c r="Q3" s="220"/>
      <c r="R3" s="223"/>
      <c r="S3" s="223"/>
      <c r="T3" s="223"/>
      <c r="U3" s="223"/>
      <c r="V3" s="223"/>
      <c r="W3" s="223"/>
      <c r="X3" s="223"/>
      <c r="Y3" s="223"/>
      <c r="Z3" s="223"/>
    </row>
    <row r="4">
      <c r="A4" s="186" t="s">
        <v>2004</v>
      </c>
      <c r="B4" s="187"/>
      <c r="C4" s="264"/>
      <c r="D4" s="189">
        <v>2023.0</v>
      </c>
      <c r="E4" s="190" t="s">
        <v>2005</v>
      </c>
      <c r="F4" s="191" t="s">
        <v>2006</v>
      </c>
      <c r="G4" s="191" t="s">
        <v>2007</v>
      </c>
      <c r="H4" s="191" t="s">
        <v>23</v>
      </c>
      <c r="I4" s="191" t="s">
        <v>29</v>
      </c>
      <c r="J4" s="191">
        <v>4.0</v>
      </c>
      <c r="K4" s="192"/>
      <c r="L4" s="193"/>
      <c r="M4" s="191" t="s">
        <v>247</v>
      </c>
      <c r="N4" s="194" t="s">
        <v>2112</v>
      </c>
      <c r="O4" s="193"/>
      <c r="P4" s="191">
        <v>525.0</v>
      </c>
      <c r="Q4" s="187"/>
      <c r="R4" s="265"/>
      <c r="S4" s="265"/>
      <c r="T4" s="265"/>
      <c r="U4" s="265"/>
      <c r="V4" s="265"/>
      <c r="W4" s="265"/>
      <c r="X4" s="265"/>
      <c r="Y4" s="265"/>
      <c r="Z4" s="265"/>
    </row>
    <row r="5">
      <c r="A5" s="186" t="s">
        <v>2009</v>
      </c>
      <c r="B5" s="193"/>
      <c r="C5" s="266">
        <v>19444.0</v>
      </c>
      <c r="D5" s="189">
        <v>2023.0</v>
      </c>
      <c r="E5" s="190" t="s">
        <v>2005</v>
      </c>
      <c r="F5" s="191" t="s">
        <v>2010</v>
      </c>
      <c r="G5" s="191" t="s">
        <v>236</v>
      </c>
      <c r="H5" s="191" t="s">
        <v>23</v>
      </c>
      <c r="I5" s="196" t="s">
        <v>29</v>
      </c>
      <c r="J5" s="191">
        <v>2.0</v>
      </c>
      <c r="K5" s="192"/>
      <c r="L5" s="193"/>
      <c r="M5" s="191" t="s">
        <v>2011</v>
      </c>
      <c r="N5" s="194" t="s">
        <v>2113</v>
      </c>
      <c r="O5" s="194" t="s">
        <v>2114</v>
      </c>
      <c r="P5" s="191">
        <v>526.0</v>
      </c>
      <c r="Q5" s="187"/>
      <c r="R5" s="265"/>
      <c r="S5" s="265"/>
      <c r="T5" s="265"/>
      <c r="U5" s="265"/>
      <c r="V5" s="265"/>
      <c r="W5" s="265"/>
      <c r="X5" s="265"/>
      <c r="Y5" s="265"/>
      <c r="Z5" s="265"/>
    </row>
    <row r="6">
      <c r="A6" s="186" t="s">
        <v>2014</v>
      </c>
      <c r="B6" s="187"/>
      <c r="C6" s="266">
        <v>1.0E7</v>
      </c>
      <c r="D6" s="189">
        <v>2023.0</v>
      </c>
      <c r="E6" s="190" t="s">
        <v>2015</v>
      </c>
      <c r="F6" s="191" t="s">
        <v>2016</v>
      </c>
      <c r="G6" s="191" t="s">
        <v>43</v>
      </c>
      <c r="H6" s="191" t="s">
        <v>23</v>
      </c>
      <c r="I6" s="187"/>
      <c r="J6" s="191">
        <v>2.0</v>
      </c>
      <c r="K6" s="192"/>
      <c r="L6" s="193"/>
      <c r="M6" s="191" t="s">
        <v>152</v>
      </c>
      <c r="N6" s="194" t="s">
        <v>2115</v>
      </c>
      <c r="O6" s="193"/>
      <c r="P6" s="191">
        <v>527.0</v>
      </c>
      <c r="Q6" s="187"/>
      <c r="R6" s="265"/>
      <c r="S6" s="265"/>
      <c r="T6" s="265"/>
      <c r="U6" s="265"/>
      <c r="V6" s="265"/>
      <c r="W6" s="265"/>
      <c r="X6" s="265"/>
      <c r="Y6" s="265"/>
      <c r="Z6" s="265"/>
    </row>
    <row r="7">
      <c r="A7" s="186" t="s">
        <v>2019</v>
      </c>
      <c r="B7" s="193"/>
      <c r="C7" s="264"/>
      <c r="D7" s="189">
        <v>2023.0</v>
      </c>
      <c r="E7" s="190" t="s">
        <v>2015</v>
      </c>
      <c r="F7" s="191" t="s">
        <v>2020</v>
      </c>
      <c r="G7" s="191" t="s">
        <v>50</v>
      </c>
      <c r="H7" s="191" t="s">
        <v>23</v>
      </c>
      <c r="I7" s="187"/>
      <c r="J7" s="191">
        <v>3.0</v>
      </c>
      <c r="K7" s="192"/>
      <c r="L7" s="193"/>
      <c r="M7" s="191" t="s">
        <v>880</v>
      </c>
      <c r="N7" s="194" t="s">
        <v>2116</v>
      </c>
      <c r="O7" s="193"/>
      <c r="P7" s="191">
        <v>528.0</v>
      </c>
      <c r="Q7" s="187"/>
      <c r="R7" s="265"/>
      <c r="S7" s="265"/>
      <c r="T7" s="265"/>
      <c r="U7" s="265"/>
      <c r="V7" s="265"/>
      <c r="W7" s="265"/>
      <c r="X7" s="265"/>
      <c r="Y7" s="265"/>
      <c r="Z7" s="265"/>
    </row>
    <row r="8">
      <c r="A8" s="186" t="s">
        <v>378</v>
      </c>
      <c r="B8" s="191" t="s">
        <v>2022</v>
      </c>
      <c r="C8" s="266">
        <v>2150000.0</v>
      </c>
      <c r="D8" s="189">
        <v>2023.0</v>
      </c>
      <c r="E8" s="190" t="s">
        <v>2023</v>
      </c>
      <c r="F8" s="191" t="s">
        <v>2024</v>
      </c>
      <c r="G8" s="191" t="s">
        <v>22</v>
      </c>
      <c r="H8" s="191" t="s">
        <v>142</v>
      </c>
      <c r="I8" s="191" t="s">
        <v>29</v>
      </c>
      <c r="J8" s="191">
        <v>1.0</v>
      </c>
      <c r="K8" s="192"/>
      <c r="L8" s="193"/>
      <c r="M8" s="191" t="s">
        <v>2025</v>
      </c>
      <c r="N8" s="194" t="s">
        <v>2117</v>
      </c>
      <c r="O8" s="193"/>
      <c r="P8" s="191">
        <v>529.0</v>
      </c>
      <c r="Q8" s="187"/>
      <c r="R8" s="265"/>
      <c r="S8" s="265"/>
      <c r="T8" s="265"/>
      <c r="U8" s="265"/>
      <c r="V8" s="265"/>
      <c r="W8" s="265"/>
      <c r="X8" s="265"/>
      <c r="Y8" s="265"/>
      <c r="Z8" s="265"/>
    </row>
    <row r="9">
      <c r="A9" s="186" t="s">
        <v>2027</v>
      </c>
      <c r="B9" s="193"/>
      <c r="C9" s="266">
        <v>4.0E7</v>
      </c>
      <c r="D9" s="189">
        <v>2023.0</v>
      </c>
      <c r="E9" s="190" t="s">
        <v>2028</v>
      </c>
      <c r="F9" s="191" t="s">
        <v>2029</v>
      </c>
      <c r="G9" s="191" t="s">
        <v>64</v>
      </c>
      <c r="H9" s="191" t="s">
        <v>51</v>
      </c>
      <c r="I9" s="191" t="s">
        <v>29</v>
      </c>
      <c r="J9" s="191">
        <v>2.0</v>
      </c>
      <c r="K9" s="192"/>
      <c r="L9" s="193"/>
      <c r="M9" s="191" t="s">
        <v>325</v>
      </c>
      <c r="N9" s="194" t="s">
        <v>2118</v>
      </c>
      <c r="O9" s="193"/>
      <c r="P9" s="191">
        <v>530.0</v>
      </c>
      <c r="Q9" s="187"/>
      <c r="R9" s="265"/>
      <c r="S9" s="265"/>
      <c r="T9" s="265"/>
      <c r="U9" s="265"/>
      <c r="V9" s="265"/>
      <c r="W9" s="265"/>
      <c r="X9" s="265"/>
      <c r="Y9" s="265"/>
      <c r="Z9" s="265"/>
    </row>
    <row r="10">
      <c r="A10" s="186" t="s">
        <v>2032</v>
      </c>
      <c r="B10" s="191" t="s">
        <v>2033</v>
      </c>
      <c r="C10" s="266">
        <v>126970.0</v>
      </c>
      <c r="D10" s="189">
        <v>2023.0</v>
      </c>
      <c r="E10" s="190" t="s">
        <v>2034</v>
      </c>
      <c r="F10" s="191" t="s">
        <v>2035</v>
      </c>
      <c r="G10" s="191" t="s">
        <v>50</v>
      </c>
      <c r="H10" s="191" t="s">
        <v>51</v>
      </c>
      <c r="I10" s="187"/>
      <c r="J10" s="191">
        <v>2.0</v>
      </c>
      <c r="K10" s="192"/>
      <c r="L10" s="193"/>
      <c r="M10" s="191" t="s">
        <v>152</v>
      </c>
      <c r="N10" s="194" t="s">
        <v>2119</v>
      </c>
      <c r="O10" s="194" t="s">
        <v>2120</v>
      </c>
      <c r="P10" s="191">
        <v>531.0</v>
      </c>
      <c r="Q10" s="187"/>
      <c r="R10" s="265"/>
      <c r="S10" s="265"/>
      <c r="T10" s="265"/>
      <c r="U10" s="265"/>
      <c r="V10" s="265"/>
      <c r="W10" s="265"/>
      <c r="X10" s="265"/>
      <c r="Y10" s="265"/>
      <c r="Z10" s="265"/>
    </row>
    <row r="11">
      <c r="A11" s="198" t="s">
        <v>2038</v>
      </c>
      <c r="B11" s="191" t="s">
        <v>2039</v>
      </c>
      <c r="C11" s="264"/>
      <c r="D11" s="189">
        <v>2023.0</v>
      </c>
      <c r="E11" s="190" t="s">
        <v>2040</v>
      </c>
      <c r="F11" s="191" t="s">
        <v>2041</v>
      </c>
      <c r="G11" s="191" t="s">
        <v>64</v>
      </c>
      <c r="H11" s="191" t="s">
        <v>23</v>
      </c>
      <c r="I11" s="191" t="s">
        <v>29</v>
      </c>
      <c r="J11" s="191">
        <v>3.0</v>
      </c>
      <c r="K11" s="192"/>
      <c r="L11" s="193"/>
      <c r="M11" s="191" t="s">
        <v>2042</v>
      </c>
      <c r="N11" s="194" t="s">
        <v>2121</v>
      </c>
      <c r="O11" s="193"/>
      <c r="P11" s="191">
        <v>532.0</v>
      </c>
      <c r="Q11" s="187"/>
      <c r="R11" s="265"/>
      <c r="S11" s="265"/>
      <c r="T11" s="265"/>
      <c r="U11" s="265"/>
      <c r="V11" s="265"/>
      <c r="W11" s="265"/>
      <c r="X11" s="265"/>
      <c r="Y11" s="265"/>
      <c r="Z11" s="265"/>
    </row>
    <row r="12">
      <c r="A12" s="186" t="s">
        <v>2122</v>
      </c>
      <c r="B12" s="191" t="s">
        <v>2123</v>
      </c>
      <c r="C12" s="264"/>
      <c r="D12" s="189">
        <v>2023.0</v>
      </c>
      <c r="E12" s="190" t="s">
        <v>2023</v>
      </c>
      <c r="F12" s="191" t="s">
        <v>2124</v>
      </c>
      <c r="G12" s="191" t="s">
        <v>2125</v>
      </c>
      <c r="H12" s="191" t="s">
        <v>23</v>
      </c>
      <c r="I12" s="191" t="s">
        <v>29</v>
      </c>
      <c r="J12" s="191">
        <v>1.0</v>
      </c>
      <c r="K12" s="192"/>
      <c r="L12" s="193"/>
      <c r="M12" s="191" t="s">
        <v>2126</v>
      </c>
      <c r="N12" s="194" t="s">
        <v>2127</v>
      </c>
      <c r="O12" s="193"/>
      <c r="P12" s="191">
        <v>533.0</v>
      </c>
      <c r="Q12" s="187"/>
      <c r="R12" s="265"/>
      <c r="S12" s="265"/>
      <c r="T12" s="265"/>
      <c r="U12" s="265"/>
      <c r="V12" s="265"/>
      <c r="W12" s="265"/>
      <c r="X12" s="265"/>
      <c r="Y12" s="265"/>
      <c r="Z12" s="265"/>
    </row>
    <row r="13">
      <c r="A13" s="186" t="s">
        <v>2044</v>
      </c>
      <c r="B13" s="191" t="s">
        <v>2045</v>
      </c>
      <c r="C13" s="266">
        <v>82128.0</v>
      </c>
      <c r="D13" s="189">
        <v>2023.0</v>
      </c>
      <c r="E13" s="190" t="s">
        <v>2046</v>
      </c>
      <c r="F13" s="191" t="s">
        <v>2047</v>
      </c>
      <c r="G13" s="191" t="s">
        <v>2007</v>
      </c>
      <c r="H13" s="191" t="s">
        <v>23</v>
      </c>
      <c r="I13" s="187"/>
      <c r="J13" s="191">
        <v>3.0</v>
      </c>
      <c r="K13" s="192"/>
      <c r="L13" s="193"/>
      <c r="M13" s="191" t="s">
        <v>152</v>
      </c>
      <c r="N13" s="194" t="s">
        <v>2128</v>
      </c>
      <c r="O13" s="193"/>
      <c r="P13" s="191">
        <v>534.0</v>
      </c>
      <c r="Q13" s="187"/>
      <c r="R13" s="265"/>
      <c r="S13" s="265"/>
      <c r="T13" s="265"/>
      <c r="U13" s="265"/>
      <c r="V13" s="265"/>
      <c r="W13" s="265"/>
      <c r="X13" s="265"/>
      <c r="Y13" s="265"/>
      <c r="Z13" s="265"/>
    </row>
    <row r="14">
      <c r="A14" s="186" t="s">
        <v>2049</v>
      </c>
      <c r="B14" s="191" t="s">
        <v>2050</v>
      </c>
      <c r="C14" s="264"/>
      <c r="D14" s="189">
        <v>2023.0</v>
      </c>
      <c r="E14" s="190" t="s">
        <v>2046</v>
      </c>
      <c r="F14" s="191" t="s">
        <v>2051</v>
      </c>
      <c r="G14" s="191" t="s">
        <v>50</v>
      </c>
      <c r="H14" s="191" t="s">
        <v>23</v>
      </c>
      <c r="I14" s="187"/>
      <c r="J14" s="191">
        <v>2.0</v>
      </c>
      <c r="K14" s="192"/>
      <c r="L14" s="193"/>
      <c r="M14" s="191" t="s">
        <v>325</v>
      </c>
      <c r="N14" s="194" t="s">
        <v>2129</v>
      </c>
      <c r="O14" s="187"/>
      <c r="P14" s="191">
        <v>535.0</v>
      </c>
      <c r="Q14" s="187"/>
      <c r="R14" s="265"/>
      <c r="S14" s="265"/>
      <c r="T14" s="265"/>
      <c r="U14" s="265"/>
      <c r="V14" s="265"/>
      <c r="W14" s="265"/>
      <c r="X14" s="265"/>
      <c r="Y14" s="265"/>
      <c r="Z14" s="265"/>
    </row>
    <row r="15">
      <c r="A15" s="186" t="s">
        <v>2053</v>
      </c>
      <c r="B15" s="193"/>
      <c r="C15" s="266">
        <v>40000.0</v>
      </c>
      <c r="D15" s="189">
        <v>2020.0</v>
      </c>
      <c r="E15" s="190" t="s">
        <v>2054</v>
      </c>
      <c r="F15" s="191" t="s">
        <v>2055</v>
      </c>
      <c r="G15" s="191" t="s">
        <v>89</v>
      </c>
      <c r="H15" s="191" t="s">
        <v>23</v>
      </c>
      <c r="I15" s="191" t="s">
        <v>29</v>
      </c>
      <c r="J15" s="191">
        <v>5.0</v>
      </c>
      <c r="K15" s="192"/>
      <c r="L15" s="193"/>
      <c r="M15" s="191" t="s">
        <v>1882</v>
      </c>
      <c r="N15" s="194" t="s">
        <v>2130</v>
      </c>
      <c r="O15" s="187"/>
      <c r="P15" s="191">
        <v>536.0</v>
      </c>
      <c r="Q15" s="187"/>
      <c r="R15" s="265"/>
      <c r="S15" s="265"/>
      <c r="T15" s="265"/>
      <c r="U15" s="265"/>
      <c r="V15" s="265"/>
      <c r="W15" s="265"/>
      <c r="X15" s="265"/>
      <c r="Y15" s="265"/>
      <c r="Z15" s="265"/>
    </row>
    <row r="16">
      <c r="A16" s="186" t="s">
        <v>2057</v>
      </c>
      <c r="B16" s="193"/>
      <c r="C16" s="266">
        <v>6.2E7</v>
      </c>
      <c r="D16" s="189">
        <v>2025.0</v>
      </c>
      <c r="E16" s="190" t="s">
        <v>2058</v>
      </c>
      <c r="F16" s="191" t="s">
        <v>2059</v>
      </c>
      <c r="G16" s="191" t="s">
        <v>2060</v>
      </c>
      <c r="H16" s="191" t="s">
        <v>23</v>
      </c>
      <c r="I16" s="191" t="s">
        <v>29</v>
      </c>
      <c r="J16" s="191">
        <v>4.0</v>
      </c>
      <c r="K16" s="192"/>
      <c r="L16" s="193"/>
      <c r="M16" s="191" t="s">
        <v>2062</v>
      </c>
      <c r="N16" s="194" t="s">
        <v>2131</v>
      </c>
      <c r="O16" s="194" t="s">
        <v>2132</v>
      </c>
      <c r="P16" s="191">
        <v>537.0</v>
      </c>
      <c r="Q16" s="187"/>
      <c r="R16" s="265"/>
      <c r="S16" s="265"/>
      <c r="T16" s="265"/>
      <c r="U16" s="265"/>
      <c r="V16" s="265"/>
      <c r="W16" s="265"/>
      <c r="X16" s="265"/>
      <c r="Y16" s="265"/>
      <c r="Z16" s="265"/>
    </row>
    <row r="17">
      <c r="A17" s="186" t="s">
        <v>2065</v>
      </c>
      <c r="B17" s="193"/>
      <c r="C17" s="266">
        <v>2.98E7</v>
      </c>
      <c r="D17" s="189">
        <v>2026.0</v>
      </c>
      <c r="E17" s="190" t="s">
        <v>2066</v>
      </c>
      <c r="F17" s="191" t="s">
        <v>2067</v>
      </c>
      <c r="G17" s="191" t="s">
        <v>2007</v>
      </c>
      <c r="H17" s="191" t="s">
        <v>23</v>
      </c>
      <c r="I17" s="187"/>
      <c r="J17" s="191">
        <v>1.0</v>
      </c>
      <c r="K17" s="192"/>
      <c r="L17" s="193"/>
      <c r="M17" s="191" t="s">
        <v>72</v>
      </c>
      <c r="N17" s="194" t="s">
        <v>2133</v>
      </c>
      <c r="O17" s="194" t="s">
        <v>2134</v>
      </c>
      <c r="P17" s="191">
        <v>538.0</v>
      </c>
      <c r="Q17" s="187"/>
      <c r="R17" s="265"/>
      <c r="S17" s="265"/>
      <c r="T17" s="265"/>
      <c r="U17" s="265"/>
      <c r="V17" s="265"/>
      <c r="W17" s="265"/>
      <c r="X17" s="265"/>
      <c r="Y17" s="265"/>
      <c r="Z17" s="265"/>
    </row>
    <row r="18">
      <c r="A18" s="186" t="s">
        <v>2070</v>
      </c>
      <c r="B18" s="193"/>
      <c r="C18" s="266">
        <v>3.37E7</v>
      </c>
      <c r="D18" s="189">
        <v>2025.0</v>
      </c>
      <c r="E18" s="190" t="s">
        <v>2071</v>
      </c>
      <c r="F18" s="191" t="s">
        <v>2072</v>
      </c>
      <c r="G18" s="191" t="s">
        <v>43</v>
      </c>
      <c r="H18" s="191" t="s">
        <v>59</v>
      </c>
      <c r="I18" s="191" t="s">
        <v>29</v>
      </c>
      <c r="J18" s="191">
        <v>2.0</v>
      </c>
      <c r="K18" s="192"/>
      <c r="L18" s="193"/>
      <c r="M18" s="191" t="s">
        <v>152</v>
      </c>
      <c r="N18" s="194" t="s">
        <v>2135</v>
      </c>
      <c r="O18" s="194" t="s">
        <v>2136</v>
      </c>
      <c r="P18" s="191">
        <v>539.0</v>
      </c>
      <c r="Q18" s="187"/>
      <c r="R18" s="265"/>
      <c r="S18" s="265"/>
      <c r="T18" s="265"/>
      <c r="U18" s="265"/>
      <c r="V18" s="265"/>
      <c r="W18" s="265"/>
      <c r="X18" s="265"/>
      <c r="Y18" s="265"/>
      <c r="Z18" s="265"/>
    </row>
    <row r="19">
      <c r="A19" s="186" t="s">
        <v>2075</v>
      </c>
      <c r="B19" s="191" t="s">
        <v>2076</v>
      </c>
      <c r="C19" s="266">
        <v>1.127E7</v>
      </c>
      <c r="D19" s="189">
        <v>2023.0</v>
      </c>
      <c r="E19" s="190" t="s">
        <v>2077</v>
      </c>
      <c r="F19" s="191" t="s">
        <v>2078</v>
      </c>
      <c r="G19" s="191" t="s">
        <v>89</v>
      </c>
      <c r="H19" s="191" t="s">
        <v>23</v>
      </c>
      <c r="I19" s="187"/>
      <c r="J19" s="191">
        <v>3.0</v>
      </c>
      <c r="K19" s="192"/>
      <c r="L19" s="193"/>
      <c r="M19" s="194" t="s">
        <v>2137</v>
      </c>
      <c r="N19" s="194" t="s">
        <v>2138</v>
      </c>
      <c r="O19" s="194" t="s">
        <v>2139</v>
      </c>
      <c r="P19" s="191">
        <v>540.0</v>
      </c>
      <c r="Q19" s="187"/>
      <c r="R19" s="265"/>
      <c r="S19" s="265"/>
      <c r="T19" s="265"/>
      <c r="U19" s="265"/>
      <c r="V19" s="265"/>
      <c r="W19" s="265"/>
      <c r="X19" s="265"/>
      <c r="Y19" s="265"/>
      <c r="Z19" s="265"/>
    </row>
    <row r="20">
      <c r="A20" s="186" t="s">
        <v>2082</v>
      </c>
      <c r="B20" s="191" t="s">
        <v>2083</v>
      </c>
      <c r="C20" s="266">
        <v>100000.0</v>
      </c>
      <c r="D20" s="189">
        <v>2021.0</v>
      </c>
      <c r="E20" s="190" t="s">
        <v>2084</v>
      </c>
      <c r="F20" s="191" t="s">
        <v>2085</v>
      </c>
      <c r="G20" s="191" t="s">
        <v>89</v>
      </c>
      <c r="H20" s="191" t="s">
        <v>23</v>
      </c>
      <c r="I20" s="191" t="s">
        <v>29</v>
      </c>
      <c r="J20" s="191">
        <v>5.0</v>
      </c>
      <c r="K20" s="192"/>
      <c r="L20" s="193"/>
      <c r="M20" s="191" t="s">
        <v>829</v>
      </c>
      <c r="N20" s="194" t="s">
        <v>2140</v>
      </c>
      <c r="O20" s="194" t="s">
        <v>2141</v>
      </c>
      <c r="P20" s="191">
        <v>541.0</v>
      </c>
      <c r="Q20" s="187"/>
      <c r="R20" s="265"/>
      <c r="S20" s="265"/>
      <c r="T20" s="265"/>
      <c r="U20" s="265"/>
      <c r="V20" s="265"/>
      <c r="W20" s="265"/>
      <c r="X20" s="265"/>
      <c r="Y20" s="265"/>
      <c r="Z20" s="265"/>
    </row>
    <row r="21">
      <c r="A21" s="186" t="s">
        <v>2088</v>
      </c>
      <c r="B21" s="191" t="s">
        <v>2089</v>
      </c>
      <c r="C21" s="264"/>
      <c r="D21" s="189">
        <v>2023.0</v>
      </c>
      <c r="E21" s="190" t="s">
        <v>2034</v>
      </c>
      <c r="F21" s="191" t="s">
        <v>2090</v>
      </c>
      <c r="G21" s="191" t="s">
        <v>50</v>
      </c>
      <c r="H21" s="191" t="s">
        <v>23</v>
      </c>
      <c r="I21" s="191" t="s">
        <v>29</v>
      </c>
      <c r="J21" s="191">
        <v>2.0</v>
      </c>
      <c r="K21" s="192"/>
      <c r="L21" s="193"/>
      <c r="M21" s="191" t="s">
        <v>152</v>
      </c>
      <c r="N21" s="194" t="s">
        <v>2142</v>
      </c>
      <c r="O21" s="194" t="s">
        <v>2143</v>
      </c>
      <c r="P21" s="191">
        <v>542.0</v>
      </c>
      <c r="Q21" s="187"/>
      <c r="R21" s="265"/>
      <c r="S21" s="265"/>
      <c r="T21" s="265"/>
      <c r="U21" s="265"/>
      <c r="V21" s="265"/>
      <c r="W21" s="265"/>
      <c r="X21" s="265"/>
      <c r="Y21" s="265"/>
      <c r="Z21" s="265"/>
    </row>
    <row r="22">
      <c r="A22" s="186" t="s">
        <v>2093</v>
      </c>
      <c r="B22" s="191" t="s">
        <v>2094</v>
      </c>
      <c r="C22" s="266">
        <v>61000.0</v>
      </c>
      <c r="D22" s="189">
        <v>2023.0</v>
      </c>
      <c r="E22" s="190" t="s">
        <v>2095</v>
      </c>
      <c r="F22" s="191" t="s">
        <v>2096</v>
      </c>
      <c r="G22" s="191" t="s">
        <v>64</v>
      </c>
      <c r="H22" s="191" t="s">
        <v>142</v>
      </c>
      <c r="I22" s="187"/>
      <c r="J22" s="191">
        <v>2.0</v>
      </c>
      <c r="K22" s="192"/>
      <c r="L22" s="193"/>
      <c r="M22" s="191" t="s">
        <v>152</v>
      </c>
      <c r="N22" s="194" t="s">
        <v>2144</v>
      </c>
      <c r="O22" s="194" t="s">
        <v>2145</v>
      </c>
      <c r="P22" s="191">
        <v>543.0</v>
      </c>
      <c r="Q22" s="187"/>
      <c r="R22" s="265"/>
      <c r="S22" s="265"/>
      <c r="T22" s="265"/>
      <c r="U22" s="265"/>
      <c r="V22" s="265"/>
      <c r="W22" s="265"/>
      <c r="X22" s="265"/>
      <c r="Y22" s="265"/>
      <c r="Z22" s="265"/>
    </row>
    <row r="23">
      <c r="A23" s="199" t="s">
        <v>2099</v>
      </c>
      <c r="B23" s="200" t="s">
        <v>2100</v>
      </c>
      <c r="C23" s="206">
        <v>2.15E7</v>
      </c>
      <c r="D23" s="202">
        <v>2014.0</v>
      </c>
      <c r="E23" s="203" t="s">
        <v>2101</v>
      </c>
      <c r="F23" s="204" t="s">
        <v>2102</v>
      </c>
      <c r="G23" s="191" t="s">
        <v>64</v>
      </c>
      <c r="H23" s="205" t="s">
        <v>23</v>
      </c>
      <c r="I23" s="205" t="s">
        <v>29</v>
      </c>
      <c r="J23" s="202">
        <v>5.0</v>
      </c>
      <c r="K23" s="206"/>
      <c r="L23" s="207"/>
      <c r="M23" s="208" t="s">
        <v>1882</v>
      </c>
      <c r="N23" s="209" t="s">
        <v>2103</v>
      </c>
      <c r="O23" s="210"/>
      <c r="P23" s="211">
        <v>544.0</v>
      </c>
      <c r="Q23" s="205"/>
      <c r="R23" s="265"/>
      <c r="S23" s="265"/>
      <c r="T23" s="265"/>
      <c r="U23" s="265"/>
      <c r="V23" s="265"/>
      <c r="W23" s="265"/>
      <c r="X23" s="265"/>
      <c r="Y23" s="265"/>
      <c r="Z23" s="265"/>
    </row>
    <row r="24">
      <c r="A24" s="199"/>
      <c r="B24" s="191"/>
      <c r="C24" s="206"/>
      <c r="D24" s="202"/>
      <c r="E24" s="203"/>
      <c r="F24" s="204"/>
      <c r="G24" s="205"/>
      <c r="H24" s="205"/>
      <c r="I24" s="205"/>
      <c r="J24" s="205"/>
      <c r="K24" s="206"/>
      <c r="L24" s="207"/>
      <c r="M24" s="208"/>
      <c r="N24" s="210"/>
      <c r="O24" s="267"/>
      <c r="P24" s="210"/>
      <c r="Q24" s="205"/>
      <c r="R24" s="265"/>
      <c r="S24" s="265"/>
      <c r="T24" s="265"/>
      <c r="U24" s="265"/>
      <c r="V24" s="265"/>
      <c r="W24" s="265"/>
      <c r="X24" s="265"/>
      <c r="Y24" s="265"/>
      <c r="Z24" s="265"/>
    </row>
    <row r="25">
      <c r="A25" s="199"/>
      <c r="B25" s="265"/>
      <c r="C25" s="206"/>
      <c r="D25" s="202"/>
      <c r="E25" s="203"/>
      <c r="F25" s="204"/>
      <c r="G25" s="205"/>
      <c r="H25" s="205"/>
      <c r="I25" s="205"/>
      <c r="J25" s="205"/>
      <c r="K25" s="206"/>
      <c r="L25" s="207"/>
      <c r="M25" s="208"/>
      <c r="N25" s="210"/>
      <c r="O25" s="267"/>
      <c r="P25" s="210"/>
      <c r="Q25" s="205"/>
      <c r="R25" s="265"/>
      <c r="S25" s="265"/>
      <c r="T25" s="265"/>
      <c r="U25" s="265"/>
      <c r="V25" s="265"/>
      <c r="W25" s="265"/>
      <c r="X25" s="265"/>
      <c r="Y25" s="265"/>
      <c r="Z25" s="265"/>
    </row>
    <row r="26">
      <c r="A26" s="199"/>
      <c r="B26" s="265"/>
      <c r="C26" s="206"/>
      <c r="D26" s="202"/>
      <c r="E26" s="203"/>
      <c r="F26" s="204"/>
      <c r="G26" s="205"/>
      <c r="H26" s="205"/>
      <c r="I26" s="205"/>
      <c r="J26" s="205"/>
      <c r="K26" s="206"/>
      <c r="L26" s="207"/>
      <c r="M26" s="208"/>
      <c r="N26" s="210"/>
      <c r="O26" s="267"/>
      <c r="P26" s="210"/>
      <c r="Q26" s="205"/>
      <c r="R26" s="265"/>
      <c r="S26" s="265"/>
      <c r="T26" s="265"/>
      <c r="U26" s="265"/>
      <c r="V26" s="265"/>
      <c r="W26" s="265"/>
      <c r="X26" s="265"/>
      <c r="Y26" s="265"/>
      <c r="Z26" s="265"/>
    </row>
    <row r="27">
      <c r="A27" s="199"/>
      <c r="B27" s="265"/>
      <c r="C27" s="206"/>
      <c r="D27" s="202"/>
      <c r="E27" s="203"/>
      <c r="F27" s="204"/>
      <c r="G27" s="205"/>
      <c r="H27" s="205"/>
      <c r="I27" s="205"/>
      <c r="J27" s="205"/>
      <c r="K27" s="206"/>
      <c r="L27" s="207"/>
      <c r="M27" s="208"/>
      <c r="N27" s="210"/>
      <c r="O27" s="267"/>
      <c r="P27" s="210"/>
      <c r="Q27" s="205"/>
      <c r="R27" s="265"/>
      <c r="S27" s="265"/>
      <c r="T27" s="265"/>
      <c r="U27" s="265"/>
      <c r="V27" s="265"/>
      <c r="W27" s="265"/>
      <c r="X27" s="265"/>
      <c r="Y27" s="265"/>
      <c r="Z27" s="265"/>
    </row>
    <row r="28">
      <c r="A28" s="199"/>
      <c r="B28" s="265"/>
      <c r="C28" s="206"/>
      <c r="D28" s="202"/>
      <c r="E28" s="203"/>
      <c r="F28" s="204"/>
      <c r="G28" s="205"/>
      <c r="H28" s="205"/>
      <c r="I28" s="205"/>
      <c r="J28" s="205"/>
      <c r="K28" s="206"/>
      <c r="L28" s="207"/>
      <c r="M28" s="208"/>
      <c r="N28" s="210"/>
      <c r="O28" s="267"/>
      <c r="P28" s="210"/>
      <c r="Q28" s="205"/>
      <c r="R28" s="265"/>
      <c r="S28" s="265"/>
      <c r="T28" s="265"/>
      <c r="U28" s="265"/>
      <c r="V28" s="265"/>
      <c r="W28" s="265"/>
      <c r="X28" s="265"/>
      <c r="Y28" s="265"/>
      <c r="Z28" s="265"/>
    </row>
    <row r="29">
      <c r="A29" s="199"/>
      <c r="B29" s="265"/>
      <c r="C29" s="206"/>
      <c r="D29" s="202"/>
      <c r="E29" s="203"/>
      <c r="F29" s="208"/>
      <c r="G29" s="205"/>
      <c r="H29" s="205"/>
      <c r="I29" s="205"/>
      <c r="J29" s="205"/>
      <c r="K29" s="206"/>
      <c r="L29" s="207"/>
      <c r="M29" s="200"/>
      <c r="N29" s="268"/>
      <c r="O29" s="267"/>
      <c r="P29" s="210"/>
      <c r="Q29" s="205"/>
      <c r="R29" s="265"/>
      <c r="S29" s="265"/>
      <c r="T29" s="265"/>
      <c r="U29" s="265"/>
      <c r="V29" s="265"/>
      <c r="W29" s="265"/>
      <c r="X29" s="265"/>
      <c r="Y29" s="265"/>
      <c r="Z29" s="265"/>
    </row>
    <row r="30">
      <c r="A30" s="199"/>
      <c r="B30" s="265"/>
      <c r="C30" s="206"/>
      <c r="D30" s="202"/>
      <c r="E30" s="203"/>
      <c r="F30" s="204"/>
      <c r="G30" s="205"/>
      <c r="H30" s="205"/>
      <c r="I30" s="205"/>
      <c r="J30" s="205"/>
      <c r="K30" s="206"/>
      <c r="L30" s="207"/>
      <c r="M30" s="208"/>
      <c r="N30" s="210"/>
      <c r="O30" s="267"/>
      <c r="P30" s="210"/>
      <c r="Q30" s="205"/>
      <c r="R30" s="265"/>
      <c r="S30" s="265"/>
      <c r="T30" s="265"/>
      <c r="U30" s="265"/>
      <c r="V30" s="265"/>
      <c r="W30" s="265"/>
      <c r="X30" s="265"/>
      <c r="Y30" s="265"/>
      <c r="Z30" s="265"/>
    </row>
    <row r="31">
      <c r="A31" s="199"/>
      <c r="B31" s="265"/>
      <c r="C31" s="206"/>
      <c r="D31" s="202"/>
      <c r="E31" s="203"/>
      <c r="F31" s="204"/>
      <c r="G31" s="205"/>
      <c r="H31" s="205"/>
      <c r="I31" s="205"/>
      <c r="J31" s="205"/>
      <c r="K31" s="206"/>
      <c r="L31" s="207"/>
      <c r="M31" s="208"/>
      <c r="N31" s="210"/>
      <c r="O31" s="267"/>
      <c r="P31" s="210"/>
      <c r="Q31" s="205"/>
      <c r="R31" s="265"/>
      <c r="S31" s="265"/>
      <c r="T31" s="265"/>
      <c r="U31" s="265"/>
      <c r="V31" s="265"/>
      <c r="W31" s="265"/>
      <c r="X31" s="265"/>
      <c r="Y31" s="265"/>
      <c r="Z31" s="265"/>
    </row>
    <row r="32">
      <c r="A32" s="199"/>
      <c r="B32" s="265"/>
      <c r="C32" s="206"/>
      <c r="D32" s="202"/>
      <c r="E32" s="203"/>
      <c r="F32" s="204"/>
      <c r="G32" s="205"/>
      <c r="H32" s="205"/>
      <c r="I32" s="205"/>
      <c r="J32" s="205"/>
      <c r="K32" s="206"/>
      <c r="L32" s="207"/>
      <c r="M32" s="208"/>
      <c r="N32" s="210"/>
      <c r="O32" s="267"/>
      <c r="P32" s="210"/>
      <c r="Q32" s="205"/>
      <c r="R32" s="265"/>
      <c r="S32" s="265"/>
      <c r="T32" s="265"/>
      <c r="U32" s="265"/>
      <c r="V32" s="265"/>
      <c r="W32" s="265"/>
      <c r="X32" s="265"/>
      <c r="Y32" s="265"/>
      <c r="Z32" s="265"/>
    </row>
    <row r="33">
      <c r="A33" s="199"/>
      <c r="B33" s="265"/>
      <c r="C33" s="206"/>
      <c r="D33" s="202"/>
      <c r="E33" s="203"/>
      <c r="F33" s="204"/>
      <c r="G33" s="205"/>
      <c r="H33" s="205"/>
      <c r="I33" s="205"/>
      <c r="J33" s="205"/>
      <c r="K33" s="206"/>
      <c r="L33" s="207"/>
      <c r="M33" s="208"/>
      <c r="N33" s="210"/>
      <c r="O33" s="267"/>
      <c r="P33" s="210"/>
      <c r="Q33" s="205"/>
      <c r="R33" s="265"/>
      <c r="S33" s="265"/>
      <c r="T33" s="265"/>
      <c r="U33" s="265"/>
      <c r="V33" s="265"/>
      <c r="W33" s="265"/>
      <c r="X33" s="265"/>
      <c r="Y33" s="265"/>
      <c r="Z33" s="265"/>
    </row>
    <row r="34">
      <c r="A34" s="199"/>
      <c r="B34" s="265"/>
      <c r="C34" s="206"/>
      <c r="D34" s="202"/>
      <c r="E34" s="203"/>
      <c r="F34" s="204"/>
      <c r="G34" s="205"/>
      <c r="H34" s="205"/>
      <c r="I34" s="205"/>
      <c r="J34" s="205"/>
      <c r="K34" s="206"/>
      <c r="L34" s="207"/>
      <c r="M34" s="208"/>
      <c r="N34" s="210"/>
      <c r="O34" s="267"/>
      <c r="P34" s="210"/>
      <c r="Q34" s="205"/>
      <c r="R34" s="265"/>
      <c r="S34" s="265"/>
      <c r="T34" s="265"/>
      <c r="U34" s="265"/>
      <c r="V34" s="265"/>
      <c r="W34" s="265"/>
      <c r="X34" s="265"/>
      <c r="Y34" s="265"/>
      <c r="Z34" s="265"/>
    </row>
    <row r="35">
      <c r="A35" s="199"/>
      <c r="B35" s="265"/>
      <c r="C35" s="206"/>
      <c r="D35" s="202"/>
      <c r="E35" s="203"/>
      <c r="F35" s="204"/>
      <c r="G35" s="205"/>
      <c r="H35" s="205"/>
      <c r="I35" s="205"/>
      <c r="J35" s="205"/>
      <c r="K35" s="206"/>
      <c r="L35" s="207"/>
      <c r="M35" s="208"/>
      <c r="N35" s="210"/>
      <c r="O35" s="267"/>
      <c r="P35" s="210"/>
      <c r="Q35" s="205"/>
      <c r="R35" s="265"/>
      <c r="S35" s="265"/>
      <c r="T35" s="265"/>
      <c r="U35" s="265"/>
      <c r="V35" s="265"/>
      <c r="W35" s="265"/>
      <c r="X35" s="265"/>
      <c r="Y35" s="265"/>
      <c r="Z35" s="265"/>
    </row>
    <row r="36">
      <c r="A36" s="199"/>
      <c r="B36" s="265"/>
      <c r="C36" s="206"/>
      <c r="D36" s="202"/>
      <c r="E36" s="203"/>
      <c r="F36" s="204"/>
      <c r="G36" s="205"/>
      <c r="H36" s="205"/>
      <c r="I36" s="205"/>
      <c r="J36" s="205"/>
      <c r="K36" s="206"/>
      <c r="L36" s="207"/>
      <c r="M36" s="208"/>
      <c r="N36" s="210"/>
      <c r="O36" s="267"/>
      <c r="P36" s="210"/>
      <c r="Q36" s="205"/>
      <c r="R36" s="265"/>
      <c r="S36" s="265"/>
      <c r="T36" s="265"/>
      <c r="U36" s="265"/>
      <c r="V36" s="265"/>
      <c r="W36" s="265"/>
      <c r="X36" s="265"/>
      <c r="Y36" s="265"/>
      <c r="Z36" s="265"/>
    </row>
    <row r="37">
      <c r="A37" s="199"/>
      <c r="B37" s="265"/>
      <c r="C37" s="206"/>
      <c r="D37" s="202"/>
      <c r="E37" s="203"/>
      <c r="F37" s="204"/>
      <c r="G37" s="205"/>
      <c r="H37" s="205"/>
      <c r="I37" s="205"/>
      <c r="J37" s="205"/>
      <c r="K37" s="206"/>
      <c r="L37" s="207"/>
      <c r="M37" s="208"/>
      <c r="N37" s="210"/>
      <c r="O37" s="267"/>
      <c r="P37" s="210"/>
      <c r="Q37" s="205"/>
      <c r="R37" s="265"/>
      <c r="S37" s="265"/>
      <c r="T37" s="265"/>
      <c r="U37" s="265"/>
      <c r="V37" s="265"/>
      <c r="W37" s="265"/>
      <c r="X37" s="265"/>
      <c r="Y37" s="265"/>
      <c r="Z37" s="265"/>
    </row>
    <row r="38">
      <c r="A38" s="199"/>
      <c r="B38" s="265"/>
      <c r="C38" s="206"/>
      <c r="D38" s="202"/>
      <c r="E38" s="203"/>
      <c r="F38" s="204"/>
      <c r="G38" s="205"/>
      <c r="H38" s="205"/>
      <c r="I38" s="205"/>
      <c r="J38" s="205"/>
      <c r="K38" s="206"/>
      <c r="L38" s="207"/>
      <c r="M38" s="208"/>
      <c r="N38" s="210"/>
      <c r="O38" s="267"/>
      <c r="P38" s="210"/>
      <c r="Q38" s="205"/>
      <c r="R38" s="265"/>
      <c r="S38" s="265"/>
      <c r="T38" s="265"/>
      <c r="U38" s="265"/>
      <c r="V38" s="265"/>
      <c r="W38" s="265"/>
      <c r="X38" s="265"/>
      <c r="Y38" s="265"/>
      <c r="Z38" s="265"/>
    </row>
    <row r="39">
      <c r="A39" s="199"/>
      <c r="B39" s="265"/>
      <c r="C39" s="206"/>
      <c r="D39" s="202"/>
      <c r="E39" s="203"/>
      <c r="F39" s="204"/>
      <c r="G39" s="205"/>
      <c r="H39" s="205"/>
      <c r="I39" s="205"/>
      <c r="J39" s="205"/>
      <c r="K39" s="206"/>
      <c r="L39" s="207"/>
      <c r="M39" s="208"/>
      <c r="N39" s="210"/>
      <c r="O39" s="267"/>
      <c r="P39" s="210"/>
      <c r="Q39" s="205"/>
      <c r="R39" s="265"/>
      <c r="S39" s="265"/>
      <c r="T39" s="265"/>
      <c r="U39" s="265"/>
      <c r="V39" s="265"/>
      <c r="W39" s="265"/>
      <c r="X39" s="265"/>
      <c r="Y39" s="265"/>
      <c r="Z39" s="265"/>
    </row>
    <row r="40">
      <c r="A40" s="199"/>
      <c r="B40" s="265"/>
      <c r="C40" s="206"/>
      <c r="D40" s="202"/>
      <c r="E40" s="203"/>
      <c r="F40" s="204"/>
      <c r="G40" s="205"/>
      <c r="H40" s="205"/>
      <c r="I40" s="205"/>
      <c r="J40" s="205"/>
      <c r="K40" s="206"/>
      <c r="L40" s="207"/>
      <c r="M40" s="208"/>
      <c r="N40" s="210"/>
      <c r="O40" s="267"/>
      <c r="P40" s="210"/>
      <c r="Q40" s="205"/>
      <c r="R40" s="265"/>
      <c r="S40" s="265"/>
      <c r="T40" s="265"/>
      <c r="U40" s="265"/>
      <c r="V40" s="265"/>
      <c r="W40" s="265"/>
      <c r="X40" s="265"/>
      <c r="Y40" s="265"/>
      <c r="Z40" s="265"/>
    </row>
    <row r="41">
      <c r="A41" s="199"/>
      <c r="B41" s="265"/>
      <c r="C41" s="206"/>
      <c r="D41" s="202"/>
      <c r="E41" s="203"/>
      <c r="F41" s="204"/>
      <c r="G41" s="205"/>
      <c r="H41" s="205"/>
      <c r="I41" s="205"/>
      <c r="J41" s="205"/>
      <c r="K41" s="206"/>
      <c r="L41" s="207"/>
      <c r="M41" s="208"/>
      <c r="N41" s="210"/>
      <c r="O41" s="267"/>
      <c r="P41" s="210"/>
      <c r="Q41" s="205"/>
      <c r="R41" s="265"/>
      <c r="S41" s="265"/>
      <c r="T41" s="265"/>
      <c r="U41" s="265"/>
      <c r="V41" s="265"/>
      <c r="W41" s="265"/>
      <c r="X41" s="265"/>
      <c r="Y41" s="265"/>
      <c r="Z41" s="265"/>
    </row>
    <row r="42">
      <c r="A42" s="199"/>
      <c r="B42" s="265"/>
      <c r="C42" s="206"/>
      <c r="D42" s="202"/>
      <c r="E42" s="203"/>
      <c r="F42" s="204"/>
      <c r="G42" s="205"/>
      <c r="H42" s="205"/>
      <c r="I42" s="205"/>
      <c r="J42" s="205"/>
      <c r="K42" s="206"/>
      <c r="L42" s="207"/>
      <c r="M42" s="208"/>
      <c r="N42" s="210"/>
      <c r="O42" s="267"/>
      <c r="P42" s="210"/>
      <c r="Q42" s="205"/>
      <c r="R42" s="265"/>
      <c r="S42" s="265"/>
      <c r="T42" s="265"/>
      <c r="U42" s="265"/>
      <c r="V42" s="265"/>
      <c r="W42" s="265"/>
      <c r="X42" s="265"/>
      <c r="Y42" s="265"/>
      <c r="Z42" s="265"/>
    </row>
    <row r="43">
      <c r="A43" s="199"/>
      <c r="B43" s="265"/>
      <c r="C43" s="206"/>
      <c r="D43" s="202"/>
      <c r="E43" s="203"/>
      <c r="F43" s="204"/>
      <c r="G43" s="205"/>
      <c r="H43" s="205"/>
      <c r="I43" s="205"/>
      <c r="J43" s="205"/>
      <c r="K43" s="206"/>
      <c r="L43" s="207"/>
      <c r="M43" s="208"/>
      <c r="N43" s="210"/>
      <c r="O43" s="267"/>
      <c r="P43" s="210"/>
      <c r="Q43" s="205"/>
      <c r="R43" s="265"/>
      <c r="S43" s="265"/>
      <c r="T43" s="265"/>
      <c r="U43" s="265"/>
      <c r="V43" s="265"/>
      <c r="W43" s="265"/>
      <c r="X43" s="265"/>
      <c r="Y43" s="265"/>
      <c r="Z43" s="265"/>
    </row>
    <row r="44">
      <c r="A44" s="199"/>
      <c r="B44" s="265"/>
      <c r="C44" s="206"/>
      <c r="D44" s="202"/>
      <c r="E44" s="203"/>
      <c r="F44" s="204"/>
      <c r="G44" s="205"/>
      <c r="H44" s="205"/>
      <c r="I44" s="205"/>
      <c r="J44" s="205"/>
      <c r="K44" s="206"/>
      <c r="L44" s="207"/>
      <c r="M44" s="208"/>
      <c r="N44" s="210"/>
      <c r="O44" s="267"/>
      <c r="P44" s="210"/>
      <c r="Q44" s="205"/>
      <c r="R44" s="265"/>
      <c r="S44" s="265"/>
      <c r="T44" s="265"/>
      <c r="U44" s="265"/>
      <c r="V44" s="265"/>
      <c r="W44" s="265"/>
      <c r="X44" s="265"/>
      <c r="Y44" s="265"/>
      <c r="Z44" s="265"/>
    </row>
    <row r="45">
      <c r="A45" s="199"/>
      <c r="B45" s="265"/>
      <c r="C45" s="206"/>
      <c r="D45" s="202"/>
      <c r="E45" s="203"/>
      <c r="F45" s="204"/>
      <c r="G45" s="205"/>
      <c r="H45" s="205"/>
      <c r="I45" s="205"/>
      <c r="J45" s="205"/>
      <c r="K45" s="206"/>
      <c r="L45" s="207"/>
      <c r="M45" s="208"/>
      <c r="N45" s="210"/>
      <c r="O45" s="267"/>
      <c r="P45" s="210"/>
      <c r="Q45" s="205"/>
      <c r="R45" s="265"/>
      <c r="S45" s="265"/>
      <c r="T45" s="265"/>
      <c r="U45" s="265"/>
      <c r="V45" s="265"/>
      <c r="W45" s="265"/>
      <c r="X45" s="265"/>
      <c r="Y45" s="265"/>
      <c r="Z45" s="265"/>
    </row>
    <row r="46">
      <c r="A46" s="199"/>
      <c r="B46" s="265"/>
      <c r="C46" s="206"/>
      <c r="D46" s="202"/>
      <c r="E46" s="203"/>
      <c r="F46" s="204"/>
      <c r="G46" s="205"/>
      <c r="H46" s="205"/>
      <c r="I46" s="205"/>
      <c r="J46" s="205"/>
      <c r="K46" s="206"/>
      <c r="L46" s="207"/>
      <c r="M46" s="208"/>
      <c r="N46" s="210"/>
      <c r="O46" s="267"/>
      <c r="P46" s="210"/>
      <c r="Q46" s="205"/>
      <c r="R46" s="265"/>
      <c r="S46" s="265"/>
      <c r="T46" s="265"/>
      <c r="U46" s="265"/>
      <c r="V46" s="265"/>
      <c r="W46" s="265"/>
      <c r="X46" s="265"/>
      <c r="Y46" s="265"/>
      <c r="Z46" s="265"/>
    </row>
    <row r="47">
      <c r="A47" s="199"/>
      <c r="B47" s="265"/>
      <c r="C47" s="206"/>
      <c r="D47" s="202"/>
      <c r="E47" s="203"/>
      <c r="F47" s="204"/>
      <c r="G47" s="205"/>
      <c r="H47" s="205"/>
      <c r="I47" s="205"/>
      <c r="J47" s="205"/>
      <c r="K47" s="206"/>
      <c r="L47" s="207"/>
      <c r="M47" s="208"/>
      <c r="N47" s="210"/>
      <c r="O47" s="267"/>
      <c r="P47" s="210"/>
      <c r="Q47" s="205"/>
      <c r="R47" s="265"/>
      <c r="S47" s="265"/>
      <c r="T47" s="265"/>
      <c r="U47" s="265"/>
      <c r="V47" s="265"/>
      <c r="W47" s="265"/>
      <c r="X47" s="265"/>
      <c r="Y47" s="265"/>
      <c r="Z47" s="265"/>
    </row>
    <row r="48">
      <c r="A48" s="199"/>
      <c r="B48" s="265"/>
      <c r="C48" s="206"/>
      <c r="D48" s="202"/>
      <c r="E48" s="203"/>
      <c r="F48" s="204"/>
      <c r="G48" s="205"/>
      <c r="H48" s="205"/>
      <c r="I48" s="205"/>
      <c r="J48" s="205"/>
      <c r="K48" s="206"/>
      <c r="L48" s="207"/>
      <c r="M48" s="208"/>
      <c r="N48" s="210"/>
      <c r="O48" s="267"/>
      <c r="P48" s="210"/>
      <c r="Q48" s="205"/>
      <c r="R48" s="265"/>
      <c r="S48" s="265"/>
      <c r="T48" s="265"/>
      <c r="U48" s="265"/>
      <c r="V48" s="265"/>
      <c r="W48" s="265"/>
      <c r="X48" s="265"/>
      <c r="Y48" s="265"/>
      <c r="Z48" s="265"/>
    </row>
    <row r="49">
      <c r="A49" s="199"/>
      <c r="B49" s="265"/>
      <c r="C49" s="206"/>
      <c r="D49" s="202"/>
      <c r="E49" s="203"/>
      <c r="F49" s="204"/>
      <c r="G49" s="205"/>
      <c r="H49" s="205"/>
      <c r="I49" s="205"/>
      <c r="J49" s="205"/>
      <c r="K49" s="206"/>
      <c r="L49" s="207"/>
      <c r="M49" s="208"/>
      <c r="N49" s="210"/>
      <c r="O49" s="267"/>
      <c r="P49" s="210"/>
      <c r="Q49" s="205"/>
      <c r="R49" s="265"/>
      <c r="S49" s="265"/>
      <c r="T49" s="265"/>
      <c r="U49" s="265"/>
      <c r="V49" s="265"/>
      <c r="W49" s="265"/>
      <c r="X49" s="265"/>
      <c r="Y49" s="265"/>
      <c r="Z49" s="265"/>
    </row>
    <row r="50">
      <c r="A50" s="199"/>
      <c r="B50" s="265"/>
      <c r="C50" s="206"/>
      <c r="D50" s="202"/>
      <c r="E50" s="203"/>
      <c r="F50" s="204"/>
      <c r="G50" s="205"/>
      <c r="H50" s="205"/>
      <c r="I50" s="205"/>
      <c r="J50" s="205"/>
      <c r="K50" s="206"/>
      <c r="L50" s="207"/>
      <c r="M50" s="208"/>
      <c r="N50" s="210"/>
      <c r="O50" s="267"/>
      <c r="P50" s="210"/>
      <c r="Q50" s="205"/>
      <c r="R50" s="265"/>
      <c r="S50" s="265"/>
      <c r="T50" s="265"/>
      <c r="U50" s="265"/>
      <c r="V50" s="265"/>
      <c r="W50" s="265"/>
      <c r="X50" s="265"/>
      <c r="Y50" s="265"/>
      <c r="Z50" s="265"/>
    </row>
    <row r="51">
      <c r="A51" s="199"/>
      <c r="B51" s="265"/>
      <c r="C51" s="206"/>
      <c r="D51" s="202"/>
      <c r="E51" s="203"/>
      <c r="F51" s="204"/>
      <c r="G51" s="205"/>
      <c r="H51" s="205"/>
      <c r="I51" s="205"/>
      <c r="J51" s="205"/>
      <c r="K51" s="206"/>
      <c r="L51" s="207"/>
      <c r="M51" s="208"/>
      <c r="N51" s="210"/>
      <c r="O51" s="267"/>
      <c r="P51" s="210"/>
      <c r="Q51" s="205"/>
      <c r="R51" s="265"/>
      <c r="S51" s="265"/>
      <c r="T51" s="265"/>
      <c r="U51" s="265"/>
      <c r="V51" s="265"/>
      <c r="W51" s="265"/>
      <c r="X51" s="265"/>
      <c r="Y51" s="265"/>
      <c r="Z51" s="265"/>
    </row>
    <row r="52">
      <c r="A52" s="199"/>
      <c r="B52" s="265"/>
      <c r="C52" s="206"/>
      <c r="D52" s="202"/>
      <c r="E52" s="203"/>
      <c r="F52" s="204"/>
      <c r="G52" s="205"/>
      <c r="H52" s="205"/>
      <c r="I52" s="205"/>
      <c r="J52" s="205"/>
      <c r="K52" s="206"/>
      <c r="L52" s="207"/>
      <c r="M52" s="208"/>
      <c r="N52" s="210"/>
      <c r="O52" s="267"/>
      <c r="P52" s="210"/>
      <c r="Q52" s="205"/>
      <c r="R52" s="265"/>
      <c r="S52" s="265"/>
      <c r="T52" s="265"/>
      <c r="U52" s="265"/>
      <c r="V52" s="265"/>
      <c r="W52" s="265"/>
      <c r="X52" s="265"/>
      <c r="Y52" s="265"/>
      <c r="Z52" s="265"/>
    </row>
    <row r="53">
      <c r="A53" s="199"/>
      <c r="B53" s="265"/>
      <c r="C53" s="206"/>
      <c r="D53" s="202"/>
      <c r="E53" s="203"/>
      <c r="F53" s="204"/>
      <c r="G53" s="205"/>
      <c r="H53" s="205"/>
      <c r="I53" s="205"/>
      <c r="J53" s="205"/>
      <c r="K53" s="206"/>
      <c r="L53" s="207"/>
      <c r="M53" s="208"/>
      <c r="N53" s="210"/>
      <c r="O53" s="267"/>
      <c r="P53" s="210"/>
      <c r="Q53" s="205"/>
      <c r="R53" s="265"/>
      <c r="S53" s="265"/>
      <c r="T53" s="265"/>
      <c r="U53" s="265"/>
      <c r="V53" s="265"/>
      <c r="W53" s="265"/>
      <c r="X53" s="265"/>
      <c r="Y53" s="265"/>
      <c r="Z53" s="265"/>
    </row>
    <row r="54">
      <c r="A54" s="199"/>
      <c r="B54" s="265"/>
      <c r="C54" s="206"/>
      <c r="D54" s="202"/>
      <c r="E54" s="203"/>
      <c r="F54" s="204"/>
      <c r="G54" s="205"/>
      <c r="H54" s="205"/>
      <c r="I54" s="205"/>
      <c r="J54" s="205"/>
      <c r="K54" s="206"/>
      <c r="L54" s="207"/>
      <c r="M54" s="208"/>
      <c r="N54" s="210"/>
      <c r="O54" s="267"/>
      <c r="P54" s="210"/>
      <c r="Q54" s="205"/>
      <c r="R54" s="265"/>
      <c r="S54" s="265"/>
      <c r="T54" s="265"/>
      <c r="U54" s="265"/>
      <c r="V54" s="265"/>
      <c r="W54" s="265"/>
      <c r="X54" s="265"/>
      <c r="Y54" s="265"/>
      <c r="Z54" s="265"/>
    </row>
    <row r="55">
      <c r="A55" s="199"/>
      <c r="B55" s="265"/>
      <c r="C55" s="206"/>
      <c r="D55" s="202"/>
      <c r="E55" s="203"/>
      <c r="F55" s="204"/>
      <c r="G55" s="205"/>
      <c r="H55" s="205"/>
      <c r="I55" s="205"/>
      <c r="J55" s="205"/>
      <c r="K55" s="206"/>
      <c r="L55" s="207"/>
      <c r="M55" s="208"/>
      <c r="N55" s="210"/>
      <c r="O55" s="267"/>
      <c r="P55" s="210"/>
      <c r="Q55" s="205"/>
      <c r="R55" s="265"/>
      <c r="S55" s="265"/>
      <c r="T55" s="265"/>
      <c r="U55" s="265"/>
      <c r="V55" s="265"/>
      <c r="W55" s="265"/>
      <c r="X55" s="265"/>
      <c r="Y55" s="265"/>
      <c r="Z55" s="265"/>
    </row>
    <row r="56">
      <c r="A56" s="199"/>
      <c r="B56" s="265"/>
      <c r="C56" s="206"/>
      <c r="D56" s="202"/>
      <c r="E56" s="203"/>
      <c r="F56" s="204"/>
      <c r="G56" s="205"/>
      <c r="H56" s="205"/>
      <c r="I56" s="205"/>
      <c r="J56" s="205"/>
      <c r="K56" s="206"/>
      <c r="L56" s="207"/>
      <c r="M56" s="208"/>
      <c r="N56" s="210"/>
      <c r="O56" s="267"/>
      <c r="P56" s="210"/>
      <c r="Q56" s="205"/>
      <c r="R56" s="265"/>
      <c r="S56" s="265"/>
      <c r="T56" s="265"/>
      <c r="U56" s="265"/>
      <c r="V56" s="265"/>
      <c r="W56" s="265"/>
      <c r="X56" s="265"/>
      <c r="Y56" s="265"/>
      <c r="Z56" s="265"/>
    </row>
    <row r="57">
      <c r="A57" s="199"/>
      <c r="B57" s="265"/>
      <c r="C57" s="206"/>
      <c r="D57" s="202"/>
      <c r="E57" s="203"/>
      <c r="F57" s="204"/>
      <c r="G57" s="205"/>
      <c r="H57" s="205"/>
      <c r="I57" s="205"/>
      <c r="J57" s="205"/>
      <c r="K57" s="206"/>
      <c r="L57" s="207"/>
      <c r="M57" s="208"/>
      <c r="N57" s="210"/>
      <c r="O57" s="267"/>
      <c r="P57" s="210"/>
      <c r="Q57" s="205"/>
      <c r="R57" s="265"/>
      <c r="S57" s="265"/>
      <c r="T57" s="265"/>
      <c r="U57" s="265"/>
      <c r="V57" s="265"/>
      <c r="W57" s="265"/>
      <c r="X57" s="265"/>
      <c r="Y57" s="265"/>
      <c r="Z57" s="265"/>
    </row>
    <row r="58">
      <c r="A58" s="199"/>
      <c r="B58" s="265"/>
      <c r="C58" s="206"/>
      <c r="D58" s="202"/>
      <c r="E58" s="203"/>
      <c r="F58" s="204"/>
      <c r="G58" s="205"/>
      <c r="H58" s="205"/>
      <c r="I58" s="205"/>
      <c r="J58" s="205"/>
      <c r="K58" s="206"/>
      <c r="L58" s="207"/>
      <c r="M58" s="208"/>
      <c r="N58" s="210"/>
      <c r="O58" s="267"/>
      <c r="P58" s="210"/>
      <c r="Q58" s="205"/>
      <c r="R58" s="265"/>
      <c r="S58" s="265"/>
      <c r="T58" s="265"/>
      <c r="U58" s="265"/>
      <c r="V58" s="265"/>
      <c r="W58" s="265"/>
      <c r="X58" s="265"/>
      <c r="Y58" s="265"/>
      <c r="Z58" s="265"/>
    </row>
    <row r="59">
      <c r="A59" s="199"/>
      <c r="B59" s="265"/>
      <c r="C59" s="206"/>
      <c r="D59" s="202"/>
      <c r="E59" s="203"/>
      <c r="F59" s="204"/>
      <c r="G59" s="205"/>
      <c r="H59" s="205"/>
      <c r="I59" s="205"/>
      <c r="J59" s="205"/>
      <c r="K59" s="206"/>
      <c r="L59" s="207"/>
      <c r="M59" s="208"/>
      <c r="N59" s="210"/>
      <c r="O59" s="267"/>
      <c r="P59" s="210"/>
      <c r="Q59" s="205"/>
      <c r="R59" s="265"/>
      <c r="S59" s="265"/>
      <c r="T59" s="265"/>
      <c r="U59" s="265"/>
      <c r="V59" s="265"/>
      <c r="W59" s="265"/>
      <c r="X59" s="265"/>
      <c r="Y59" s="265"/>
      <c r="Z59" s="265"/>
    </row>
    <row r="60">
      <c r="A60" s="199"/>
      <c r="B60" s="265"/>
      <c r="C60" s="206"/>
      <c r="D60" s="202"/>
      <c r="E60" s="203"/>
      <c r="F60" s="204"/>
      <c r="G60" s="205"/>
      <c r="H60" s="205"/>
      <c r="I60" s="205"/>
      <c r="J60" s="205"/>
      <c r="K60" s="206"/>
      <c r="L60" s="207"/>
      <c r="M60" s="208"/>
      <c r="N60" s="210"/>
      <c r="O60" s="267"/>
      <c r="P60" s="210"/>
      <c r="Q60" s="205"/>
      <c r="R60" s="265"/>
      <c r="S60" s="265"/>
      <c r="T60" s="265"/>
      <c r="U60" s="265"/>
      <c r="V60" s="265"/>
      <c r="W60" s="265"/>
      <c r="X60" s="265"/>
      <c r="Y60" s="265"/>
      <c r="Z60" s="265"/>
    </row>
    <row r="61">
      <c r="A61" s="199"/>
      <c r="B61" s="265"/>
      <c r="C61" s="206"/>
      <c r="D61" s="202"/>
      <c r="E61" s="203"/>
      <c r="F61" s="204"/>
      <c r="G61" s="205"/>
      <c r="H61" s="205"/>
      <c r="I61" s="205"/>
      <c r="J61" s="205"/>
      <c r="K61" s="206"/>
      <c r="L61" s="207"/>
      <c r="M61" s="208"/>
      <c r="N61" s="210"/>
      <c r="O61" s="267"/>
      <c r="P61" s="210"/>
      <c r="Q61" s="205"/>
      <c r="R61" s="265"/>
      <c r="S61" s="265"/>
      <c r="T61" s="265"/>
      <c r="U61" s="265"/>
      <c r="V61" s="265"/>
      <c r="W61" s="265"/>
      <c r="X61" s="265"/>
      <c r="Y61" s="265"/>
      <c r="Z61" s="265"/>
    </row>
    <row r="62">
      <c r="A62" s="199"/>
      <c r="B62" s="265"/>
      <c r="C62" s="206"/>
      <c r="D62" s="202"/>
      <c r="E62" s="203"/>
      <c r="F62" s="204"/>
      <c r="G62" s="205"/>
      <c r="H62" s="205"/>
      <c r="I62" s="205"/>
      <c r="J62" s="205"/>
      <c r="K62" s="206"/>
      <c r="L62" s="207"/>
      <c r="M62" s="208"/>
      <c r="N62" s="210"/>
      <c r="O62" s="267"/>
      <c r="P62" s="210"/>
      <c r="Q62" s="205"/>
      <c r="R62" s="265"/>
      <c r="S62" s="265"/>
      <c r="T62" s="265"/>
      <c r="U62" s="265"/>
      <c r="V62" s="265"/>
      <c r="W62" s="265"/>
      <c r="X62" s="265"/>
      <c r="Y62" s="265"/>
      <c r="Z62" s="265"/>
    </row>
    <row r="63">
      <c r="A63" s="199"/>
      <c r="B63" s="265"/>
      <c r="C63" s="206"/>
      <c r="D63" s="202"/>
      <c r="E63" s="203"/>
      <c r="F63" s="204"/>
      <c r="G63" s="205"/>
      <c r="H63" s="205"/>
      <c r="I63" s="205"/>
      <c r="J63" s="205"/>
      <c r="K63" s="206"/>
      <c r="L63" s="207"/>
      <c r="M63" s="208"/>
      <c r="N63" s="210"/>
      <c r="O63" s="267"/>
      <c r="P63" s="210"/>
      <c r="Q63" s="205"/>
      <c r="R63" s="265"/>
      <c r="S63" s="265"/>
      <c r="T63" s="265"/>
      <c r="U63" s="265"/>
      <c r="V63" s="265"/>
      <c r="W63" s="265"/>
      <c r="X63" s="265"/>
      <c r="Y63" s="265"/>
      <c r="Z63" s="265"/>
    </row>
    <row r="64">
      <c r="A64" s="199"/>
      <c r="B64" s="265"/>
      <c r="C64" s="206"/>
      <c r="D64" s="202"/>
      <c r="E64" s="203"/>
      <c r="F64" s="204"/>
      <c r="G64" s="205"/>
      <c r="H64" s="205"/>
      <c r="I64" s="205"/>
      <c r="J64" s="205"/>
      <c r="K64" s="206"/>
      <c r="L64" s="207"/>
      <c r="M64" s="208"/>
      <c r="N64" s="210"/>
      <c r="O64" s="267"/>
      <c r="P64" s="210"/>
      <c r="Q64" s="205"/>
      <c r="R64" s="265"/>
      <c r="S64" s="265"/>
      <c r="T64" s="265"/>
      <c r="U64" s="265"/>
      <c r="V64" s="265"/>
      <c r="W64" s="265"/>
      <c r="X64" s="265"/>
      <c r="Y64" s="265"/>
      <c r="Z64" s="265"/>
    </row>
    <row r="65">
      <c r="A65" s="199"/>
      <c r="B65" s="265"/>
      <c r="C65" s="206"/>
      <c r="D65" s="202"/>
      <c r="E65" s="203"/>
      <c r="F65" s="204"/>
      <c r="G65" s="205"/>
      <c r="H65" s="205"/>
      <c r="I65" s="205"/>
      <c r="J65" s="205"/>
      <c r="K65" s="206"/>
      <c r="L65" s="207"/>
      <c r="M65" s="208"/>
      <c r="N65" s="210"/>
      <c r="O65" s="267"/>
      <c r="P65" s="210"/>
      <c r="Q65" s="205"/>
      <c r="R65" s="265"/>
      <c r="S65" s="265"/>
      <c r="T65" s="265"/>
      <c r="U65" s="265"/>
      <c r="V65" s="265"/>
      <c r="W65" s="265"/>
      <c r="X65" s="265"/>
      <c r="Y65" s="265"/>
      <c r="Z65" s="265"/>
    </row>
    <row r="66">
      <c r="A66" s="199"/>
      <c r="B66" s="265"/>
      <c r="C66" s="206"/>
      <c r="D66" s="202"/>
      <c r="E66" s="203"/>
      <c r="F66" s="204"/>
      <c r="G66" s="205"/>
      <c r="H66" s="205"/>
      <c r="I66" s="205"/>
      <c r="J66" s="205"/>
      <c r="K66" s="206"/>
      <c r="L66" s="207"/>
      <c r="M66" s="208"/>
      <c r="N66" s="210"/>
      <c r="O66" s="267"/>
      <c r="P66" s="210"/>
      <c r="Q66" s="205"/>
      <c r="R66" s="265"/>
      <c r="S66" s="265"/>
      <c r="T66" s="265"/>
      <c r="U66" s="265"/>
      <c r="V66" s="265"/>
      <c r="W66" s="265"/>
      <c r="X66" s="265"/>
      <c r="Y66" s="265"/>
      <c r="Z66" s="265"/>
    </row>
    <row r="67">
      <c r="A67" s="199"/>
      <c r="B67" s="265"/>
      <c r="C67" s="206"/>
      <c r="D67" s="202"/>
      <c r="E67" s="203"/>
      <c r="F67" s="204"/>
      <c r="G67" s="205"/>
      <c r="H67" s="205"/>
      <c r="I67" s="205"/>
      <c r="J67" s="205"/>
      <c r="K67" s="206"/>
      <c r="L67" s="207"/>
      <c r="M67" s="208"/>
      <c r="N67" s="210"/>
      <c r="O67" s="267"/>
      <c r="P67" s="210"/>
      <c r="Q67" s="205"/>
      <c r="R67" s="265"/>
      <c r="S67" s="265"/>
      <c r="T67" s="265"/>
      <c r="U67" s="265"/>
      <c r="V67" s="265"/>
      <c r="W67" s="265"/>
      <c r="X67" s="265"/>
      <c r="Y67" s="265"/>
      <c r="Z67" s="265"/>
    </row>
    <row r="68">
      <c r="A68" s="199"/>
      <c r="B68" s="265"/>
      <c r="C68" s="206"/>
      <c r="D68" s="202"/>
      <c r="E68" s="203"/>
      <c r="F68" s="204"/>
      <c r="G68" s="205"/>
      <c r="H68" s="205"/>
      <c r="I68" s="205"/>
      <c r="J68" s="205"/>
      <c r="K68" s="206"/>
      <c r="L68" s="207"/>
      <c r="M68" s="208"/>
      <c r="N68" s="210"/>
      <c r="O68" s="267"/>
      <c r="P68" s="210"/>
      <c r="Q68" s="205"/>
      <c r="R68" s="265"/>
      <c r="S68" s="265"/>
      <c r="T68" s="265"/>
      <c r="U68" s="265"/>
      <c r="V68" s="265"/>
      <c r="W68" s="265"/>
      <c r="X68" s="265"/>
      <c r="Y68" s="265"/>
      <c r="Z68" s="265"/>
    </row>
    <row r="69">
      <c r="A69" s="199"/>
      <c r="B69" s="265"/>
      <c r="C69" s="206"/>
      <c r="D69" s="202"/>
      <c r="E69" s="203"/>
      <c r="F69" s="204"/>
      <c r="G69" s="205"/>
      <c r="H69" s="205"/>
      <c r="I69" s="205"/>
      <c r="J69" s="205"/>
      <c r="K69" s="206"/>
      <c r="L69" s="207"/>
      <c r="M69" s="208"/>
      <c r="N69" s="210"/>
      <c r="O69" s="267"/>
      <c r="P69" s="210"/>
      <c r="Q69" s="205"/>
      <c r="R69" s="265"/>
      <c r="S69" s="265"/>
      <c r="T69" s="265"/>
      <c r="U69" s="265"/>
      <c r="V69" s="265"/>
      <c r="W69" s="265"/>
      <c r="X69" s="265"/>
      <c r="Y69" s="265"/>
      <c r="Z69" s="265"/>
    </row>
    <row r="70">
      <c r="A70" s="199"/>
      <c r="B70" s="265"/>
      <c r="C70" s="206"/>
      <c r="D70" s="202"/>
      <c r="E70" s="203"/>
      <c r="F70" s="204"/>
      <c r="G70" s="205"/>
      <c r="H70" s="205"/>
      <c r="I70" s="205"/>
      <c r="J70" s="205"/>
      <c r="K70" s="206"/>
      <c r="L70" s="207"/>
      <c r="M70" s="208"/>
      <c r="N70" s="210"/>
      <c r="O70" s="267"/>
      <c r="P70" s="210"/>
      <c r="Q70" s="205"/>
      <c r="R70" s="265"/>
      <c r="S70" s="265"/>
      <c r="T70" s="265"/>
      <c r="U70" s="265"/>
      <c r="V70" s="265"/>
      <c r="W70" s="265"/>
      <c r="X70" s="265"/>
      <c r="Y70" s="265"/>
      <c r="Z70" s="265"/>
    </row>
    <row r="71">
      <c r="A71" s="199"/>
      <c r="B71" s="265"/>
      <c r="C71" s="206"/>
      <c r="D71" s="202"/>
      <c r="E71" s="203"/>
      <c r="F71" s="204"/>
      <c r="G71" s="205"/>
      <c r="H71" s="205"/>
      <c r="I71" s="205"/>
      <c r="J71" s="205"/>
      <c r="K71" s="206"/>
      <c r="L71" s="207"/>
      <c r="M71" s="208"/>
      <c r="N71" s="210"/>
      <c r="O71" s="267"/>
      <c r="P71" s="210"/>
      <c r="Q71" s="205"/>
      <c r="R71" s="265"/>
      <c r="S71" s="265"/>
      <c r="T71" s="265"/>
      <c r="U71" s="265"/>
      <c r="V71" s="265"/>
      <c r="W71" s="265"/>
      <c r="X71" s="265"/>
      <c r="Y71" s="265"/>
      <c r="Z71" s="265"/>
    </row>
    <row r="72">
      <c r="A72" s="199"/>
      <c r="B72" s="265"/>
      <c r="C72" s="206"/>
      <c r="D72" s="202"/>
      <c r="E72" s="203"/>
      <c r="F72" s="204"/>
      <c r="G72" s="205"/>
      <c r="H72" s="205"/>
      <c r="I72" s="205"/>
      <c r="J72" s="205"/>
      <c r="K72" s="206"/>
      <c r="L72" s="207"/>
      <c r="M72" s="208"/>
      <c r="N72" s="210"/>
      <c r="O72" s="267"/>
      <c r="P72" s="210"/>
      <c r="Q72" s="205"/>
      <c r="R72" s="265"/>
      <c r="S72" s="265"/>
      <c r="T72" s="265"/>
      <c r="U72" s="265"/>
      <c r="V72" s="265"/>
      <c r="W72" s="265"/>
      <c r="X72" s="265"/>
      <c r="Y72" s="265"/>
      <c r="Z72" s="265"/>
    </row>
    <row r="73">
      <c r="A73" s="199"/>
      <c r="B73" s="265"/>
      <c r="C73" s="206"/>
      <c r="D73" s="202"/>
      <c r="E73" s="203"/>
      <c r="F73" s="204"/>
      <c r="G73" s="205"/>
      <c r="H73" s="205"/>
      <c r="I73" s="205"/>
      <c r="J73" s="205"/>
      <c r="K73" s="206"/>
      <c r="L73" s="207"/>
      <c r="M73" s="208"/>
      <c r="N73" s="210"/>
      <c r="O73" s="267"/>
      <c r="P73" s="210"/>
      <c r="Q73" s="205"/>
      <c r="R73" s="265"/>
      <c r="S73" s="265"/>
      <c r="T73" s="265"/>
      <c r="U73" s="265"/>
      <c r="V73" s="265"/>
      <c r="W73" s="265"/>
      <c r="X73" s="265"/>
      <c r="Y73" s="265"/>
      <c r="Z73" s="265"/>
    </row>
    <row r="74">
      <c r="A74" s="199"/>
      <c r="B74" s="265"/>
      <c r="C74" s="206"/>
      <c r="D74" s="202"/>
      <c r="E74" s="203"/>
      <c r="F74" s="204"/>
      <c r="G74" s="205"/>
      <c r="H74" s="205"/>
      <c r="I74" s="205"/>
      <c r="J74" s="205"/>
      <c r="K74" s="206"/>
      <c r="L74" s="207"/>
      <c r="M74" s="208"/>
      <c r="N74" s="210"/>
      <c r="O74" s="267"/>
      <c r="P74" s="210"/>
      <c r="Q74" s="205"/>
      <c r="R74" s="265"/>
      <c r="S74" s="265"/>
      <c r="T74" s="265"/>
      <c r="U74" s="265"/>
      <c r="V74" s="265"/>
      <c r="W74" s="265"/>
      <c r="X74" s="265"/>
      <c r="Y74" s="265"/>
      <c r="Z74" s="265"/>
    </row>
    <row r="75">
      <c r="A75" s="199"/>
      <c r="B75" s="265"/>
      <c r="C75" s="206"/>
      <c r="D75" s="202"/>
      <c r="E75" s="203"/>
      <c r="F75" s="204"/>
      <c r="G75" s="205"/>
      <c r="H75" s="205"/>
      <c r="I75" s="205"/>
      <c r="J75" s="205"/>
      <c r="K75" s="206"/>
      <c r="L75" s="207"/>
      <c r="M75" s="208"/>
      <c r="N75" s="210"/>
      <c r="O75" s="267"/>
      <c r="P75" s="210"/>
      <c r="Q75" s="205"/>
      <c r="R75" s="265"/>
      <c r="S75" s="265"/>
      <c r="T75" s="265"/>
      <c r="U75" s="265"/>
      <c r="V75" s="265"/>
      <c r="W75" s="265"/>
      <c r="X75" s="265"/>
      <c r="Y75" s="265"/>
      <c r="Z75" s="265"/>
    </row>
    <row r="76">
      <c r="A76" s="199"/>
      <c r="B76" s="265"/>
      <c r="C76" s="206"/>
      <c r="D76" s="202"/>
      <c r="E76" s="203"/>
      <c r="F76" s="204"/>
      <c r="G76" s="205"/>
      <c r="H76" s="205"/>
      <c r="I76" s="205"/>
      <c r="J76" s="205"/>
      <c r="K76" s="206"/>
      <c r="L76" s="207"/>
      <c r="M76" s="208"/>
      <c r="N76" s="210"/>
      <c r="O76" s="267"/>
      <c r="P76" s="210"/>
      <c r="Q76" s="205"/>
      <c r="R76" s="265"/>
      <c r="S76" s="265"/>
      <c r="T76" s="265"/>
      <c r="U76" s="265"/>
      <c r="V76" s="265"/>
      <c r="W76" s="265"/>
      <c r="X76" s="265"/>
      <c r="Y76" s="265"/>
      <c r="Z76" s="265"/>
    </row>
    <row r="77">
      <c r="A77" s="199"/>
      <c r="B77" s="265"/>
      <c r="C77" s="206"/>
      <c r="D77" s="202"/>
      <c r="E77" s="203"/>
      <c r="F77" s="204"/>
      <c r="G77" s="205"/>
      <c r="H77" s="205"/>
      <c r="I77" s="205"/>
      <c r="J77" s="205"/>
      <c r="K77" s="206"/>
      <c r="L77" s="207"/>
      <c r="M77" s="208"/>
      <c r="N77" s="210"/>
      <c r="O77" s="267"/>
      <c r="P77" s="210"/>
      <c r="Q77" s="205"/>
      <c r="R77" s="265"/>
      <c r="S77" s="265"/>
      <c r="T77" s="265"/>
      <c r="U77" s="265"/>
      <c r="V77" s="265"/>
      <c r="W77" s="265"/>
      <c r="X77" s="265"/>
      <c r="Y77" s="265"/>
      <c r="Z77" s="265"/>
    </row>
    <row r="78">
      <c r="A78" s="199"/>
      <c r="B78" s="265"/>
      <c r="C78" s="206"/>
      <c r="D78" s="202"/>
      <c r="E78" s="203"/>
      <c r="F78" s="204"/>
      <c r="G78" s="205"/>
      <c r="H78" s="205"/>
      <c r="I78" s="205"/>
      <c r="J78" s="205"/>
      <c r="K78" s="206"/>
      <c r="L78" s="207"/>
      <c r="M78" s="208"/>
      <c r="N78" s="210"/>
      <c r="O78" s="267"/>
      <c r="P78" s="210"/>
      <c r="Q78" s="205"/>
      <c r="R78" s="265"/>
      <c r="S78" s="265"/>
      <c r="T78" s="265"/>
      <c r="U78" s="265"/>
      <c r="V78" s="265"/>
      <c r="W78" s="265"/>
      <c r="X78" s="265"/>
      <c r="Y78" s="265"/>
      <c r="Z78" s="265"/>
    </row>
    <row r="79">
      <c r="A79" s="199"/>
      <c r="B79" s="265"/>
      <c r="C79" s="206"/>
      <c r="D79" s="202"/>
      <c r="E79" s="203"/>
      <c r="F79" s="204"/>
      <c r="G79" s="205"/>
      <c r="H79" s="205"/>
      <c r="I79" s="205"/>
      <c r="J79" s="205"/>
      <c r="K79" s="206"/>
      <c r="L79" s="207"/>
      <c r="M79" s="208"/>
      <c r="N79" s="210"/>
      <c r="O79" s="267"/>
      <c r="P79" s="210"/>
      <c r="Q79" s="205"/>
      <c r="R79" s="265"/>
      <c r="S79" s="265"/>
      <c r="T79" s="265"/>
      <c r="U79" s="265"/>
      <c r="V79" s="265"/>
      <c r="W79" s="265"/>
      <c r="X79" s="265"/>
      <c r="Y79" s="265"/>
      <c r="Z79" s="265"/>
    </row>
    <row r="80">
      <c r="A80" s="199"/>
      <c r="B80" s="265"/>
      <c r="C80" s="206"/>
      <c r="D80" s="202"/>
      <c r="E80" s="203"/>
      <c r="F80" s="204"/>
      <c r="G80" s="205"/>
      <c r="H80" s="205"/>
      <c r="I80" s="205"/>
      <c r="J80" s="205"/>
      <c r="K80" s="206"/>
      <c r="L80" s="207"/>
      <c r="M80" s="208"/>
      <c r="N80" s="210"/>
      <c r="O80" s="267"/>
      <c r="P80" s="210"/>
      <c r="Q80" s="205"/>
      <c r="R80" s="265"/>
      <c r="S80" s="265"/>
      <c r="T80" s="265"/>
      <c r="U80" s="265"/>
      <c r="V80" s="265"/>
      <c r="W80" s="265"/>
      <c r="X80" s="265"/>
      <c r="Y80" s="265"/>
      <c r="Z80" s="265"/>
    </row>
    <row r="81">
      <c r="A81" s="199"/>
      <c r="B81" s="265"/>
      <c r="C81" s="206"/>
      <c r="D81" s="202"/>
      <c r="E81" s="203"/>
      <c r="F81" s="204"/>
      <c r="G81" s="205"/>
      <c r="H81" s="205"/>
      <c r="I81" s="205"/>
      <c r="J81" s="205"/>
      <c r="K81" s="206"/>
      <c r="L81" s="207"/>
      <c r="M81" s="208"/>
      <c r="N81" s="210"/>
      <c r="O81" s="267"/>
      <c r="P81" s="210"/>
      <c r="Q81" s="205"/>
      <c r="R81" s="265"/>
      <c r="S81" s="265"/>
      <c r="T81" s="265"/>
      <c r="U81" s="265"/>
      <c r="V81" s="265"/>
      <c r="W81" s="265"/>
      <c r="X81" s="265"/>
      <c r="Y81" s="265"/>
      <c r="Z81" s="265"/>
    </row>
    <row r="82">
      <c r="A82" s="199"/>
      <c r="B82" s="265"/>
      <c r="C82" s="206"/>
      <c r="D82" s="202"/>
      <c r="E82" s="203"/>
      <c r="F82" s="204"/>
      <c r="G82" s="205"/>
      <c r="H82" s="205"/>
      <c r="I82" s="205"/>
      <c r="J82" s="205"/>
      <c r="K82" s="206"/>
      <c r="L82" s="207"/>
      <c r="M82" s="208"/>
      <c r="N82" s="210"/>
      <c r="O82" s="267"/>
      <c r="P82" s="210"/>
      <c r="Q82" s="205"/>
      <c r="R82" s="265"/>
      <c r="S82" s="265"/>
      <c r="T82" s="265"/>
      <c r="U82" s="265"/>
      <c r="V82" s="265"/>
      <c r="W82" s="265"/>
      <c r="X82" s="265"/>
      <c r="Y82" s="265"/>
      <c r="Z82" s="265"/>
    </row>
    <row r="83">
      <c r="A83" s="199"/>
      <c r="B83" s="265"/>
      <c r="C83" s="206"/>
      <c r="D83" s="202"/>
      <c r="E83" s="203"/>
      <c r="F83" s="204"/>
      <c r="G83" s="205"/>
      <c r="H83" s="205"/>
      <c r="I83" s="205"/>
      <c r="J83" s="205"/>
      <c r="K83" s="206"/>
      <c r="L83" s="207"/>
      <c r="M83" s="208"/>
      <c r="N83" s="210"/>
      <c r="O83" s="267"/>
      <c r="P83" s="210"/>
      <c r="Q83" s="205"/>
      <c r="R83" s="265"/>
      <c r="S83" s="265"/>
      <c r="T83" s="265"/>
      <c r="U83" s="265"/>
      <c r="V83" s="265"/>
      <c r="W83" s="265"/>
      <c r="X83" s="265"/>
      <c r="Y83" s="265"/>
      <c r="Z83" s="265"/>
    </row>
    <row r="84">
      <c r="A84" s="199"/>
      <c r="B84" s="265"/>
      <c r="C84" s="206"/>
      <c r="D84" s="202"/>
      <c r="E84" s="203"/>
      <c r="F84" s="204"/>
      <c r="G84" s="205"/>
      <c r="H84" s="205"/>
      <c r="I84" s="205"/>
      <c r="J84" s="205"/>
      <c r="K84" s="206"/>
      <c r="L84" s="207"/>
      <c r="M84" s="208"/>
      <c r="N84" s="210"/>
      <c r="O84" s="267"/>
      <c r="P84" s="210"/>
      <c r="Q84" s="205"/>
      <c r="R84" s="265"/>
      <c r="S84" s="265"/>
      <c r="T84" s="265"/>
      <c r="U84" s="265"/>
      <c r="V84" s="265"/>
      <c r="W84" s="265"/>
      <c r="X84" s="265"/>
      <c r="Y84" s="265"/>
      <c r="Z84" s="265"/>
    </row>
    <row r="85">
      <c r="A85" s="199"/>
      <c r="B85" s="265"/>
      <c r="C85" s="206"/>
      <c r="D85" s="202"/>
      <c r="E85" s="203"/>
      <c r="F85" s="204"/>
      <c r="G85" s="205"/>
      <c r="H85" s="205"/>
      <c r="I85" s="205"/>
      <c r="J85" s="205"/>
      <c r="K85" s="206"/>
      <c r="L85" s="207"/>
      <c r="M85" s="208"/>
      <c r="N85" s="210"/>
      <c r="O85" s="267"/>
      <c r="P85" s="210"/>
      <c r="Q85" s="205"/>
      <c r="R85" s="265"/>
      <c r="S85" s="265"/>
      <c r="T85" s="265"/>
      <c r="U85" s="265"/>
      <c r="V85" s="265"/>
      <c r="W85" s="265"/>
      <c r="X85" s="265"/>
      <c r="Y85" s="265"/>
      <c r="Z85" s="265"/>
    </row>
    <row r="86">
      <c r="A86" s="199"/>
      <c r="B86" s="265"/>
      <c r="C86" s="206"/>
      <c r="D86" s="202"/>
      <c r="E86" s="203"/>
      <c r="F86" s="204"/>
      <c r="G86" s="205"/>
      <c r="H86" s="205"/>
      <c r="I86" s="205"/>
      <c r="J86" s="205"/>
      <c r="K86" s="206"/>
      <c r="L86" s="207"/>
      <c r="M86" s="208"/>
      <c r="N86" s="210"/>
      <c r="O86" s="267"/>
      <c r="P86" s="210"/>
      <c r="Q86" s="205"/>
      <c r="R86" s="265"/>
      <c r="S86" s="265"/>
      <c r="T86" s="265"/>
      <c r="U86" s="265"/>
      <c r="V86" s="265"/>
      <c r="W86" s="265"/>
      <c r="X86" s="265"/>
      <c r="Y86" s="265"/>
      <c r="Z86" s="265"/>
    </row>
    <row r="87">
      <c r="A87" s="199"/>
      <c r="B87" s="265"/>
      <c r="C87" s="206"/>
      <c r="D87" s="202"/>
      <c r="E87" s="203"/>
      <c r="F87" s="204"/>
      <c r="G87" s="205"/>
      <c r="H87" s="205"/>
      <c r="I87" s="205"/>
      <c r="J87" s="205"/>
      <c r="K87" s="206"/>
      <c r="L87" s="207"/>
      <c r="M87" s="208"/>
      <c r="N87" s="210"/>
      <c r="O87" s="267"/>
      <c r="P87" s="210"/>
      <c r="Q87" s="205"/>
      <c r="R87" s="265"/>
      <c r="S87" s="265"/>
      <c r="T87" s="265"/>
      <c r="U87" s="265"/>
      <c r="V87" s="265"/>
      <c r="W87" s="265"/>
      <c r="X87" s="265"/>
      <c r="Y87" s="265"/>
      <c r="Z87" s="265"/>
    </row>
    <row r="88">
      <c r="A88" s="199"/>
      <c r="B88" s="265"/>
      <c r="C88" s="206"/>
      <c r="D88" s="202"/>
      <c r="E88" s="203"/>
      <c r="F88" s="204"/>
      <c r="G88" s="205"/>
      <c r="H88" s="205"/>
      <c r="I88" s="205"/>
      <c r="J88" s="205"/>
      <c r="K88" s="206"/>
      <c r="L88" s="207"/>
      <c r="M88" s="208"/>
      <c r="N88" s="210"/>
      <c r="O88" s="267"/>
      <c r="P88" s="210"/>
      <c r="Q88" s="205"/>
      <c r="R88" s="265"/>
      <c r="S88" s="265"/>
      <c r="T88" s="265"/>
      <c r="U88" s="265"/>
      <c r="V88" s="265"/>
      <c r="W88" s="265"/>
      <c r="X88" s="265"/>
      <c r="Y88" s="265"/>
      <c r="Z88" s="265"/>
    </row>
    <row r="89">
      <c r="A89" s="199"/>
      <c r="B89" s="265"/>
      <c r="C89" s="206"/>
      <c r="D89" s="202"/>
      <c r="E89" s="203"/>
      <c r="F89" s="204"/>
      <c r="G89" s="205"/>
      <c r="H89" s="205"/>
      <c r="I89" s="205"/>
      <c r="J89" s="205"/>
      <c r="K89" s="206"/>
      <c r="L89" s="207"/>
      <c r="M89" s="208"/>
      <c r="N89" s="210"/>
      <c r="O89" s="267"/>
      <c r="P89" s="210"/>
      <c r="Q89" s="205"/>
      <c r="R89" s="265"/>
      <c r="S89" s="265"/>
      <c r="T89" s="265"/>
      <c r="U89" s="265"/>
      <c r="V89" s="265"/>
      <c r="W89" s="265"/>
      <c r="X89" s="265"/>
      <c r="Y89" s="265"/>
      <c r="Z89" s="265"/>
    </row>
    <row r="90">
      <c r="A90" s="199"/>
      <c r="B90" s="265"/>
      <c r="C90" s="206"/>
      <c r="D90" s="202"/>
      <c r="E90" s="203"/>
      <c r="F90" s="204"/>
      <c r="G90" s="205"/>
      <c r="H90" s="205"/>
      <c r="I90" s="205"/>
      <c r="J90" s="205"/>
      <c r="K90" s="206"/>
      <c r="L90" s="207"/>
      <c r="M90" s="208"/>
      <c r="N90" s="210"/>
      <c r="O90" s="267"/>
      <c r="P90" s="210"/>
      <c r="Q90" s="205"/>
      <c r="R90" s="265"/>
      <c r="S90" s="265"/>
      <c r="T90" s="265"/>
      <c r="U90" s="265"/>
      <c r="V90" s="265"/>
      <c r="W90" s="265"/>
      <c r="X90" s="265"/>
      <c r="Y90" s="265"/>
      <c r="Z90" s="265"/>
    </row>
    <row r="91">
      <c r="A91" s="199"/>
      <c r="B91" s="265"/>
      <c r="C91" s="206"/>
      <c r="D91" s="202"/>
      <c r="E91" s="203"/>
      <c r="F91" s="204"/>
      <c r="G91" s="205"/>
      <c r="H91" s="205"/>
      <c r="I91" s="205"/>
      <c r="J91" s="205"/>
      <c r="K91" s="206"/>
      <c r="L91" s="207"/>
      <c r="M91" s="208"/>
      <c r="N91" s="210"/>
      <c r="O91" s="267"/>
      <c r="P91" s="210"/>
      <c r="Q91" s="205"/>
      <c r="R91" s="265"/>
      <c r="S91" s="265"/>
      <c r="T91" s="265"/>
      <c r="U91" s="265"/>
      <c r="V91" s="265"/>
      <c r="W91" s="265"/>
      <c r="X91" s="265"/>
      <c r="Y91" s="265"/>
      <c r="Z91" s="265"/>
    </row>
    <row r="92">
      <c r="A92" s="199"/>
      <c r="B92" s="265"/>
      <c r="C92" s="206"/>
      <c r="D92" s="202"/>
      <c r="E92" s="203"/>
      <c r="F92" s="204"/>
      <c r="G92" s="205"/>
      <c r="H92" s="205"/>
      <c r="I92" s="205"/>
      <c r="J92" s="205"/>
      <c r="K92" s="206"/>
      <c r="L92" s="207"/>
      <c r="M92" s="208"/>
      <c r="N92" s="210"/>
      <c r="O92" s="267"/>
      <c r="P92" s="210"/>
      <c r="Q92" s="205"/>
      <c r="R92" s="265"/>
      <c r="S92" s="265"/>
      <c r="T92" s="265"/>
      <c r="U92" s="265"/>
      <c r="V92" s="265"/>
      <c r="W92" s="265"/>
      <c r="X92" s="265"/>
      <c r="Y92" s="265"/>
      <c r="Z92" s="265"/>
    </row>
    <row r="93">
      <c r="A93" s="199"/>
      <c r="B93" s="265"/>
      <c r="C93" s="206"/>
      <c r="D93" s="202"/>
      <c r="E93" s="203"/>
      <c r="F93" s="204"/>
      <c r="G93" s="205"/>
      <c r="H93" s="205"/>
      <c r="I93" s="205"/>
      <c r="J93" s="205"/>
      <c r="K93" s="206"/>
      <c r="L93" s="207"/>
      <c r="M93" s="208"/>
      <c r="N93" s="210"/>
      <c r="O93" s="267"/>
      <c r="P93" s="210"/>
      <c r="Q93" s="205"/>
      <c r="R93" s="265"/>
      <c r="S93" s="265"/>
      <c r="T93" s="265"/>
      <c r="U93" s="265"/>
      <c r="V93" s="265"/>
      <c r="W93" s="265"/>
      <c r="X93" s="265"/>
      <c r="Y93" s="265"/>
      <c r="Z93" s="265"/>
    </row>
    <row r="94">
      <c r="A94" s="199"/>
      <c r="B94" s="265"/>
      <c r="C94" s="206"/>
      <c r="D94" s="202"/>
      <c r="E94" s="203"/>
      <c r="F94" s="204"/>
      <c r="G94" s="205"/>
      <c r="H94" s="205"/>
      <c r="I94" s="205"/>
      <c r="J94" s="205"/>
      <c r="K94" s="206"/>
      <c r="L94" s="207"/>
      <c r="M94" s="208"/>
      <c r="N94" s="210"/>
      <c r="O94" s="267"/>
      <c r="P94" s="210"/>
      <c r="Q94" s="205"/>
      <c r="R94" s="265"/>
      <c r="S94" s="265"/>
      <c r="T94" s="265"/>
      <c r="U94" s="265"/>
      <c r="V94" s="265"/>
      <c r="W94" s="265"/>
      <c r="X94" s="265"/>
      <c r="Y94" s="265"/>
      <c r="Z94" s="265"/>
    </row>
    <row r="95">
      <c r="A95" s="199"/>
      <c r="B95" s="265"/>
      <c r="C95" s="206"/>
      <c r="D95" s="202"/>
      <c r="E95" s="203"/>
      <c r="F95" s="204"/>
      <c r="G95" s="205"/>
      <c r="H95" s="205"/>
      <c r="I95" s="205"/>
      <c r="J95" s="205"/>
      <c r="K95" s="206"/>
      <c r="L95" s="207"/>
      <c r="M95" s="208"/>
      <c r="N95" s="210"/>
      <c r="O95" s="267"/>
      <c r="P95" s="210"/>
      <c r="Q95" s="205"/>
      <c r="R95" s="265"/>
      <c r="S95" s="265"/>
      <c r="T95" s="265"/>
      <c r="U95" s="265"/>
      <c r="V95" s="265"/>
      <c r="W95" s="265"/>
      <c r="X95" s="265"/>
      <c r="Y95" s="265"/>
      <c r="Z95" s="265"/>
    </row>
    <row r="96">
      <c r="A96" s="199"/>
      <c r="B96" s="265"/>
      <c r="C96" s="206"/>
      <c r="D96" s="202"/>
      <c r="E96" s="203"/>
      <c r="F96" s="204"/>
      <c r="G96" s="205"/>
      <c r="H96" s="205"/>
      <c r="I96" s="205"/>
      <c r="J96" s="205"/>
      <c r="K96" s="206"/>
      <c r="L96" s="207"/>
      <c r="M96" s="208"/>
      <c r="N96" s="210"/>
      <c r="O96" s="267"/>
      <c r="P96" s="210"/>
      <c r="Q96" s="205"/>
      <c r="R96" s="265"/>
      <c r="S96" s="265"/>
      <c r="T96" s="265"/>
      <c r="U96" s="265"/>
      <c r="V96" s="265"/>
      <c r="W96" s="265"/>
      <c r="X96" s="265"/>
      <c r="Y96" s="265"/>
      <c r="Z96" s="265"/>
    </row>
    <row r="97">
      <c r="A97" s="199"/>
      <c r="B97" s="265"/>
      <c r="C97" s="206"/>
      <c r="D97" s="202"/>
      <c r="E97" s="203"/>
      <c r="F97" s="204"/>
      <c r="G97" s="205"/>
      <c r="H97" s="205"/>
      <c r="I97" s="205"/>
      <c r="J97" s="205"/>
      <c r="K97" s="206"/>
      <c r="L97" s="207"/>
      <c r="M97" s="208"/>
      <c r="N97" s="210"/>
      <c r="O97" s="267"/>
      <c r="P97" s="210"/>
      <c r="Q97" s="205"/>
      <c r="R97" s="265"/>
      <c r="S97" s="265"/>
      <c r="T97" s="265"/>
      <c r="U97" s="265"/>
      <c r="V97" s="265"/>
      <c r="W97" s="265"/>
      <c r="X97" s="265"/>
      <c r="Y97" s="265"/>
      <c r="Z97" s="265"/>
    </row>
    <row r="98">
      <c r="A98" s="199"/>
      <c r="B98" s="265"/>
      <c r="C98" s="206"/>
      <c r="D98" s="202"/>
      <c r="E98" s="203"/>
      <c r="F98" s="204"/>
      <c r="G98" s="205"/>
      <c r="H98" s="205"/>
      <c r="I98" s="205"/>
      <c r="J98" s="205"/>
      <c r="K98" s="206"/>
      <c r="L98" s="207"/>
      <c r="M98" s="208"/>
      <c r="N98" s="210"/>
      <c r="O98" s="267"/>
      <c r="P98" s="210"/>
      <c r="Q98" s="205"/>
      <c r="R98" s="265"/>
      <c r="S98" s="265"/>
      <c r="T98" s="265"/>
      <c r="U98" s="265"/>
      <c r="V98" s="265"/>
      <c r="W98" s="265"/>
      <c r="X98" s="265"/>
      <c r="Y98" s="265"/>
      <c r="Z98" s="265"/>
    </row>
    <row r="99">
      <c r="A99" s="199"/>
      <c r="B99" s="265"/>
      <c r="C99" s="206"/>
      <c r="D99" s="202"/>
      <c r="E99" s="203"/>
      <c r="F99" s="204"/>
      <c r="G99" s="205"/>
      <c r="H99" s="205"/>
      <c r="I99" s="205"/>
      <c r="J99" s="205"/>
      <c r="K99" s="206"/>
      <c r="L99" s="207"/>
      <c r="M99" s="208"/>
      <c r="N99" s="210"/>
      <c r="O99" s="267"/>
      <c r="P99" s="210"/>
      <c r="Q99" s="205"/>
      <c r="R99" s="265"/>
      <c r="S99" s="265"/>
      <c r="T99" s="265"/>
      <c r="U99" s="265"/>
      <c r="V99" s="265"/>
      <c r="W99" s="265"/>
      <c r="X99" s="265"/>
      <c r="Y99" s="265"/>
      <c r="Z99" s="265"/>
    </row>
    <row r="100">
      <c r="A100" s="199"/>
      <c r="B100" s="265"/>
      <c r="C100" s="206"/>
      <c r="D100" s="202"/>
      <c r="E100" s="203"/>
      <c r="F100" s="204"/>
      <c r="G100" s="205"/>
      <c r="H100" s="205"/>
      <c r="I100" s="205"/>
      <c r="J100" s="205"/>
      <c r="K100" s="206"/>
      <c r="L100" s="207"/>
      <c r="M100" s="208"/>
      <c r="N100" s="210"/>
      <c r="O100" s="267"/>
      <c r="P100" s="210"/>
      <c r="Q100" s="205"/>
      <c r="R100" s="265"/>
      <c r="S100" s="265"/>
      <c r="T100" s="265"/>
      <c r="U100" s="265"/>
      <c r="V100" s="265"/>
      <c r="W100" s="265"/>
      <c r="X100" s="265"/>
      <c r="Y100" s="265"/>
      <c r="Z100" s="265"/>
    </row>
    <row r="101">
      <c r="A101" s="199"/>
      <c r="B101" s="265"/>
      <c r="C101" s="206"/>
      <c r="D101" s="202"/>
      <c r="E101" s="203"/>
      <c r="F101" s="204"/>
      <c r="G101" s="205"/>
      <c r="H101" s="205"/>
      <c r="I101" s="205"/>
      <c r="J101" s="205"/>
      <c r="K101" s="206"/>
      <c r="L101" s="207"/>
      <c r="M101" s="208"/>
      <c r="N101" s="210"/>
      <c r="O101" s="267"/>
      <c r="P101" s="210"/>
      <c r="Q101" s="205"/>
      <c r="R101" s="265"/>
      <c r="S101" s="265"/>
      <c r="T101" s="265"/>
      <c r="U101" s="265"/>
      <c r="V101" s="265"/>
      <c r="W101" s="265"/>
      <c r="X101" s="265"/>
      <c r="Y101" s="265"/>
      <c r="Z101" s="265"/>
    </row>
    <row r="102">
      <c r="A102" s="199"/>
      <c r="B102" s="265"/>
      <c r="C102" s="206"/>
      <c r="D102" s="202"/>
      <c r="E102" s="203"/>
      <c r="F102" s="204"/>
      <c r="G102" s="205"/>
      <c r="H102" s="205"/>
      <c r="I102" s="205"/>
      <c r="J102" s="205"/>
      <c r="K102" s="206"/>
      <c r="L102" s="207"/>
      <c r="M102" s="208"/>
      <c r="N102" s="210"/>
      <c r="O102" s="267"/>
      <c r="P102" s="210"/>
      <c r="Q102" s="205"/>
      <c r="R102" s="265"/>
      <c r="S102" s="265"/>
      <c r="T102" s="265"/>
      <c r="U102" s="265"/>
      <c r="V102" s="265"/>
      <c r="W102" s="265"/>
      <c r="X102" s="265"/>
      <c r="Y102" s="265"/>
      <c r="Z102" s="265"/>
    </row>
  </sheetData>
  <hyperlinks>
    <hyperlink r:id="rId1" ref="N3"/>
    <hyperlink r:id="rId2" ref="N4"/>
    <hyperlink r:id="rId3" ref="N5"/>
    <hyperlink r:id="rId4" ref="O5"/>
    <hyperlink r:id="rId5" ref="N6"/>
    <hyperlink r:id="rId6" ref="N7"/>
    <hyperlink r:id="rId7" ref="N8"/>
    <hyperlink r:id="rId8" ref="N9"/>
    <hyperlink r:id="rId9" ref="N10"/>
    <hyperlink r:id="rId10" ref="O10"/>
    <hyperlink r:id="rId11" ref="N11"/>
    <hyperlink r:id="rId12" ref="N12"/>
    <hyperlink r:id="rId13" ref="N13"/>
    <hyperlink r:id="rId14" ref="N14"/>
    <hyperlink r:id="rId15" ref="N15"/>
    <hyperlink r:id="rId16" ref="N16"/>
    <hyperlink r:id="rId17" ref="O16"/>
    <hyperlink r:id="rId18" ref="N17"/>
    <hyperlink r:id="rId19" ref="O17"/>
    <hyperlink r:id="rId20" ref="N18"/>
    <hyperlink r:id="rId21" ref="O18"/>
    <hyperlink r:id="rId22" ref="M19"/>
    <hyperlink r:id="rId23" ref="N19"/>
    <hyperlink r:id="rId24" ref="O19"/>
    <hyperlink r:id="rId25" ref="N20"/>
    <hyperlink r:id="rId26" ref="O20"/>
    <hyperlink r:id="rId27" ref="N21"/>
    <hyperlink r:id="rId28" ref="O21"/>
    <hyperlink r:id="rId29" ref="N22"/>
    <hyperlink r:id="rId30" ref="O22"/>
    <hyperlink r:id="rId31" ref="N23"/>
  </hyperlinks>
  <drawing r:id="rId3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60.75"/>
  </cols>
  <sheetData>
    <row r="1">
      <c r="A1" s="269" t="s">
        <v>377</v>
      </c>
      <c r="B1" s="270" t="s">
        <v>2146</v>
      </c>
    </row>
    <row r="2">
      <c r="A2" s="271"/>
    </row>
    <row r="3">
      <c r="A3" s="269" t="s">
        <v>373</v>
      </c>
      <c r="B3" s="270" t="s">
        <v>2146</v>
      </c>
    </row>
    <row r="4">
      <c r="A4" s="272"/>
    </row>
    <row r="5">
      <c r="A5" s="273" t="s">
        <v>2147</v>
      </c>
      <c r="B5" s="270" t="s">
        <v>2146</v>
      </c>
    </row>
    <row r="6">
      <c r="A6" s="273"/>
    </row>
    <row r="7">
      <c r="A7" s="273" t="s">
        <v>366</v>
      </c>
      <c r="B7" s="270" t="s">
        <v>2146</v>
      </c>
    </row>
    <row r="8">
      <c r="A8" s="271"/>
    </row>
    <row r="9">
      <c r="A9" s="269" t="s">
        <v>362</v>
      </c>
      <c r="B9" s="270" t="s">
        <v>2146</v>
      </c>
    </row>
    <row r="10">
      <c r="A10" s="274"/>
    </row>
    <row r="11">
      <c r="A11" s="275" t="s">
        <v>358</v>
      </c>
      <c r="B11" s="270" t="s">
        <v>2146</v>
      </c>
    </row>
    <row r="12">
      <c r="A12" s="271"/>
    </row>
    <row r="13">
      <c r="A13" s="269" t="s">
        <v>354</v>
      </c>
      <c r="B13" s="270" t="s">
        <v>2146</v>
      </c>
    </row>
    <row r="14">
      <c r="A14" s="271"/>
    </row>
    <row r="15">
      <c r="A15" s="269" t="s">
        <v>348</v>
      </c>
      <c r="B15" s="270" t="s">
        <v>2146</v>
      </c>
    </row>
    <row r="16">
      <c r="A16" s="271"/>
    </row>
    <row r="17">
      <c r="A17" s="269" t="s">
        <v>345</v>
      </c>
      <c r="B17" s="270" t="s">
        <v>2146</v>
      </c>
    </row>
    <row r="18">
      <c r="A18" s="271"/>
    </row>
    <row r="19">
      <c r="A19" s="269" t="s">
        <v>343</v>
      </c>
      <c r="B19" s="270" t="s">
        <v>2146</v>
      </c>
    </row>
    <row r="20">
      <c r="A20" s="276"/>
    </row>
    <row r="21">
      <c r="A21" s="277" t="s">
        <v>339</v>
      </c>
      <c r="B21" s="270" t="s">
        <v>2146</v>
      </c>
    </row>
    <row r="22">
      <c r="A22" s="278"/>
    </row>
    <row r="23">
      <c r="A23" s="277" t="s">
        <v>335</v>
      </c>
      <c r="B23" s="270" t="s">
        <v>2146</v>
      </c>
    </row>
    <row r="24">
      <c r="A24" s="278"/>
    </row>
    <row r="25">
      <c r="A25" s="277" t="s">
        <v>331</v>
      </c>
      <c r="B25" s="270" t="s">
        <v>2146</v>
      </c>
    </row>
    <row r="26">
      <c r="A26" s="279"/>
    </row>
    <row r="27">
      <c r="A27" s="277" t="s">
        <v>327</v>
      </c>
      <c r="B27" s="270" t="s">
        <v>2146</v>
      </c>
    </row>
    <row r="28">
      <c r="A28" s="279"/>
    </row>
    <row r="29">
      <c r="A29" s="280" t="s">
        <v>2148</v>
      </c>
      <c r="B29" s="270" t="s">
        <v>2146</v>
      </c>
    </row>
    <row r="30">
      <c r="A30" s="279"/>
    </row>
    <row r="31">
      <c r="A31" s="277" t="s">
        <v>2149</v>
      </c>
      <c r="B31" s="270" t="s">
        <v>2146</v>
      </c>
    </row>
    <row r="32">
      <c r="A32" s="279"/>
    </row>
    <row r="33">
      <c r="A33" s="281" t="s">
        <v>2150</v>
      </c>
      <c r="B33" s="270" t="s">
        <v>2146</v>
      </c>
    </row>
    <row r="34">
      <c r="A34" s="282"/>
    </row>
    <row r="35">
      <c r="A35" s="283" t="s">
        <v>287</v>
      </c>
      <c r="B35" s="284" t="s">
        <v>2146</v>
      </c>
      <c r="C35" s="285"/>
      <c r="D35" s="285"/>
      <c r="E35" s="285"/>
      <c r="F35" s="285"/>
      <c r="H35" s="285"/>
      <c r="I35" s="285"/>
      <c r="J35" s="285"/>
      <c r="K35" s="285"/>
      <c r="L35" s="285"/>
      <c r="M35" s="285"/>
      <c r="N35" s="285"/>
      <c r="O35" s="285"/>
      <c r="P35" s="285"/>
      <c r="Q35" s="285"/>
      <c r="R35" s="285"/>
      <c r="S35" s="285"/>
      <c r="T35" s="285"/>
      <c r="U35" s="285"/>
      <c r="V35" s="285"/>
      <c r="W35" s="285"/>
      <c r="X35" s="285"/>
      <c r="Y35" s="285"/>
      <c r="Z35" s="285"/>
    </row>
    <row r="36">
      <c r="A36" s="283"/>
      <c r="B36" s="285"/>
      <c r="C36" s="285"/>
      <c r="D36" s="285"/>
      <c r="E36" s="285"/>
      <c r="F36" s="285"/>
      <c r="H36" s="285"/>
      <c r="I36" s="285"/>
      <c r="J36" s="285"/>
      <c r="K36" s="285"/>
      <c r="L36" s="285"/>
      <c r="M36" s="285"/>
      <c r="N36" s="285"/>
      <c r="O36" s="285"/>
      <c r="P36" s="285"/>
      <c r="Q36" s="285"/>
      <c r="R36" s="285"/>
      <c r="S36" s="285"/>
      <c r="T36" s="285"/>
      <c r="U36" s="285"/>
      <c r="V36" s="285"/>
      <c r="W36" s="285"/>
      <c r="X36" s="285"/>
      <c r="Y36" s="285"/>
      <c r="Z36" s="285"/>
    </row>
    <row r="37">
      <c r="A37" s="286" t="s">
        <v>2151</v>
      </c>
      <c r="B37" s="270" t="s">
        <v>2146</v>
      </c>
    </row>
    <row r="38">
      <c r="A38" s="279"/>
    </row>
    <row r="39">
      <c r="A39" s="269" t="s">
        <v>275</v>
      </c>
      <c r="B39" s="270" t="s">
        <v>2146</v>
      </c>
    </row>
    <row r="40">
      <c r="A40" s="279"/>
    </row>
    <row r="41">
      <c r="A41" s="287"/>
    </row>
    <row r="42">
      <c r="A42" s="279"/>
    </row>
    <row r="43">
      <c r="A43" s="279"/>
    </row>
    <row r="44">
      <c r="A44" s="279"/>
    </row>
    <row r="45">
      <c r="A45" s="279"/>
    </row>
    <row r="46">
      <c r="A46" s="279"/>
    </row>
    <row r="47">
      <c r="A47" s="279"/>
    </row>
    <row r="48">
      <c r="A48" s="279"/>
    </row>
    <row r="49">
      <c r="A49" s="279"/>
    </row>
    <row r="50">
      <c r="A50" s="279"/>
    </row>
    <row r="51">
      <c r="A51" s="279"/>
    </row>
    <row r="52">
      <c r="A52" s="279"/>
    </row>
    <row r="53">
      <c r="A53" s="279"/>
    </row>
    <row r="54">
      <c r="A54" s="279"/>
    </row>
    <row r="55">
      <c r="A55" s="279"/>
    </row>
    <row r="56">
      <c r="A56" s="279"/>
    </row>
    <row r="57">
      <c r="A57" s="279"/>
    </row>
    <row r="58">
      <c r="A58" s="279"/>
    </row>
    <row r="59">
      <c r="A59" s="279"/>
    </row>
    <row r="60">
      <c r="A60" s="279"/>
    </row>
    <row r="61">
      <c r="A61" s="279"/>
    </row>
    <row r="62">
      <c r="A62" s="279"/>
    </row>
    <row r="63">
      <c r="A63" s="279"/>
    </row>
    <row r="64">
      <c r="A64" s="279"/>
    </row>
    <row r="65">
      <c r="A65" s="279"/>
    </row>
    <row r="66">
      <c r="A66" s="279"/>
    </row>
    <row r="67">
      <c r="A67" s="279"/>
    </row>
    <row r="68">
      <c r="A68" s="279"/>
    </row>
    <row r="69">
      <c r="A69" s="279"/>
    </row>
    <row r="70">
      <c r="A70" s="279"/>
    </row>
    <row r="71">
      <c r="A71" s="279"/>
    </row>
    <row r="72">
      <c r="A72" s="279"/>
    </row>
    <row r="73">
      <c r="A73" s="279"/>
    </row>
    <row r="74">
      <c r="A74" s="279"/>
    </row>
    <row r="75">
      <c r="A75" s="279"/>
    </row>
    <row r="76">
      <c r="A76" s="279"/>
    </row>
    <row r="77">
      <c r="A77" s="279"/>
    </row>
    <row r="78">
      <c r="A78" s="279"/>
    </row>
    <row r="79">
      <c r="A79" s="279"/>
    </row>
    <row r="80">
      <c r="A80" s="279"/>
    </row>
    <row r="81">
      <c r="A81" s="279"/>
    </row>
    <row r="82">
      <c r="A82" s="279"/>
    </row>
    <row r="83">
      <c r="A83" s="279"/>
    </row>
    <row r="84">
      <c r="A84" s="279"/>
    </row>
    <row r="85">
      <c r="A85" s="279"/>
    </row>
    <row r="86">
      <c r="A86" s="279"/>
    </row>
    <row r="87">
      <c r="A87" s="279"/>
    </row>
    <row r="88">
      <c r="A88" s="279"/>
    </row>
    <row r="89">
      <c r="A89" s="279"/>
    </row>
    <row r="90">
      <c r="A90" s="279"/>
    </row>
    <row r="91">
      <c r="A91" s="279"/>
    </row>
    <row r="92">
      <c r="A92" s="279"/>
    </row>
    <row r="93">
      <c r="A93" s="279"/>
    </row>
    <row r="94">
      <c r="A94" s="279"/>
    </row>
    <row r="95">
      <c r="A95" s="279"/>
    </row>
    <row r="96">
      <c r="A96" s="279"/>
    </row>
    <row r="97">
      <c r="A97" s="279"/>
    </row>
    <row r="98">
      <c r="A98" s="279"/>
    </row>
    <row r="99">
      <c r="A99" s="279"/>
    </row>
    <row r="100">
      <c r="A100" s="279"/>
    </row>
    <row r="101">
      <c r="A101" s="279"/>
    </row>
    <row r="102">
      <c r="A102" s="279"/>
    </row>
    <row r="103">
      <c r="A103" s="279"/>
    </row>
    <row r="104">
      <c r="A104" s="279"/>
    </row>
    <row r="105">
      <c r="A105" s="279"/>
    </row>
    <row r="106">
      <c r="A106" s="279"/>
    </row>
    <row r="107">
      <c r="A107" s="279"/>
    </row>
    <row r="108">
      <c r="A108" s="279"/>
    </row>
    <row r="109">
      <c r="A109" s="279"/>
    </row>
    <row r="110">
      <c r="A110" s="279"/>
    </row>
    <row r="111">
      <c r="A111" s="279"/>
    </row>
    <row r="112">
      <c r="A112" s="279"/>
    </row>
    <row r="113">
      <c r="A113" s="279"/>
    </row>
    <row r="114">
      <c r="A114" s="279"/>
    </row>
    <row r="115">
      <c r="A115" s="279"/>
    </row>
    <row r="116">
      <c r="A116" s="279"/>
    </row>
    <row r="117">
      <c r="A117" s="279"/>
    </row>
    <row r="118">
      <c r="A118" s="279"/>
    </row>
    <row r="119">
      <c r="A119" s="279"/>
    </row>
    <row r="120">
      <c r="A120" s="279"/>
    </row>
    <row r="121">
      <c r="A121" s="279"/>
    </row>
    <row r="122">
      <c r="A122" s="279"/>
    </row>
    <row r="123">
      <c r="A123" s="279"/>
    </row>
    <row r="124">
      <c r="A124" s="279"/>
    </row>
    <row r="125">
      <c r="A125" s="279"/>
    </row>
    <row r="126">
      <c r="A126" s="279"/>
    </row>
    <row r="127">
      <c r="A127" s="279"/>
    </row>
    <row r="128">
      <c r="A128" s="279"/>
    </row>
    <row r="129">
      <c r="A129" s="279"/>
    </row>
    <row r="130">
      <c r="A130" s="279"/>
    </row>
    <row r="131">
      <c r="A131" s="279"/>
    </row>
    <row r="132">
      <c r="A132" s="279"/>
    </row>
    <row r="133">
      <c r="A133" s="279"/>
    </row>
    <row r="134">
      <c r="A134" s="279"/>
    </row>
    <row r="135">
      <c r="A135" s="279"/>
    </row>
    <row r="136">
      <c r="A136" s="279"/>
    </row>
    <row r="137">
      <c r="A137" s="279"/>
    </row>
    <row r="138">
      <c r="A138" s="279"/>
    </row>
    <row r="139">
      <c r="A139" s="279"/>
    </row>
    <row r="140">
      <c r="A140" s="279"/>
    </row>
    <row r="141">
      <c r="A141" s="279"/>
    </row>
    <row r="142">
      <c r="A142" s="279"/>
    </row>
    <row r="143">
      <c r="A143" s="279"/>
    </row>
    <row r="144">
      <c r="A144" s="279"/>
    </row>
    <row r="145">
      <c r="A145" s="279"/>
    </row>
    <row r="146">
      <c r="A146" s="279"/>
    </row>
    <row r="147">
      <c r="A147" s="279"/>
    </row>
    <row r="148">
      <c r="A148" s="279"/>
    </row>
    <row r="149">
      <c r="A149" s="279"/>
    </row>
    <row r="150">
      <c r="A150" s="279"/>
    </row>
    <row r="151">
      <c r="A151" s="279"/>
    </row>
    <row r="152">
      <c r="A152" s="279"/>
    </row>
    <row r="153">
      <c r="A153" s="279"/>
    </row>
    <row r="154">
      <c r="A154" s="279"/>
    </row>
    <row r="155">
      <c r="A155" s="279"/>
    </row>
    <row r="156">
      <c r="A156" s="279"/>
    </row>
    <row r="157">
      <c r="A157" s="279"/>
    </row>
    <row r="158">
      <c r="A158" s="279"/>
    </row>
    <row r="159">
      <c r="A159" s="279"/>
    </row>
    <row r="160">
      <c r="A160" s="279"/>
    </row>
    <row r="161">
      <c r="A161" s="279"/>
    </row>
    <row r="162">
      <c r="A162" s="279"/>
    </row>
    <row r="163">
      <c r="A163" s="279"/>
    </row>
    <row r="164">
      <c r="A164" s="279"/>
    </row>
    <row r="165">
      <c r="A165" s="279"/>
    </row>
    <row r="166">
      <c r="A166" s="279"/>
    </row>
    <row r="167">
      <c r="A167" s="279"/>
    </row>
    <row r="168">
      <c r="A168" s="279"/>
    </row>
    <row r="169">
      <c r="A169" s="279"/>
    </row>
    <row r="170">
      <c r="A170" s="279"/>
    </row>
    <row r="171">
      <c r="A171" s="279"/>
    </row>
    <row r="172">
      <c r="A172" s="279"/>
    </row>
    <row r="173">
      <c r="A173" s="279"/>
    </row>
    <row r="174">
      <c r="A174" s="279"/>
    </row>
    <row r="175">
      <c r="A175" s="279"/>
    </row>
    <row r="176">
      <c r="A176" s="279"/>
    </row>
    <row r="177">
      <c r="A177" s="279"/>
    </row>
    <row r="178">
      <c r="A178" s="279"/>
    </row>
    <row r="179">
      <c r="A179" s="279"/>
    </row>
    <row r="180">
      <c r="A180" s="279"/>
    </row>
    <row r="181">
      <c r="A181" s="279"/>
    </row>
    <row r="182">
      <c r="A182" s="279"/>
    </row>
    <row r="183">
      <c r="A183" s="279"/>
    </row>
    <row r="184">
      <c r="A184" s="279"/>
    </row>
    <row r="185">
      <c r="A185" s="279"/>
    </row>
    <row r="186">
      <c r="A186" s="279"/>
    </row>
    <row r="187">
      <c r="A187" s="279"/>
    </row>
    <row r="188">
      <c r="A188" s="279"/>
    </row>
    <row r="189">
      <c r="A189" s="279"/>
    </row>
    <row r="190">
      <c r="A190" s="279"/>
    </row>
    <row r="191">
      <c r="A191" s="279"/>
    </row>
    <row r="192">
      <c r="A192" s="279"/>
    </row>
    <row r="193">
      <c r="A193" s="279"/>
    </row>
    <row r="194">
      <c r="A194" s="279"/>
    </row>
    <row r="195">
      <c r="A195" s="279"/>
    </row>
    <row r="196">
      <c r="A196" s="279"/>
    </row>
    <row r="197">
      <c r="A197" s="279"/>
    </row>
    <row r="198">
      <c r="A198" s="279"/>
    </row>
    <row r="199">
      <c r="A199" s="279"/>
    </row>
    <row r="200">
      <c r="A200" s="279"/>
    </row>
    <row r="201">
      <c r="A201" s="279"/>
    </row>
    <row r="202">
      <c r="A202" s="279"/>
    </row>
    <row r="203">
      <c r="A203" s="279"/>
    </row>
    <row r="204">
      <c r="A204" s="279"/>
    </row>
    <row r="205">
      <c r="A205" s="279"/>
    </row>
    <row r="206">
      <c r="A206" s="279"/>
    </row>
    <row r="207">
      <c r="A207" s="279"/>
    </row>
    <row r="208">
      <c r="A208" s="279"/>
    </row>
    <row r="209">
      <c r="A209" s="279"/>
    </row>
    <row r="210">
      <c r="A210" s="279"/>
    </row>
    <row r="211">
      <c r="A211" s="279"/>
    </row>
    <row r="212">
      <c r="A212" s="279"/>
    </row>
    <row r="213">
      <c r="A213" s="279"/>
    </row>
    <row r="214">
      <c r="A214" s="279"/>
    </row>
    <row r="215">
      <c r="A215" s="279"/>
    </row>
    <row r="216">
      <c r="A216" s="279"/>
    </row>
    <row r="217">
      <c r="A217" s="279"/>
    </row>
    <row r="218">
      <c r="A218" s="279"/>
    </row>
    <row r="219">
      <c r="A219" s="279"/>
    </row>
    <row r="220">
      <c r="A220" s="279"/>
    </row>
    <row r="221">
      <c r="A221" s="279"/>
    </row>
    <row r="222">
      <c r="A222" s="279"/>
    </row>
    <row r="223">
      <c r="A223" s="279"/>
    </row>
    <row r="224">
      <c r="A224" s="279"/>
    </row>
    <row r="225">
      <c r="A225" s="279"/>
    </row>
    <row r="226">
      <c r="A226" s="279"/>
    </row>
    <row r="227">
      <c r="A227" s="279"/>
    </row>
    <row r="228">
      <c r="A228" s="279"/>
    </row>
    <row r="229">
      <c r="A229" s="279"/>
    </row>
    <row r="230">
      <c r="A230" s="279"/>
    </row>
    <row r="231">
      <c r="A231" s="279"/>
    </row>
    <row r="232">
      <c r="A232" s="279"/>
    </row>
    <row r="233">
      <c r="A233" s="279"/>
    </row>
    <row r="234">
      <c r="A234" s="279"/>
    </row>
    <row r="235">
      <c r="A235" s="279"/>
    </row>
    <row r="236">
      <c r="A236" s="279"/>
    </row>
    <row r="237">
      <c r="A237" s="279"/>
    </row>
    <row r="238">
      <c r="A238" s="279"/>
    </row>
    <row r="239">
      <c r="A239" s="279"/>
    </row>
    <row r="240">
      <c r="A240" s="279"/>
    </row>
    <row r="241">
      <c r="A241" s="279"/>
    </row>
    <row r="242">
      <c r="A242" s="279"/>
    </row>
    <row r="243">
      <c r="A243" s="279"/>
    </row>
    <row r="244">
      <c r="A244" s="279"/>
    </row>
    <row r="245">
      <c r="A245" s="279"/>
    </row>
    <row r="246">
      <c r="A246" s="279"/>
    </row>
    <row r="247">
      <c r="A247" s="279"/>
    </row>
    <row r="248">
      <c r="A248" s="279"/>
    </row>
    <row r="249">
      <c r="A249" s="279"/>
    </row>
    <row r="250">
      <c r="A250" s="279"/>
    </row>
    <row r="251">
      <c r="A251" s="279"/>
    </row>
    <row r="252">
      <c r="A252" s="279"/>
    </row>
    <row r="253">
      <c r="A253" s="279"/>
    </row>
    <row r="254">
      <c r="A254" s="279"/>
    </row>
    <row r="255">
      <c r="A255" s="279"/>
    </row>
    <row r="256">
      <c r="A256" s="279"/>
    </row>
    <row r="257">
      <c r="A257" s="279"/>
    </row>
    <row r="258">
      <c r="A258" s="279"/>
    </row>
    <row r="259">
      <c r="A259" s="279"/>
    </row>
    <row r="260">
      <c r="A260" s="279"/>
    </row>
    <row r="261">
      <c r="A261" s="279"/>
    </row>
    <row r="262">
      <c r="A262" s="279"/>
    </row>
    <row r="263">
      <c r="A263" s="279"/>
    </row>
    <row r="264">
      <c r="A264" s="279"/>
    </row>
    <row r="265">
      <c r="A265" s="279"/>
    </row>
    <row r="266">
      <c r="A266" s="279"/>
    </row>
    <row r="267">
      <c r="A267" s="279"/>
    </row>
    <row r="268">
      <c r="A268" s="279"/>
    </row>
    <row r="269">
      <c r="A269" s="279"/>
    </row>
    <row r="270">
      <c r="A270" s="279"/>
    </row>
    <row r="271">
      <c r="A271" s="279"/>
    </row>
    <row r="272">
      <c r="A272" s="279"/>
    </row>
    <row r="273">
      <c r="A273" s="279"/>
    </row>
    <row r="274">
      <c r="A274" s="279"/>
    </row>
    <row r="275">
      <c r="A275" s="279"/>
    </row>
    <row r="276">
      <c r="A276" s="279"/>
    </row>
    <row r="277">
      <c r="A277" s="279"/>
    </row>
    <row r="278">
      <c r="A278" s="279"/>
    </row>
    <row r="279">
      <c r="A279" s="279"/>
    </row>
    <row r="280">
      <c r="A280" s="279"/>
    </row>
    <row r="281">
      <c r="A281" s="279"/>
    </row>
    <row r="282">
      <c r="A282" s="279"/>
    </row>
    <row r="283">
      <c r="A283" s="279"/>
    </row>
    <row r="284">
      <c r="A284" s="279"/>
    </row>
    <row r="285">
      <c r="A285" s="279"/>
    </row>
    <row r="286">
      <c r="A286" s="279"/>
    </row>
    <row r="287">
      <c r="A287" s="279"/>
    </row>
    <row r="288">
      <c r="A288" s="279"/>
    </row>
    <row r="289">
      <c r="A289" s="279"/>
    </row>
    <row r="290">
      <c r="A290" s="279"/>
    </row>
    <row r="291">
      <c r="A291" s="279"/>
    </row>
    <row r="292">
      <c r="A292" s="279"/>
    </row>
    <row r="293">
      <c r="A293" s="279"/>
    </row>
    <row r="294">
      <c r="A294" s="279"/>
    </row>
    <row r="295">
      <c r="A295" s="279"/>
    </row>
    <row r="296">
      <c r="A296" s="279"/>
    </row>
    <row r="297">
      <c r="A297" s="279"/>
    </row>
    <row r="298">
      <c r="A298" s="279"/>
    </row>
    <row r="299">
      <c r="A299" s="279"/>
    </row>
    <row r="300">
      <c r="A300" s="279"/>
    </row>
    <row r="301">
      <c r="A301" s="279"/>
    </row>
    <row r="302">
      <c r="A302" s="279"/>
    </row>
    <row r="303">
      <c r="A303" s="279"/>
    </row>
    <row r="304">
      <c r="A304" s="279"/>
    </row>
    <row r="305">
      <c r="A305" s="279"/>
    </row>
    <row r="306">
      <c r="A306" s="279"/>
    </row>
    <row r="307">
      <c r="A307" s="279"/>
    </row>
    <row r="308">
      <c r="A308" s="279"/>
    </row>
    <row r="309">
      <c r="A309" s="279"/>
    </row>
    <row r="310">
      <c r="A310" s="279"/>
    </row>
    <row r="311">
      <c r="A311" s="279"/>
    </row>
    <row r="312">
      <c r="A312" s="279"/>
    </row>
    <row r="313">
      <c r="A313" s="279"/>
    </row>
    <row r="314">
      <c r="A314" s="279"/>
    </row>
    <row r="315">
      <c r="A315" s="279"/>
    </row>
    <row r="316">
      <c r="A316" s="279"/>
    </row>
    <row r="317">
      <c r="A317" s="279"/>
    </row>
    <row r="318">
      <c r="A318" s="279"/>
    </row>
    <row r="319">
      <c r="A319" s="279"/>
    </row>
    <row r="320">
      <c r="A320" s="279"/>
    </row>
    <row r="321">
      <c r="A321" s="279"/>
    </row>
    <row r="322">
      <c r="A322" s="279"/>
    </row>
    <row r="323">
      <c r="A323" s="279"/>
    </row>
    <row r="324">
      <c r="A324" s="279"/>
    </row>
    <row r="325">
      <c r="A325" s="279"/>
    </row>
    <row r="326">
      <c r="A326" s="279"/>
    </row>
    <row r="327">
      <c r="A327" s="279"/>
    </row>
    <row r="328">
      <c r="A328" s="279"/>
    </row>
    <row r="329">
      <c r="A329" s="279"/>
    </row>
    <row r="330">
      <c r="A330" s="279"/>
    </row>
    <row r="331">
      <c r="A331" s="279"/>
    </row>
    <row r="332">
      <c r="A332" s="279"/>
    </row>
    <row r="333">
      <c r="A333" s="279"/>
    </row>
    <row r="334">
      <c r="A334" s="279"/>
    </row>
    <row r="335">
      <c r="A335" s="279"/>
    </row>
    <row r="336">
      <c r="A336" s="279"/>
    </row>
    <row r="337">
      <c r="A337" s="279"/>
    </row>
    <row r="338">
      <c r="A338" s="279"/>
    </row>
    <row r="339">
      <c r="A339" s="279"/>
    </row>
    <row r="340">
      <c r="A340" s="279"/>
    </row>
    <row r="341">
      <c r="A341" s="279"/>
    </row>
    <row r="342">
      <c r="A342" s="279"/>
    </row>
    <row r="343">
      <c r="A343" s="279"/>
    </row>
    <row r="344">
      <c r="A344" s="279"/>
    </row>
    <row r="345">
      <c r="A345" s="279"/>
    </row>
    <row r="346">
      <c r="A346" s="279"/>
    </row>
    <row r="347">
      <c r="A347" s="279"/>
    </row>
    <row r="348">
      <c r="A348" s="279"/>
    </row>
    <row r="349">
      <c r="A349" s="279"/>
    </row>
    <row r="350">
      <c r="A350" s="279"/>
    </row>
    <row r="351">
      <c r="A351" s="279"/>
    </row>
    <row r="352">
      <c r="A352" s="279"/>
    </row>
    <row r="353">
      <c r="A353" s="279"/>
    </row>
    <row r="354">
      <c r="A354" s="279"/>
    </row>
    <row r="355">
      <c r="A355" s="279"/>
    </row>
    <row r="356">
      <c r="A356" s="279"/>
    </row>
    <row r="357">
      <c r="A357" s="279"/>
    </row>
    <row r="358">
      <c r="A358" s="279"/>
    </row>
    <row r="359">
      <c r="A359" s="279"/>
    </row>
    <row r="360">
      <c r="A360" s="279"/>
    </row>
    <row r="361">
      <c r="A361" s="279"/>
    </row>
    <row r="362">
      <c r="A362" s="279"/>
    </row>
    <row r="363">
      <c r="A363" s="279"/>
    </row>
    <row r="364">
      <c r="A364" s="279"/>
    </row>
    <row r="365">
      <c r="A365" s="279"/>
    </row>
    <row r="366">
      <c r="A366" s="279"/>
    </row>
    <row r="367">
      <c r="A367" s="279"/>
    </row>
    <row r="368">
      <c r="A368" s="279"/>
    </row>
    <row r="369">
      <c r="A369" s="279"/>
    </row>
    <row r="370">
      <c r="A370" s="279"/>
    </row>
    <row r="371">
      <c r="A371" s="279"/>
    </row>
    <row r="372">
      <c r="A372" s="279"/>
    </row>
    <row r="373">
      <c r="A373" s="279"/>
    </row>
    <row r="374">
      <c r="A374" s="279"/>
    </row>
    <row r="375">
      <c r="A375" s="279"/>
    </row>
    <row r="376">
      <c r="A376" s="279"/>
    </row>
    <row r="377">
      <c r="A377" s="279"/>
    </row>
    <row r="378">
      <c r="A378" s="279"/>
    </row>
    <row r="379">
      <c r="A379" s="279"/>
    </row>
    <row r="380">
      <c r="A380" s="279"/>
    </row>
    <row r="381">
      <c r="A381" s="279"/>
    </row>
    <row r="382">
      <c r="A382" s="279"/>
    </row>
    <row r="383">
      <c r="A383" s="279"/>
    </row>
    <row r="384">
      <c r="A384" s="279"/>
    </row>
    <row r="385">
      <c r="A385" s="279"/>
    </row>
    <row r="386">
      <c r="A386" s="279"/>
    </row>
    <row r="387">
      <c r="A387" s="279"/>
    </row>
    <row r="388">
      <c r="A388" s="279"/>
    </row>
    <row r="389">
      <c r="A389" s="279"/>
    </row>
    <row r="390">
      <c r="A390" s="279"/>
    </row>
    <row r="391">
      <c r="A391" s="279"/>
    </row>
    <row r="392">
      <c r="A392" s="279"/>
    </row>
    <row r="393">
      <c r="A393" s="279"/>
    </row>
    <row r="394">
      <c r="A394" s="279"/>
    </row>
    <row r="395">
      <c r="A395" s="279"/>
    </row>
    <row r="396">
      <c r="A396" s="279"/>
    </row>
    <row r="397">
      <c r="A397" s="279"/>
    </row>
    <row r="398">
      <c r="A398" s="279"/>
    </row>
    <row r="399">
      <c r="A399" s="279"/>
    </row>
    <row r="400">
      <c r="A400" s="279"/>
    </row>
    <row r="401">
      <c r="A401" s="279"/>
    </row>
    <row r="402">
      <c r="A402" s="279"/>
    </row>
    <row r="403">
      <c r="A403" s="279"/>
    </row>
    <row r="404">
      <c r="A404" s="279"/>
    </row>
    <row r="405">
      <c r="A405" s="279"/>
    </row>
    <row r="406">
      <c r="A406" s="279"/>
    </row>
    <row r="407">
      <c r="A407" s="279"/>
    </row>
    <row r="408">
      <c r="A408" s="279"/>
    </row>
    <row r="409">
      <c r="A409" s="279"/>
    </row>
    <row r="410">
      <c r="A410" s="279"/>
    </row>
    <row r="411">
      <c r="A411" s="279"/>
    </row>
    <row r="412">
      <c r="A412" s="279"/>
    </row>
    <row r="413">
      <c r="A413" s="279"/>
    </row>
    <row r="414">
      <c r="A414" s="279"/>
    </row>
    <row r="415">
      <c r="A415" s="279"/>
    </row>
    <row r="416">
      <c r="A416" s="279"/>
    </row>
    <row r="417">
      <c r="A417" s="279"/>
    </row>
    <row r="418">
      <c r="A418" s="279"/>
    </row>
    <row r="419">
      <c r="A419" s="279"/>
    </row>
    <row r="420">
      <c r="A420" s="279"/>
    </row>
    <row r="421">
      <c r="A421" s="279"/>
    </row>
    <row r="422">
      <c r="A422" s="279"/>
    </row>
    <row r="423">
      <c r="A423" s="279"/>
    </row>
    <row r="424">
      <c r="A424" s="279"/>
    </row>
    <row r="425">
      <c r="A425" s="279"/>
    </row>
    <row r="426">
      <c r="A426" s="279"/>
    </row>
    <row r="427">
      <c r="A427" s="279"/>
    </row>
    <row r="428">
      <c r="A428" s="279"/>
    </row>
    <row r="429">
      <c r="A429" s="279"/>
    </row>
    <row r="430">
      <c r="A430" s="279"/>
    </row>
    <row r="431">
      <c r="A431" s="279"/>
    </row>
    <row r="432">
      <c r="A432" s="279"/>
    </row>
    <row r="433">
      <c r="A433" s="279"/>
    </row>
    <row r="434">
      <c r="A434" s="279"/>
    </row>
    <row r="435">
      <c r="A435" s="279"/>
    </row>
    <row r="436">
      <c r="A436" s="279"/>
    </row>
    <row r="437">
      <c r="A437" s="279"/>
    </row>
    <row r="438">
      <c r="A438" s="279"/>
    </row>
    <row r="439">
      <c r="A439" s="279"/>
    </row>
    <row r="440">
      <c r="A440" s="279"/>
    </row>
    <row r="441">
      <c r="A441" s="279"/>
    </row>
    <row r="442">
      <c r="A442" s="279"/>
    </row>
    <row r="443">
      <c r="A443" s="279"/>
    </row>
    <row r="444">
      <c r="A444" s="279"/>
    </row>
    <row r="445">
      <c r="A445" s="279"/>
    </row>
    <row r="446">
      <c r="A446" s="279"/>
    </row>
    <row r="447">
      <c r="A447" s="279"/>
    </row>
    <row r="448">
      <c r="A448" s="279"/>
    </row>
    <row r="449">
      <c r="A449" s="279"/>
    </row>
    <row r="450">
      <c r="A450" s="279"/>
    </row>
    <row r="451">
      <c r="A451" s="279"/>
    </row>
    <row r="452">
      <c r="A452" s="279"/>
    </row>
    <row r="453">
      <c r="A453" s="279"/>
    </row>
    <row r="454">
      <c r="A454" s="279"/>
    </row>
    <row r="455">
      <c r="A455" s="279"/>
    </row>
    <row r="456">
      <c r="A456" s="279"/>
    </row>
    <row r="457">
      <c r="A457" s="279"/>
    </row>
    <row r="458">
      <c r="A458" s="279"/>
    </row>
    <row r="459">
      <c r="A459" s="279"/>
    </row>
    <row r="460">
      <c r="A460" s="279"/>
    </row>
    <row r="461">
      <c r="A461" s="279"/>
    </row>
    <row r="462">
      <c r="A462" s="279"/>
    </row>
    <row r="463">
      <c r="A463" s="279"/>
    </row>
    <row r="464">
      <c r="A464" s="279"/>
    </row>
    <row r="465">
      <c r="A465" s="279"/>
    </row>
    <row r="466">
      <c r="A466" s="279"/>
    </row>
    <row r="467">
      <c r="A467" s="279"/>
    </row>
    <row r="468">
      <c r="A468" s="279"/>
    </row>
    <row r="469">
      <c r="A469" s="279"/>
    </row>
    <row r="470">
      <c r="A470" s="279"/>
    </row>
    <row r="471">
      <c r="A471" s="279"/>
    </row>
    <row r="472">
      <c r="A472" s="279"/>
    </row>
    <row r="473">
      <c r="A473" s="279"/>
    </row>
    <row r="474">
      <c r="A474" s="279"/>
    </row>
    <row r="475">
      <c r="A475" s="279"/>
    </row>
    <row r="476">
      <c r="A476" s="279"/>
    </row>
    <row r="477">
      <c r="A477" s="279"/>
    </row>
    <row r="478">
      <c r="A478" s="279"/>
    </row>
    <row r="479">
      <c r="A479" s="279"/>
    </row>
    <row r="480">
      <c r="A480" s="279"/>
    </row>
    <row r="481">
      <c r="A481" s="279"/>
    </row>
    <row r="482">
      <c r="A482" s="279"/>
    </row>
    <row r="483">
      <c r="A483" s="279"/>
    </row>
    <row r="484">
      <c r="A484" s="279"/>
    </row>
    <row r="485">
      <c r="A485" s="279"/>
    </row>
    <row r="486">
      <c r="A486" s="279"/>
    </row>
    <row r="487">
      <c r="A487" s="279"/>
    </row>
    <row r="488">
      <c r="A488" s="279"/>
    </row>
    <row r="489">
      <c r="A489" s="279"/>
    </row>
    <row r="490">
      <c r="A490" s="279"/>
    </row>
    <row r="491">
      <c r="A491" s="279"/>
    </row>
    <row r="492">
      <c r="A492" s="279"/>
    </row>
    <row r="493">
      <c r="A493" s="279"/>
    </row>
    <row r="494">
      <c r="A494" s="279"/>
    </row>
    <row r="495">
      <c r="A495" s="279"/>
    </row>
    <row r="496">
      <c r="A496" s="279"/>
    </row>
    <row r="497">
      <c r="A497" s="279"/>
    </row>
    <row r="498">
      <c r="A498" s="279"/>
    </row>
    <row r="499">
      <c r="A499" s="279"/>
    </row>
    <row r="500">
      <c r="A500" s="279"/>
    </row>
    <row r="501">
      <c r="A501" s="279"/>
    </row>
    <row r="502">
      <c r="A502" s="279"/>
    </row>
    <row r="503">
      <c r="A503" s="279"/>
    </row>
    <row r="504">
      <c r="A504" s="279"/>
    </row>
    <row r="505">
      <c r="A505" s="279"/>
    </row>
    <row r="506">
      <c r="A506" s="279"/>
    </row>
    <row r="507">
      <c r="A507" s="279"/>
    </row>
    <row r="508">
      <c r="A508" s="279"/>
    </row>
    <row r="509">
      <c r="A509" s="279"/>
    </row>
    <row r="510">
      <c r="A510" s="279"/>
    </row>
    <row r="511">
      <c r="A511" s="279"/>
    </row>
    <row r="512">
      <c r="A512" s="279"/>
    </row>
    <row r="513">
      <c r="A513" s="279"/>
    </row>
    <row r="514">
      <c r="A514" s="279"/>
    </row>
    <row r="515">
      <c r="A515" s="279"/>
    </row>
    <row r="516">
      <c r="A516" s="279"/>
    </row>
    <row r="517">
      <c r="A517" s="279"/>
    </row>
    <row r="518">
      <c r="A518" s="279"/>
    </row>
    <row r="519">
      <c r="A519" s="279"/>
    </row>
    <row r="520">
      <c r="A520" s="279"/>
    </row>
    <row r="521">
      <c r="A521" s="279"/>
    </row>
    <row r="522">
      <c r="A522" s="279"/>
    </row>
    <row r="523">
      <c r="A523" s="279"/>
    </row>
    <row r="524">
      <c r="A524" s="279"/>
    </row>
    <row r="525">
      <c r="A525" s="279"/>
    </row>
    <row r="526">
      <c r="A526" s="279"/>
    </row>
    <row r="527">
      <c r="A527" s="279"/>
    </row>
    <row r="528">
      <c r="A528" s="279"/>
    </row>
    <row r="529">
      <c r="A529" s="279"/>
    </row>
    <row r="530">
      <c r="A530" s="279"/>
    </row>
    <row r="531">
      <c r="A531" s="279"/>
    </row>
    <row r="532">
      <c r="A532" s="279"/>
    </row>
    <row r="533">
      <c r="A533" s="279"/>
    </row>
    <row r="534">
      <c r="A534" s="279"/>
    </row>
    <row r="535">
      <c r="A535" s="279"/>
    </row>
    <row r="536">
      <c r="A536" s="279"/>
    </row>
    <row r="537">
      <c r="A537" s="279"/>
    </row>
    <row r="538">
      <c r="A538" s="279"/>
    </row>
    <row r="539">
      <c r="A539" s="279"/>
    </row>
    <row r="540">
      <c r="A540" s="279"/>
    </row>
    <row r="541">
      <c r="A541" s="279"/>
    </row>
    <row r="542">
      <c r="A542" s="279"/>
    </row>
    <row r="543">
      <c r="A543" s="279"/>
    </row>
    <row r="544">
      <c r="A544" s="279"/>
    </row>
    <row r="545">
      <c r="A545" s="279"/>
    </row>
    <row r="546">
      <c r="A546" s="279"/>
    </row>
    <row r="547">
      <c r="A547" s="279"/>
    </row>
    <row r="548">
      <c r="A548" s="279"/>
    </row>
    <row r="549">
      <c r="A549" s="279"/>
    </row>
    <row r="550">
      <c r="A550" s="279"/>
    </row>
    <row r="551">
      <c r="A551" s="279"/>
    </row>
    <row r="552">
      <c r="A552" s="279"/>
    </row>
    <row r="553">
      <c r="A553" s="279"/>
    </row>
    <row r="554">
      <c r="A554" s="279"/>
    </row>
    <row r="555">
      <c r="A555" s="279"/>
    </row>
    <row r="556">
      <c r="A556" s="279"/>
    </row>
    <row r="557">
      <c r="A557" s="279"/>
    </row>
    <row r="558">
      <c r="A558" s="279"/>
    </row>
    <row r="559">
      <c r="A559" s="279"/>
    </row>
    <row r="560">
      <c r="A560" s="279"/>
    </row>
    <row r="561">
      <c r="A561" s="279"/>
    </row>
    <row r="562">
      <c r="A562" s="279"/>
    </row>
    <row r="563">
      <c r="A563" s="279"/>
    </row>
    <row r="564">
      <c r="A564" s="279"/>
    </row>
    <row r="565">
      <c r="A565" s="279"/>
    </row>
    <row r="566">
      <c r="A566" s="279"/>
    </row>
    <row r="567">
      <c r="A567" s="279"/>
    </row>
    <row r="568">
      <c r="A568" s="279"/>
    </row>
    <row r="569">
      <c r="A569" s="279"/>
    </row>
    <row r="570">
      <c r="A570" s="279"/>
    </row>
    <row r="571">
      <c r="A571" s="279"/>
    </row>
    <row r="572">
      <c r="A572" s="279"/>
    </row>
    <row r="573">
      <c r="A573" s="279"/>
    </row>
    <row r="574">
      <c r="A574" s="279"/>
    </row>
    <row r="575">
      <c r="A575" s="279"/>
    </row>
    <row r="576">
      <c r="A576" s="279"/>
    </row>
    <row r="577">
      <c r="A577" s="279"/>
    </row>
    <row r="578">
      <c r="A578" s="279"/>
    </row>
    <row r="579">
      <c r="A579" s="279"/>
    </row>
    <row r="580">
      <c r="A580" s="279"/>
    </row>
    <row r="581">
      <c r="A581" s="279"/>
    </row>
    <row r="582">
      <c r="A582" s="279"/>
    </row>
    <row r="583">
      <c r="A583" s="279"/>
    </row>
    <row r="584">
      <c r="A584" s="279"/>
    </row>
    <row r="585">
      <c r="A585" s="279"/>
    </row>
    <row r="586">
      <c r="A586" s="279"/>
    </row>
    <row r="587">
      <c r="A587" s="279"/>
    </row>
    <row r="588">
      <c r="A588" s="279"/>
    </row>
    <row r="589">
      <c r="A589" s="279"/>
    </row>
    <row r="590">
      <c r="A590" s="279"/>
    </row>
    <row r="591">
      <c r="A591" s="279"/>
    </row>
    <row r="592">
      <c r="A592" s="279"/>
    </row>
    <row r="593">
      <c r="A593" s="279"/>
    </row>
    <row r="594">
      <c r="A594" s="279"/>
    </row>
    <row r="595">
      <c r="A595" s="279"/>
    </row>
    <row r="596">
      <c r="A596" s="279"/>
    </row>
    <row r="597">
      <c r="A597" s="279"/>
    </row>
    <row r="598">
      <c r="A598" s="279"/>
    </row>
    <row r="599">
      <c r="A599" s="279"/>
    </row>
    <row r="600">
      <c r="A600" s="279"/>
    </row>
    <row r="601">
      <c r="A601" s="279"/>
    </row>
    <row r="602">
      <c r="A602" s="279"/>
    </row>
    <row r="603">
      <c r="A603" s="279"/>
    </row>
    <row r="604">
      <c r="A604" s="279"/>
    </row>
    <row r="605">
      <c r="A605" s="279"/>
    </row>
    <row r="606">
      <c r="A606" s="279"/>
    </row>
    <row r="607">
      <c r="A607" s="279"/>
    </row>
    <row r="608">
      <c r="A608" s="279"/>
    </row>
    <row r="609">
      <c r="A609" s="279"/>
    </row>
    <row r="610">
      <c r="A610" s="279"/>
    </row>
    <row r="611">
      <c r="A611" s="279"/>
    </row>
    <row r="612">
      <c r="A612" s="279"/>
    </row>
    <row r="613">
      <c r="A613" s="279"/>
    </row>
    <row r="614">
      <c r="A614" s="279"/>
    </row>
    <row r="615">
      <c r="A615" s="279"/>
    </row>
    <row r="616">
      <c r="A616" s="279"/>
    </row>
    <row r="617">
      <c r="A617" s="279"/>
    </row>
    <row r="618">
      <c r="A618" s="279"/>
    </row>
    <row r="619">
      <c r="A619" s="279"/>
    </row>
    <row r="620">
      <c r="A620" s="279"/>
    </row>
    <row r="621">
      <c r="A621" s="279"/>
    </row>
    <row r="622">
      <c r="A622" s="279"/>
    </row>
    <row r="623">
      <c r="A623" s="279"/>
    </row>
    <row r="624">
      <c r="A624" s="279"/>
    </row>
    <row r="625">
      <c r="A625" s="279"/>
    </row>
    <row r="626">
      <c r="A626" s="279"/>
    </row>
    <row r="627">
      <c r="A627" s="279"/>
    </row>
    <row r="628">
      <c r="A628" s="279"/>
    </row>
    <row r="629">
      <c r="A629" s="279"/>
    </row>
    <row r="630">
      <c r="A630" s="279"/>
    </row>
    <row r="631">
      <c r="A631" s="279"/>
    </row>
    <row r="632">
      <c r="A632" s="279"/>
    </row>
    <row r="633">
      <c r="A633" s="279"/>
    </row>
    <row r="634">
      <c r="A634" s="279"/>
    </row>
    <row r="635">
      <c r="A635" s="279"/>
    </row>
    <row r="636">
      <c r="A636" s="279"/>
    </row>
    <row r="637">
      <c r="A637" s="279"/>
    </row>
    <row r="638">
      <c r="A638" s="279"/>
    </row>
    <row r="639">
      <c r="A639" s="279"/>
    </row>
    <row r="640">
      <c r="A640" s="279"/>
    </row>
    <row r="641">
      <c r="A641" s="279"/>
    </row>
    <row r="642">
      <c r="A642" s="279"/>
    </row>
    <row r="643">
      <c r="A643" s="279"/>
    </row>
    <row r="644">
      <c r="A644" s="279"/>
    </row>
    <row r="645">
      <c r="A645" s="279"/>
    </row>
    <row r="646">
      <c r="A646" s="279"/>
    </row>
    <row r="647">
      <c r="A647" s="279"/>
    </row>
    <row r="648">
      <c r="A648" s="279"/>
    </row>
    <row r="649">
      <c r="A649" s="279"/>
    </row>
    <row r="650">
      <c r="A650" s="279"/>
    </row>
    <row r="651">
      <c r="A651" s="279"/>
    </row>
    <row r="652">
      <c r="A652" s="279"/>
    </row>
    <row r="653">
      <c r="A653" s="279"/>
    </row>
    <row r="654">
      <c r="A654" s="279"/>
    </row>
    <row r="655">
      <c r="A655" s="279"/>
    </row>
    <row r="656">
      <c r="A656" s="279"/>
    </row>
    <row r="657">
      <c r="A657" s="279"/>
    </row>
    <row r="658">
      <c r="A658" s="279"/>
    </row>
    <row r="659">
      <c r="A659" s="279"/>
    </row>
    <row r="660">
      <c r="A660" s="279"/>
    </row>
    <row r="661">
      <c r="A661" s="279"/>
    </row>
    <row r="662">
      <c r="A662" s="279"/>
    </row>
    <row r="663">
      <c r="A663" s="279"/>
    </row>
    <row r="664">
      <c r="A664" s="279"/>
    </row>
    <row r="665">
      <c r="A665" s="279"/>
    </row>
    <row r="666">
      <c r="A666" s="279"/>
    </row>
    <row r="667">
      <c r="A667" s="279"/>
    </row>
    <row r="668">
      <c r="A668" s="279"/>
    </row>
    <row r="669">
      <c r="A669" s="279"/>
    </row>
    <row r="670">
      <c r="A670" s="279"/>
    </row>
    <row r="671">
      <c r="A671" s="279"/>
    </row>
    <row r="672">
      <c r="A672" s="279"/>
    </row>
    <row r="673">
      <c r="A673" s="279"/>
    </row>
    <row r="674">
      <c r="A674" s="279"/>
    </row>
    <row r="675">
      <c r="A675" s="279"/>
    </row>
    <row r="676">
      <c r="A676" s="279"/>
    </row>
    <row r="677">
      <c r="A677" s="279"/>
    </row>
    <row r="678">
      <c r="A678" s="279"/>
    </row>
    <row r="679">
      <c r="A679" s="279"/>
    </row>
    <row r="680">
      <c r="A680" s="279"/>
    </row>
    <row r="681">
      <c r="A681" s="279"/>
    </row>
    <row r="682">
      <c r="A682" s="279"/>
    </row>
    <row r="683">
      <c r="A683" s="279"/>
    </row>
    <row r="684">
      <c r="A684" s="279"/>
    </row>
    <row r="685">
      <c r="A685" s="279"/>
    </row>
    <row r="686">
      <c r="A686" s="279"/>
    </row>
    <row r="687">
      <c r="A687" s="279"/>
    </row>
    <row r="688">
      <c r="A688" s="279"/>
    </row>
    <row r="689">
      <c r="A689" s="279"/>
    </row>
    <row r="690">
      <c r="A690" s="279"/>
    </row>
    <row r="691">
      <c r="A691" s="279"/>
    </row>
    <row r="692">
      <c r="A692" s="279"/>
    </row>
    <row r="693">
      <c r="A693" s="279"/>
    </row>
    <row r="694">
      <c r="A694" s="279"/>
    </row>
    <row r="695">
      <c r="A695" s="279"/>
    </row>
    <row r="696">
      <c r="A696" s="279"/>
    </row>
    <row r="697">
      <c r="A697" s="279"/>
    </row>
    <row r="698">
      <c r="A698" s="279"/>
    </row>
    <row r="699">
      <c r="A699" s="279"/>
    </row>
    <row r="700">
      <c r="A700" s="279"/>
    </row>
    <row r="701">
      <c r="A701" s="279"/>
    </row>
    <row r="702">
      <c r="A702" s="279"/>
    </row>
    <row r="703">
      <c r="A703" s="279"/>
    </row>
    <row r="704">
      <c r="A704" s="279"/>
    </row>
    <row r="705">
      <c r="A705" s="279"/>
    </row>
    <row r="706">
      <c r="A706" s="279"/>
    </row>
    <row r="707">
      <c r="A707" s="279"/>
    </row>
    <row r="708">
      <c r="A708" s="279"/>
    </row>
    <row r="709">
      <c r="A709" s="279"/>
    </row>
    <row r="710">
      <c r="A710" s="279"/>
    </row>
    <row r="711">
      <c r="A711" s="279"/>
    </row>
    <row r="712">
      <c r="A712" s="279"/>
    </row>
    <row r="713">
      <c r="A713" s="279"/>
    </row>
    <row r="714">
      <c r="A714" s="279"/>
    </row>
    <row r="715">
      <c r="A715" s="279"/>
    </row>
    <row r="716">
      <c r="A716" s="279"/>
    </row>
    <row r="717">
      <c r="A717" s="279"/>
    </row>
    <row r="718">
      <c r="A718" s="279"/>
    </row>
    <row r="719">
      <c r="A719" s="279"/>
    </row>
    <row r="720">
      <c r="A720" s="279"/>
    </row>
    <row r="721">
      <c r="A721" s="279"/>
    </row>
    <row r="722">
      <c r="A722" s="279"/>
    </row>
    <row r="723">
      <c r="A723" s="279"/>
    </row>
    <row r="724">
      <c r="A724" s="279"/>
    </row>
    <row r="725">
      <c r="A725" s="279"/>
    </row>
    <row r="726">
      <c r="A726" s="279"/>
    </row>
    <row r="727">
      <c r="A727" s="279"/>
    </row>
    <row r="728">
      <c r="A728" s="279"/>
    </row>
    <row r="729">
      <c r="A729" s="279"/>
    </row>
    <row r="730">
      <c r="A730" s="279"/>
    </row>
    <row r="731">
      <c r="A731" s="279"/>
    </row>
    <row r="732">
      <c r="A732" s="279"/>
    </row>
    <row r="733">
      <c r="A733" s="279"/>
    </row>
    <row r="734">
      <c r="A734" s="279"/>
    </row>
    <row r="735">
      <c r="A735" s="279"/>
    </row>
    <row r="736">
      <c r="A736" s="279"/>
    </row>
    <row r="737">
      <c r="A737" s="279"/>
    </row>
    <row r="738">
      <c r="A738" s="279"/>
    </row>
    <row r="739">
      <c r="A739" s="279"/>
    </row>
    <row r="740">
      <c r="A740" s="279"/>
    </row>
    <row r="741">
      <c r="A741" s="279"/>
    </row>
    <row r="742">
      <c r="A742" s="279"/>
    </row>
    <row r="743">
      <c r="A743" s="279"/>
    </row>
    <row r="744">
      <c r="A744" s="279"/>
    </row>
    <row r="745">
      <c r="A745" s="279"/>
    </row>
    <row r="746">
      <c r="A746" s="279"/>
    </row>
    <row r="747">
      <c r="A747" s="279"/>
    </row>
    <row r="748">
      <c r="A748" s="279"/>
    </row>
    <row r="749">
      <c r="A749" s="279"/>
    </row>
    <row r="750">
      <c r="A750" s="279"/>
    </row>
    <row r="751">
      <c r="A751" s="279"/>
    </row>
    <row r="752">
      <c r="A752" s="279"/>
    </row>
    <row r="753">
      <c r="A753" s="279"/>
    </row>
    <row r="754">
      <c r="A754" s="279"/>
    </row>
    <row r="755">
      <c r="A755" s="279"/>
    </row>
    <row r="756">
      <c r="A756" s="279"/>
    </row>
    <row r="757">
      <c r="A757" s="279"/>
    </row>
    <row r="758">
      <c r="A758" s="279"/>
    </row>
    <row r="759">
      <c r="A759" s="279"/>
    </row>
    <row r="760">
      <c r="A760" s="279"/>
    </row>
    <row r="761">
      <c r="A761" s="279"/>
    </row>
    <row r="762">
      <c r="A762" s="279"/>
    </row>
    <row r="763">
      <c r="A763" s="279"/>
    </row>
    <row r="764">
      <c r="A764" s="279"/>
    </row>
    <row r="765">
      <c r="A765" s="279"/>
    </row>
    <row r="766">
      <c r="A766" s="279"/>
    </row>
    <row r="767">
      <c r="A767" s="279"/>
    </row>
    <row r="768">
      <c r="A768" s="279"/>
    </row>
    <row r="769">
      <c r="A769" s="279"/>
    </row>
    <row r="770">
      <c r="A770" s="279"/>
    </row>
    <row r="771">
      <c r="A771" s="279"/>
    </row>
    <row r="772">
      <c r="A772" s="279"/>
    </row>
    <row r="773">
      <c r="A773" s="279"/>
    </row>
    <row r="774">
      <c r="A774" s="279"/>
    </row>
    <row r="775">
      <c r="A775" s="279"/>
    </row>
    <row r="776">
      <c r="A776" s="279"/>
    </row>
    <row r="777">
      <c r="A777" s="279"/>
    </row>
    <row r="778">
      <c r="A778" s="279"/>
    </row>
    <row r="779">
      <c r="A779" s="279"/>
    </row>
    <row r="780">
      <c r="A780" s="279"/>
    </row>
    <row r="781">
      <c r="A781" s="279"/>
    </row>
    <row r="782">
      <c r="A782" s="279"/>
    </row>
    <row r="783">
      <c r="A783" s="279"/>
    </row>
    <row r="784">
      <c r="A784" s="279"/>
    </row>
    <row r="785">
      <c r="A785" s="279"/>
    </row>
    <row r="786">
      <c r="A786" s="279"/>
    </row>
    <row r="787">
      <c r="A787" s="279"/>
    </row>
    <row r="788">
      <c r="A788" s="279"/>
    </row>
    <row r="789">
      <c r="A789" s="279"/>
    </row>
    <row r="790">
      <c r="A790" s="279"/>
    </row>
    <row r="791">
      <c r="A791" s="279"/>
    </row>
    <row r="792">
      <c r="A792" s="279"/>
    </row>
    <row r="793">
      <c r="A793" s="279"/>
    </row>
    <row r="794">
      <c r="A794" s="279"/>
    </row>
    <row r="795">
      <c r="A795" s="279"/>
    </row>
    <row r="796">
      <c r="A796" s="279"/>
    </row>
    <row r="797">
      <c r="A797" s="279"/>
    </row>
    <row r="798">
      <c r="A798" s="279"/>
    </row>
    <row r="799">
      <c r="A799" s="279"/>
    </row>
    <row r="800">
      <c r="A800" s="279"/>
    </row>
    <row r="801">
      <c r="A801" s="279"/>
    </row>
    <row r="802">
      <c r="A802" s="279"/>
    </row>
    <row r="803">
      <c r="A803" s="279"/>
    </row>
    <row r="804">
      <c r="A804" s="279"/>
    </row>
    <row r="805">
      <c r="A805" s="279"/>
    </row>
    <row r="806">
      <c r="A806" s="279"/>
    </row>
    <row r="807">
      <c r="A807" s="279"/>
    </row>
    <row r="808">
      <c r="A808" s="279"/>
    </row>
    <row r="809">
      <c r="A809" s="279"/>
    </row>
    <row r="810">
      <c r="A810" s="279"/>
    </row>
    <row r="811">
      <c r="A811" s="279"/>
    </row>
    <row r="812">
      <c r="A812" s="279"/>
    </row>
    <row r="813">
      <c r="A813" s="279"/>
    </row>
    <row r="814">
      <c r="A814" s="279"/>
    </row>
    <row r="815">
      <c r="A815" s="279"/>
    </row>
    <row r="816">
      <c r="A816" s="279"/>
    </row>
    <row r="817">
      <c r="A817" s="279"/>
    </row>
    <row r="818">
      <c r="A818" s="279"/>
    </row>
    <row r="819">
      <c r="A819" s="279"/>
    </row>
    <row r="820">
      <c r="A820" s="279"/>
    </row>
    <row r="821">
      <c r="A821" s="279"/>
    </row>
    <row r="822">
      <c r="A822" s="279"/>
    </row>
    <row r="823">
      <c r="A823" s="279"/>
    </row>
    <row r="824">
      <c r="A824" s="279"/>
    </row>
    <row r="825">
      <c r="A825" s="279"/>
    </row>
    <row r="826">
      <c r="A826" s="279"/>
    </row>
    <row r="827">
      <c r="A827" s="279"/>
    </row>
    <row r="828">
      <c r="A828" s="279"/>
    </row>
    <row r="829">
      <c r="A829" s="279"/>
    </row>
    <row r="830">
      <c r="A830" s="279"/>
    </row>
    <row r="831">
      <c r="A831" s="279"/>
    </row>
    <row r="832">
      <c r="A832" s="279"/>
    </row>
    <row r="833">
      <c r="A833" s="279"/>
    </row>
    <row r="834">
      <c r="A834" s="279"/>
    </row>
    <row r="835">
      <c r="A835" s="279"/>
    </row>
    <row r="836">
      <c r="A836" s="279"/>
    </row>
    <row r="837">
      <c r="A837" s="279"/>
    </row>
    <row r="838">
      <c r="A838" s="279"/>
    </row>
    <row r="839">
      <c r="A839" s="279"/>
    </row>
    <row r="840">
      <c r="A840" s="279"/>
    </row>
    <row r="841">
      <c r="A841" s="279"/>
    </row>
    <row r="842">
      <c r="A842" s="279"/>
    </row>
    <row r="843">
      <c r="A843" s="279"/>
    </row>
    <row r="844">
      <c r="A844" s="279"/>
    </row>
    <row r="845">
      <c r="A845" s="279"/>
    </row>
    <row r="846">
      <c r="A846" s="279"/>
    </row>
    <row r="847">
      <c r="A847" s="279"/>
    </row>
    <row r="848">
      <c r="A848" s="279"/>
    </row>
    <row r="849">
      <c r="A849" s="279"/>
    </row>
    <row r="850">
      <c r="A850" s="279"/>
    </row>
    <row r="851">
      <c r="A851" s="279"/>
    </row>
    <row r="852">
      <c r="A852" s="279"/>
    </row>
    <row r="853">
      <c r="A853" s="279"/>
    </row>
    <row r="854">
      <c r="A854" s="279"/>
    </row>
    <row r="855">
      <c r="A855" s="279"/>
    </row>
    <row r="856">
      <c r="A856" s="279"/>
    </row>
    <row r="857">
      <c r="A857" s="279"/>
    </row>
    <row r="858">
      <c r="A858" s="279"/>
    </row>
    <row r="859">
      <c r="A859" s="279"/>
    </row>
    <row r="860">
      <c r="A860" s="279"/>
    </row>
    <row r="861">
      <c r="A861" s="279"/>
    </row>
    <row r="862">
      <c r="A862" s="279"/>
    </row>
    <row r="863">
      <c r="A863" s="279"/>
    </row>
    <row r="864">
      <c r="A864" s="279"/>
    </row>
    <row r="865">
      <c r="A865" s="279"/>
    </row>
    <row r="866">
      <c r="A866" s="279"/>
    </row>
    <row r="867">
      <c r="A867" s="279"/>
    </row>
    <row r="868">
      <c r="A868" s="279"/>
    </row>
    <row r="869">
      <c r="A869" s="279"/>
    </row>
    <row r="870">
      <c r="A870" s="279"/>
    </row>
    <row r="871">
      <c r="A871" s="279"/>
    </row>
    <row r="872">
      <c r="A872" s="279"/>
    </row>
    <row r="873">
      <c r="A873" s="279"/>
    </row>
    <row r="874">
      <c r="A874" s="279"/>
    </row>
    <row r="875">
      <c r="A875" s="279"/>
    </row>
    <row r="876">
      <c r="A876" s="279"/>
    </row>
    <row r="877">
      <c r="A877" s="279"/>
    </row>
    <row r="878">
      <c r="A878" s="279"/>
    </row>
    <row r="879">
      <c r="A879" s="279"/>
    </row>
    <row r="880">
      <c r="A880" s="279"/>
    </row>
    <row r="881">
      <c r="A881" s="279"/>
    </row>
    <row r="882">
      <c r="A882" s="279"/>
    </row>
    <row r="883">
      <c r="A883" s="279"/>
    </row>
    <row r="884">
      <c r="A884" s="279"/>
    </row>
    <row r="885">
      <c r="A885" s="279"/>
    </row>
    <row r="886">
      <c r="A886" s="279"/>
    </row>
    <row r="887">
      <c r="A887" s="279"/>
    </row>
    <row r="888">
      <c r="A888" s="279"/>
    </row>
    <row r="889">
      <c r="A889" s="279"/>
    </row>
    <row r="890">
      <c r="A890" s="279"/>
    </row>
    <row r="891">
      <c r="A891" s="279"/>
    </row>
    <row r="892">
      <c r="A892" s="279"/>
    </row>
    <row r="893">
      <c r="A893" s="279"/>
    </row>
    <row r="894">
      <c r="A894" s="279"/>
    </row>
    <row r="895">
      <c r="A895" s="279"/>
    </row>
    <row r="896">
      <c r="A896" s="279"/>
    </row>
    <row r="897">
      <c r="A897" s="279"/>
    </row>
    <row r="898">
      <c r="A898" s="279"/>
    </row>
    <row r="899">
      <c r="A899" s="279"/>
    </row>
    <row r="900">
      <c r="A900" s="279"/>
    </row>
    <row r="901">
      <c r="A901" s="279"/>
    </row>
    <row r="902">
      <c r="A902" s="279"/>
    </row>
    <row r="903">
      <c r="A903" s="279"/>
    </row>
    <row r="904">
      <c r="A904" s="279"/>
    </row>
    <row r="905">
      <c r="A905" s="279"/>
    </row>
    <row r="906">
      <c r="A906" s="279"/>
    </row>
    <row r="907">
      <c r="A907" s="279"/>
    </row>
    <row r="908">
      <c r="A908" s="279"/>
    </row>
    <row r="909">
      <c r="A909" s="279"/>
    </row>
    <row r="910">
      <c r="A910" s="279"/>
    </row>
    <row r="911">
      <c r="A911" s="279"/>
    </row>
    <row r="912">
      <c r="A912" s="279"/>
    </row>
    <row r="913">
      <c r="A913" s="279"/>
    </row>
    <row r="914">
      <c r="A914" s="279"/>
    </row>
    <row r="915">
      <c r="A915" s="279"/>
    </row>
    <row r="916">
      <c r="A916" s="279"/>
    </row>
    <row r="917">
      <c r="A917" s="279"/>
    </row>
    <row r="918">
      <c r="A918" s="279"/>
    </row>
    <row r="919">
      <c r="A919" s="279"/>
    </row>
    <row r="920">
      <c r="A920" s="279"/>
    </row>
    <row r="921">
      <c r="A921" s="279"/>
    </row>
    <row r="922">
      <c r="A922" s="279"/>
    </row>
    <row r="923">
      <c r="A923" s="279"/>
    </row>
    <row r="924">
      <c r="A924" s="279"/>
    </row>
    <row r="925">
      <c r="A925" s="279"/>
    </row>
    <row r="926">
      <c r="A926" s="279"/>
    </row>
    <row r="927">
      <c r="A927" s="279"/>
    </row>
    <row r="928">
      <c r="A928" s="279"/>
    </row>
    <row r="929">
      <c r="A929" s="279"/>
    </row>
    <row r="930">
      <c r="A930" s="279"/>
    </row>
    <row r="931">
      <c r="A931" s="279"/>
    </row>
    <row r="932">
      <c r="A932" s="279"/>
    </row>
    <row r="933">
      <c r="A933" s="279"/>
    </row>
    <row r="934">
      <c r="A934" s="279"/>
    </row>
    <row r="935">
      <c r="A935" s="279"/>
    </row>
    <row r="936">
      <c r="A936" s="279"/>
    </row>
    <row r="937">
      <c r="A937" s="279"/>
    </row>
    <row r="938">
      <c r="A938" s="279"/>
    </row>
    <row r="939">
      <c r="A939" s="279"/>
    </row>
    <row r="940">
      <c r="A940" s="279"/>
    </row>
    <row r="941">
      <c r="A941" s="279"/>
    </row>
    <row r="942">
      <c r="A942" s="279"/>
    </row>
    <row r="943">
      <c r="A943" s="279"/>
    </row>
    <row r="944">
      <c r="A944" s="279"/>
    </row>
    <row r="945">
      <c r="A945" s="279"/>
    </row>
    <row r="946">
      <c r="A946" s="279"/>
    </row>
    <row r="947">
      <c r="A947" s="279"/>
    </row>
    <row r="948">
      <c r="A948" s="279"/>
    </row>
    <row r="949">
      <c r="A949" s="279"/>
    </row>
    <row r="950">
      <c r="A950" s="279"/>
    </row>
    <row r="951">
      <c r="A951" s="279"/>
    </row>
    <row r="952">
      <c r="A952" s="279"/>
    </row>
    <row r="953">
      <c r="A953" s="279"/>
    </row>
    <row r="954">
      <c r="A954" s="279"/>
    </row>
    <row r="955">
      <c r="A955" s="279"/>
    </row>
    <row r="956">
      <c r="A956" s="279"/>
    </row>
    <row r="957">
      <c r="A957" s="279"/>
    </row>
    <row r="958">
      <c r="A958" s="279"/>
    </row>
    <row r="959">
      <c r="A959" s="279"/>
    </row>
    <row r="960">
      <c r="A960" s="279"/>
    </row>
    <row r="961">
      <c r="A961" s="279"/>
    </row>
    <row r="962">
      <c r="A962" s="279"/>
    </row>
    <row r="963">
      <c r="A963" s="279"/>
    </row>
    <row r="964">
      <c r="A964" s="279"/>
    </row>
    <row r="965">
      <c r="A965" s="279"/>
    </row>
    <row r="966">
      <c r="A966" s="279"/>
    </row>
    <row r="967">
      <c r="A967" s="279"/>
    </row>
    <row r="968">
      <c r="A968" s="279"/>
    </row>
    <row r="969">
      <c r="A969" s="279"/>
    </row>
    <row r="970">
      <c r="A970" s="279"/>
    </row>
    <row r="971">
      <c r="A971" s="279"/>
    </row>
    <row r="972">
      <c r="A972" s="279"/>
    </row>
    <row r="973">
      <c r="A973" s="279"/>
    </row>
    <row r="974">
      <c r="A974" s="279"/>
    </row>
    <row r="975">
      <c r="A975" s="279"/>
    </row>
    <row r="976">
      <c r="A976" s="279"/>
    </row>
    <row r="977">
      <c r="A977" s="279"/>
    </row>
    <row r="978">
      <c r="A978" s="279"/>
    </row>
    <row r="979">
      <c r="A979" s="279"/>
    </row>
    <row r="980">
      <c r="A980" s="279"/>
    </row>
    <row r="981">
      <c r="A981" s="279"/>
    </row>
    <row r="982">
      <c r="A982" s="279"/>
    </row>
    <row r="983">
      <c r="A983" s="279"/>
    </row>
    <row r="984">
      <c r="A984" s="279"/>
    </row>
    <row r="985">
      <c r="A985" s="279"/>
    </row>
    <row r="986">
      <c r="A986" s="279"/>
    </row>
  </sheetData>
  <hyperlinks>
    <hyperlink r:id="rId1" ref="A1"/>
    <hyperlink r:id="rId2" ref="A3"/>
    <hyperlink r:id="rId3" ref="A5"/>
    <hyperlink r:id="rId4" ref="A7"/>
    <hyperlink r:id="rId5" ref="A9"/>
    <hyperlink r:id="rId6" ref="A11"/>
    <hyperlink r:id="rId7" location=":~:text=Teachers%20Insurance%20and%20Annuity%20Association%20of%20America%20faces%20a%20class,of%20approximately%202.3%20million%20individuals." ref="A13"/>
    <hyperlink r:id="rId8" ref="A15"/>
    <hyperlink r:id="rId9" ref="A17"/>
    <hyperlink r:id="rId10" ref="A19"/>
    <hyperlink r:id="rId11" ref="A21"/>
    <hyperlink r:id="rId12" ref="A23"/>
    <hyperlink r:id="rId13" ref="A25"/>
    <hyperlink r:id="rId14" ref="A27"/>
    <hyperlink r:id="rId15" ref="A29"/>
    <hyperlink r:id="rId16" ref="A31"/>
    <hyperlink r:id="rId17" ref="A33"/>
    <hyperlink r:id="rId18" ref="A35"/>
    <hyperlink r:id="rId19" ref="A37"/>
    <hyperlink r:id="rId20" ref="A39"/>
  </hyperlinks>
  <drawing r:id="rId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2.75"/>
  <cols>
    <col customWidth="1" min="1" max="1" width="18.88"/>
    <col customWidth="1" min="2" max="2" width="16.25"/>
    <col customWidth="1" min="3" max="3" width="11.63"/>
    <col customWidth="1" min="4" max="4" width="8.75"/>
    <col customWidth="1" min="5" max="5" width="13.13"/>
    <col customWidth="1" min="6" max="6" width="30.25"/>
    <col customWidth="1" min="7" max="7" width="9.63"/>
    <col customWidth="1" min="8" max="8" width="14.88"/>
    <col customWidth="1" min="9" max="9" width="10.13"/>
    <col customWidth="1" min="10" max="10" width="12.13"/>
    <col customWidth="1" min="11" max="11" width="13.63"/>
    <col customWidth="1" min="12" max="12" width="2.0"/>
    <col customWidth="1" min="13" max="16" width="15.13"/>
  </cols>
  <sheetData>
    <row r="1">
      <c r="A1" s="288" t="s">
        <v>0</v>
      </c>
      <c r="B1" s="289" t="s">
        <v>1</v>
      </c>
      <c r="C1" s="290" t="s">
        <v>2</v>
      </c>
      <c r="D1" s="62" t="s">
        <v>3</v>
      </c>
      <c r="E1" s="291" t="s">
        <v>4</v>
      </c>
      <c r="F1" s="289" t="s">
        <v>5</v>
      </c>
      <c r="G1" s="62" t="s">
        <v>6</v>
      </c>
      <c r="H1" s="288" t="s">
        <v>7</v>
      </c>
      <c r="I1" s="289" t="s">
        <v>8</v>
      </c>
      <c r="J1" s="62" t="s">
        <v>9</v>
      </c>
      <c r="K1" s="292" t="s">
        <v>10</v>
      </c>
      <c r="L1" s="293"/>
      <c r="M1" s="293" t="s">
        <v>11</v>
      </c>
      <c r="N1" s="294" t="s">
        <v>12</v>
      </c>
      <c r="O1" s="294" t="s">
        <v>13</v>
      </c>
      <c r="P1" s="295" t="s">
        <v>14</v>
      </c>
    </row>
    <row r="2">
      <c r="A2" s="296"/>
      <c r="B2" s="297"/>
      <c r="C2" s="298" t="s">
        <v>16</v>
      </c>
      <c r="D2" s="299" t="s">
        <v>17</v>
      </c>
      <c r="E2" s="300"/>
      <c r="F2" s="301"/>
      <c r="G2" s="301" t="s">
        <v>2152</v>
      </c>
      <c r="H2" s="301" t="s">
        <v>18</v>
      </c>
      <c r="I2" s="297"/>
      <c r="J2" s="302" t="s">
        <v>19</v>
      </c>
      <c r="K2" s="303" t="str">
        <f>"=IF(C3&gt;100000000,C3,"")"</f>
        <v>=IF(C3&gt;100000000,C3,")</v>
      </c>
      <c r="L2" s="297"/>
      <c r="M2" s="297"/>
      <c r="N2" s="304"/>
      <c r="O2" s="304"/>
      <c r="P2" s="304"/>
    </row>
    <row r="3" ht="49.5" customHeight="1">
      <c r="A3" s="305" t="s">
        <v>425</v>
      </c>
      <c r="B3" s="306"/>
      <c r="C3" s="307">
        <v>800000.0</v>
      </c>
      <c r="D3" s="308">
        <v>2022.0</v>
      </c>
      <c r="E3" s="309">
        <v>44682.0</v>
      </c>
      <c r="F3" s="308" t="s">
        <v>426</v>
      </c>
      <c r="G3" s="308" t="s">
        <v>2153</v>
      </c>
      <c r="H3" s="308" t="s">
        <v>59</v>
      </c>
      <c r="I3" s="308" t="s">
        <v>29</v>
      </c>
      <c r="J3" s="308">
        <v>1.0</v>
      </c>
      <c r="K3" s="310">
        <v>800000.0</v>
      </c>
      <c r="L3" s="311"/>
      <c r="M3" s="312" t="s">
        <v>427</v>
      </c>
      <c r="N3" s="313" t="s">
        <v>428</v>
      </c>
      <c r="O3" s="314"/>
      <c r="P3" s="315">
        <v>409.0</v>
      </c>
    </row>
    <row r="4" ht="87.0" customHeight="1">
      <c r="A4" s="305" t="s">
        <v>429</v>
      </c>
      <c r="B4" s="306"/>
      <c r="C4" s="307">
        <v>50000.0</v>
      </c>
      <c r="D4" s="308">
        <v>2022.0</v>
      </c>
      <c r="E4" s="309">
        <v>44652.0</v>
      </c>
      <c r="F4" s="308" t="s">
        <v>430</v>
      </c>
      <c r="G4" s="308" t="s">
        <v>50</v>
      </c>
      <c r="H4" s="308" t="s">
        <v>23</v>
      </c>
      <c r="I4" s="308"/>
      <c r="J4" s="308">
        <v>2.0</v>
      </c>
      <c r="K4" s="310" t="s">
        <v>2154</v>
      </c>
      <c r="L4" s="311"/>
      <c r="M4" s="312" t="s">
        <v>85</v>
      </c>
      <c r="N4" s="313" t="s">
        <v>431</v>
      </c>
      <c r="O4" s="314"/>
      <c r="P4" s="315">
        <v>410.0</v>
      </c>
    </row>
    <row r="5" ht="32.25" customHeight="1">
      <c r="A5" s="305" t="s">
        <v>432</v>
      </c>
      <c r="B5" s="306"/>
      <c r="C5" s="307">
        <v>106586.0</v>
      </c>
      <c r="D5" s="308">
        <v>2022.0</v>
      </c>
      <c r="E5" s="309">
        <v>44652.0</v>
      </c>
      <c r="F5" s="312" t="s">
        <v>433</v>
      </c>
      <c r="G5" s="308" t="s">
        <v>50</v>
      </c>
      <c r="H5" s="308" t="s">
        <v>23</v>
      </c>
      <c r="I5" s="308"/>
      <c r="J5" s="308">
        <v>1.0</v>
      </c>
      <c r="K5" s="310">
        <v>106586.0</v>
      </c>
      <c r="L5" s="311"/>
      <c r="M5" s="312" t="s">
        <v>85</v>
      </c>
      <c r="N5" s="316" t="s">
        <v>434</v>
      </c>
      <c r="O5" s="314"/>
      <c r="P5" s="315">
        <v>411.0</v>
      </c>
    </row>
    <row r="6" ht="32.25" customHeight="1">
      <c r="A6" s="305" t="s">
        <v>435</v>
      </c>
      <c r="B6" s="317"/>
      <c r="C6" s="307">
        <v>1580249.0</v>
      </c>
      <c r="D6" s="308">
        <v>2022.0</v>
      </c>
      <c r="E6" s="309">
        <v>44621.0</v>
      </c>
      <c r="F6" s="308" t="s">
        <v>436</v>
      </c>
      <c r="G6" s="308" t="s">
        <v>2153</v>
      </c>
      <c r="H6" s="308" t="s">
        <v>23</v>
      </c>
      <c r="I6" s="308"/>
      <c r="J6" s="308">
        <v>3.0</v>
      </c>
      <c r="K6" s="310">
        <v>1500000.0</v>
      </c>
      <c r="L6" s="311"/>
      <c r="M6" s="312" t="s">
        <v>437</v>
      </c>
      <c r="N6" s="313" t="s">
        <v>438</v>
      </c>
      <c r="O6" s="314"/>
      <c r="P6" s="315">
        <v>412.0</v>
      </c>
    </row>
    <row r="7" ht="32.25" customHeight="1">
      <c r="A7" s="305" t="s">
        <v>439</v>
      </c>
      <c r="B7" s="318"/>
      <c r="C7" s="307">
        <v>1.8218203E7</v>
      </c>
      <c r="D7" s="308">
        <v>2022.0</v>
      </c>
      <c r="E7" s="309">
        <v>44621.0</v>
      </c>
      <c r="F7" s="308" t="s">
        <v>440</v>
      </c>
      <c r="G7" s="308" t="s">
        <v>43</v>
      </c>
      <c r="H7" s="308" t="s">
        <v>23</v>
      </c>
      <c r="I7" s="308"/>
      <c r="J7" s="308">
        <v>3.0</v>
      </c>
      <c r="K7" s="310">
        <v>1.9E7</v>
      </c>
      <c r="L7" s="311"/>
      <c r="M7" s="312" t="s">
        <v>72</v>
      </c>
      <c r="N7" s="319" t="s">
        <v>442</v>
      </c>
      <c r="O7" s="314"/>
      <c r="P7" s="315">
        <v>413.0</v>
      </c>
    </row>
    <row r="8" ht="32.25" customHeight="1">
      <c r="A8" s="305" t="s">
        <v>443</v>
      </c>
      <c r="B8" s="306"/>
      <c r="C8" s="307">
        <v>257000.0</v>
      </c>
      <c r="D8" s="308">
        <v>2022.0</v>
      </c>
      <c r="E8" s="309">
        <v>44593.0</v>
      </c>
      <c r="F8" s="320" t="s">
        <v>444</v>
      </c>
      <c r="G8" s="308" t="s">
        <v>64</v>
      </c>
      <c r="H8" s="308" t="s">
        <v>23</v>
      </c>
      <c r="I8" s="308"/>
      <c r="J8" s="308">
        <v>3.0</v>
      </c>
      <c r="K8" s="310">
        <v>257000.0</v>
      </c>
      <c r="L8" s="311"/>
      <c r="M8" s="312" t="s">
        <v>445</v>
      </c>
      <c r="N8" s="321" t="s">
        <v>446</v>
      </c>
      <c r="O8" s="314"/>
      <c r="P8" s="315">
        <v>414.0</v>
      </c>
    </row>
    <row r="9" ht="32.25" customHeight="1">
      <c r="A9" s="305" t="s">
        <v>447</v>
      </c>
      <c r="B9" s="306"/>
      <c r="C9" s="307">
        <v>500000.0</v>
      </c>
      <c r="D9" s="308">
        <v>2022.0</v>
      </c>
      <c r="E9" s="309">
        <v>44562.0</v>
      </c>
      <c r="F9" s="312" t="s">
        <v>448</v>
      </c>
      <c r="G9" s="308" t="s">
        <v>2155</v>
      </c>
      <c r="H9" s="308" t="s">
        <v>23</v>
      </c>
      <c r="I9" s="308"/>
      <c r="J9" s="308">
        <v>4.0</v>
      </c>
      <c r="K9" s="310">
        <v>500000.0</v>
      </c>
      <c r="L9" s="311"/>
      <c r="M9" s="312" t="s">
        <v>449</v>
      </c>
      <c r="N9" s="313" t="s">
        <v>450</v>
      </c>
      <c r="O9" s="314"/>
      <c r="P9" s="315">
        <v>415.0</v>
      </c>
    </row>
    <row r="10" ht="54.0" customHeight="1">
      <c r="A10" s="305" t="s">
        <v>451</v>
      </c>
      <c r="B10" s="306"/>
      <c r="C10" s="307">
        <v>100000.0</v>
      </c>
      <c r="D10" s="308">
        <v>2022.0</v>
      </c>
      <c r="E10" s="309">
        <v>44562.0</v>
      </c>
      <c r="F10" s="322"/>
      <c r="G10" s="308" t="s">
        <v>28</v>
      </c>
      <c r="H10" s="308" t="s">
        <v>23</v>
      </c>
      <c r="I10" s="308"/>
      <c r="J10" s="308">
        <v>1.0</v>
      </c>
      <c r="K10" s="310" t="s">
        <v>360</v>
      </c>
      <c r="L10" s="311"/>
      <c r="M10" s="312" t="s">
        <v>451</v>
      </c>
      <c r="N10" s="313" t="s">
        <v>452</v>
      </c>
      <c r="O10" s="314"/>
      <c r="P10" s="315">
        <v>416.0</v>
      </c>
    </row>
    <row r="11" ht="32.25" customHeight="1">
      <c r="A11" s="305" t="s">
        <v>453</v>
      </c>
      <c r="B11" s="317"/>
      <c r="C11" s="307">
        <v>3700000.0</v>
      </c>
      <c r="D11" s="308">
        <v>2022.0</v>
      </c>
      <c r="E11" s="309">
        <v>44562.0</v>
      </c>
      <c r="F11" s="323" t="s">
        <v>454</v>
      </c>
      <c r="G11" s="308" t="s">
        <v>28</v>
      </c>
      <c r="H11" s="308" t="s">
        <v>23</v>
      </c>
      <c r="I11" s="308"/>
      <c r="J11" s="308">
        <v>3.0</v>
      </c>
      <c r="K11" s="310">
        <v>3700000.0</v>
      </c>
      <c r="L11" s="311"/>
      <c r="M11" s="312" t="s">
        <v>85</v>
      </c>
      <c r="N11" s="313" t="s">
        <v>456</v>
      </c>
      <c r="O11" s="314"/>
      <c r="P11" s="315">
        <v>417.0</v>
      </c>
    </row>
    <row r="12" ht="32.25" customHeight="1">
      <c r="A12" s="305" t="s">
        <v>457</v>
      </c>
      <c r="B12" s="317"/>
      <c r="C12" s="307">
        <v>133000.0</v>
      </c>
      <c r="D12" s="308">
        <v>2021.0</v>
      </c>
      <c r="E12" s="309">
        <v>44531.0</v>
      </c>
      <c r="F12" s="324"/>
      <c r="G12" s="308" t="s">
        <v>2153</v>
      </c>
      <c r="H12" s="308" t="s">
        <v>380</v>
      </c>
      <c r="I12" s="308"/>
      <c r="J12" s="308">
        <v>2.0</v>
      </c>
      <c r="K12" s="310">
        <v>133000.0</v>
      </c>
      <c r="L12" s="311"/>
      <c r="M12" s="312" t="s">
        <v>227</v>
      </c>
      <c r="N12" s="313" t="s">
        <v>458</v>
      </c>
      <c r="O12" s="314"/>
      <c r="P12" s="315">
        <v>399.0</v>
      </c>
    </row>
    <row r="13" ht="32.25" customHeight="1">
      <c r="A13" s="305" t="s">
        <v>459</v>
      </c>
      <c r="B13" s="317"/>
      <c r="C13" s="307">
        <v>5000937.0</v>
      </c>
      <c r="D13" s="308">
        <v>2021.0</v>
      </c>
      <c r="E13" s="309">
        <v>44501.0</v>
      </c>
      <c r="F13" s="324" t="s">
        <v>460</v>
      </c>
      <c r="G13" s="308" t="s">
        <v>2153</v>
      </c>
      <c r="H13" s="308" t="s">
        <v>23</v>
      </c>
      <c r="I13" s="308"/>
      <c r="J13" s="308">
        <v>2.0</v>
      </c>
      <c r="K13" s="310">
        <v>5000000.0</v>
      </c>
      <c r="L13" s="311"/>
      <c r="M13" s="312" t="s">
        <v>34</v>
      </c>
      <c r="N13" s="313" t="s">
        <v>462</v>
      </c>
      <c r="O13" s="314"/>
      <c r="P13" s="315">
        <v>400.0</v>
      </c>
    </row>
    <row r="14" ht="32.25" customHeight="1">
      <c r="A14" s="305" t="s">
        <v>463</v>
      </c>
      <c r="B14" s="317"/>
      <c r="C14" s="307">
        <v>1200000.0</v>
      </c>
      <c r="D14" s="308">
        <v>2021.0</v>
      </c>
      <c r="E14" s="309">
        <v>44501.0</v>
      </c>
      <c r="F14" s="308" t="s">
        <v>464</v>
      </c>
      <c r="G14" s="308" t="s">
        <v>28</v>
      </c>
      <c r="H14" s="308" t="s">
        <v>23</v>
      </c>
      <c r="I14" s="308"/>
      <c r="J14" s="308">
        <v>1.0</v>
      </c>
      <c r="K14" s="310">
        <v>1200000.0</v>
      </c>
      <c r="L14" s="311"/>
      <c r="M14" s="312" t="s">
        <v>465</v>
      </c>
      <c r="N14" s="313" t="s">
        <v>462</v>
      </c>
      <c r="O14" s="314"/>
      <c r="P14" s="315">
        <v>401.0</v>
      </c>
    </row>
    <row r="15" ht="32.25" customHeight="1">
      <c r="A15" s="305" t="s">
        <v>466</v>
      </c>
      <c r="B15" s="318"/>
      <c r="C15" s="307">
        <v>471376.0</v>
      </c>
      <c r="D15" s="308">
        <v>2021.0</v>
      </c>
      <c r="E15" s="309">
        <v>44501.0</v>
      </c>
      <c r="F15" s="308" t="s">
        <v>467</v>
      </c>
      <c r="G15" s="308" t="s">
        <v>38</v>
      </c>
      <c r="H15" s="308" t="s">
        <v>23</v>
      </c>
      <c r="I15" s="308"/>
      <c r="J15" s="308">
        <v>2.0</v>
      </c>
      <c r="K15" s="310">
        <v>470000.0</v>
      </c>
      <c r="L15" s="311"/>
      <c r="M15" s="312" t="s">
        <v>469</v>
      </c>
      <c r="N15" s="316" t="s">
        <v>470</v>
      </c>
      <c r="O15" s="314"/>
      <c r="P15" s="315">
        <v>402.0</v>
      </c>
    </row>
    <row r="16" ht="32.25" customHeight="1">
      <c r="A16" s="305" t="s">
        <v>333</v>
      </c>
      <c r="B16" s="317"/>
      <c r="C16" s="307">
        <v>3000000.0</v>
      </c>
      <c r="D16" s="308">
        <v>2021.0</v>
      </c>
      <c r="E16" s="309">
        <v>44470.0</v>
      </c>
      <c r="F16" s="308"/>
      <c r="G16" s="308" t="s">
        <v>50</v>
      </c>
      <c r="H16" s="308" t="s">
        <v>23</v>
      </c>
      <c r="I16" s="308"/>
      <c r="J16" s="308">
        <v>1.0</v>
      </c>
      <c r="K16" s="310" t="s">
        <v>2156</v>
      </c>
      <c r="L16" s="311"/>
      <c r="M16" s="312" t="s">
        <v>471</v>
      </c>
      <c r="N16" s="313" t="s">
        <v>472</v>
      </c>
      <c r="O16" s="314"/>
      <c r="P16" s="315">
        <v>403.0</v>
      </c>
    </row>
    <row r="17" ht="32.25" customHeight="1">
      <c r="A17" s="305" t="s">
        <v>473</v>
      </c>
      <c r="B17" s="317"/>
      <c r="C17" s="307">
        <v>200000.0</v>
      </c>
      <c r="D17" s="308">
        <v>2021.0</v>
      </c>
      <c r="E17" s="309">
        <v>44470.0</v>
      </c>
      <c r="F17" s="321" t="s">
        <v>474</v>
      </c>
      <c r="G17" s="308" t="s">
        <v>43</v>
      </c>
      <c r="H17" s="308" t="s">
        <v>51</v>
      </c>
      <c r="I17" s="308"/>
      <c r="J17" s="308">
        <v>1.0</v>
      </c>
      <c r="K17" s="310">
        <v>200000.0</v>
      </c>
      <c r="L17" s="311"/>
      <c r="M17" s="312" t="s">
        <v>475</v>
      </c>
      <c r="N17" s="313" t="s">
        <v>476</v>
      </c>
      <c r="O17" s="314"/>
      <c r="P17" s="315">
        <v>404.0</v>
      </c>
    </row>
    <row r="18" ht="32.25" customHeight="1">
      <c r="A18" s="305" t="s">
        <v>341</v>
      </c>
      <c r="B18" s="317"/>
      <c r="C18" s="307">
        <v>4.0E7</v>
      </c>
      <c r="D18" s="308">
        <v>2021.0</v>
      </c>
      <c r="E18" s="309">
        <v>44409.0</v>
      </c>
      <c r="F18" s="324" t="s">
        <v>2157</v>
      </c>
      <c r="G18" s="308" t="s">
        <v>129</v>
      </c>
      <c r="H18" s="308" t="s">
        <v>23</v>
      </c>
      <c r="I18" s="308"/>
      <c r="J18" s="308">
        <v>1.0</v>
      </c>
      <c r="K18" s="310">
        <v>4.0E7</v>
      </c>
      <c r="L18" s="311"/>
      <c r="M18" s="312" t="s">
        <v>34</v>
      </c>
      <c r="N18" s="313" t="s">
        <v>2158</v>
      </c>
      <c r="O18" s="314"/>
      <c r="P18" s="315">
        <v>405.0</v>
      </c>
    </row>
    <row r="19" ht="32.25" customHeight="1">
      <c r="A19" s="305" t="s">
        <v>482</v>
      </c>
      <c r="B19" s="318"/>
      <c r="C19" s="307">
        <v>100000.0</v>
      </c>
      <c r="D19" s="308">
        <v>2021.0</v>
      </c>
      <c r="E19" s="309">
        <v>44256.0</v>
      </c>
      <c r="F19" s="325"/>
      <c r="G19" s="308" t="s">
        <v>50</v>
      </c>
      <c r="H19" s="308" t="s">
        <v>23</v>
      </c>
      <c r="I19" s="308"/>
      <c r="J19" s="308">
        <v>2.0</v>
      </c>
      <c r="K19" s="310" t="s">
        <v>360</v>
      </c>
      <c r="L19" s="311"/>
      <c r="M19" s="312" t="s">
        <v>483</v>
      </c>
      <c r="N19" s="313" t="s">
        <v>484</v>
      </c>
      <c r="O19" s="316" t="s">
        <v>485</v>
      </c>
      <c r="P19" s="315">
        <v>406.0</v>
      </c>
    </row>
    <row r="20" ht="32.25" customHeight="1">
      <c r="A20" s="305" t="s">
        <v>569</v>
      </c>
      <c r="B20" s="306"/>
      <c r="C20" s="307">
        <v>100000.0</v>
      </c>
      <c r="D20" s="308">
        <v>2021.0</v>
      </c>
      <c r="E20" s="309">
        <v>44197.0</v>
      </c>
      <c r="F20" s="312"/>
      <c r="G20" s="308" t="s">
        <v>50</v>
      </c>
      <c r="H20" s="308" t="s">
        <v>59</v>
      </c>
      <c r="I20" s="308"/>
      <c r="J20" s="308">
        <v>2.0</v>
      </c>
      <c r="K20" s="310" t="s">
        <v>360</v>
      </c>
      <c r="L20" s="311"/>
      <c r="M20" s="312" t="s">
        <v>2159</v>
      </c>
      <c r="N20" s="313" t="s">
        <v>2160</v>
      </c>
      <c r="O20" s="314"/>
      <c r="P20" s="315">
        <v>407.0</v>
      </c>
    </row>
    <row r="21">
      <c r="A21" s="305" t="s">
        <v>263</v>
      </c>
      <c r="B21" s="318"/>
      <c r="C21" s="307">
        <v>100000.0</v>
      </c>
      <c r="D21" s="308">
        <v>2021.0</v>
      </c>
      <c r="E21" s="309">
        <v>44197.0</v>
      </c>
      <c r="F21" s="326" t="s">
        <v>486</v>
      </c>
      <c r="G21" s="308" t="s">
        <v>50</v>
      </c>
      <c r="H21" s="308" t="s">
        <v>23</v>
      </c>
      <c r="I21" s="308"/>
      <c r="J21" s="308">
        <v>1.0</v>
      </c>
      <c r="K21" s="310" t="s">
        <v>360</v>
      </c>
      <c r="L21" s="311"/>
      <c r="M21" s="312" t="s">
        <v>314</v>
      </c>
      <c r="N21" s="313" t="s">
        <v>487</v>
      </c>
      <c r="O21" s="316" t="s">
        <v>488</v>
      </c>
      <c r="P21" s="315">
        <v>408.0</v>
      </c>
    </row>
    <row r="22">
      <c r="A22" s="305" t="s">
        <v>489</v>
      </c>
      <c r="B22" s="318"/>
      <c r="C22" s="307">
        <v>420873.0</v>
      </c>
      <c r="D22" s="308">
        <v>2020.0</v>
      </c>
      <c r="E22" s="327">
        <v>43831.0</v>
      </c>
      <c r="F22" s="308" t="s">
        <v>490</v>
      </c>
      <c r="G22" s="308" t="s">
        <v>22</v>
      </c>
      <c r="H22" s="308" t="s">
        <v>51</v>
      </c>
      <c r="I22" s="308"/>
      <c r="J22" s="308">
        <v>3.0</v>
      </c>
      <c r="K22" s="310">
        <v>420000.0</v>
      </c>
      <c r="L22" s="311"/>
      <c r="M22" s="312" t="s">
        <v>491</v>
      </c>
      <c r="N22" s="316" t="s">
        <v>492</v>
      </c>
      <c r="O22" s="314"/>
      <c r="P22" s="315">
        <v>398.0</v>
      </c>
    </row>
    <row r="23">
      <c r="A23" s="305" t="s">
        <v>493</v>
      </c>
      <c r="B23" s="306"/>
      <c r="C23" s="307">
        <v>4101101.0</v>
      </c>
      <c r="D23" s="308">
        <v>2019.0</v>
      </c>
      <c r="E23" s="309">
        <v>43800.0</v>
      </c>
      <c r="F23" s="308" t="s">
        <v>494</v>
      </c>
      <c r="G23" s="308" t="s">
        <v>2161</v>
      </c>
      <c r="H23" s="308" t="s">
        <v>23</v>
      </c>
      <c r="I23" s="308"/>
      <c r="J23" s="308">
        <v>1.0</v>
      </c>
      <c r="K23" s="310">
        <v>4100000.0</v>
      </c>
      <c r="L23" s="311"/>
      <c r="M23" s="312" t="s">
        <v>469</v>
      </c>
      <c r="N23" s="316" t="s">
        <v>496</v>
      </c>
      <c r="O23" s="314"/>
      <c r="P23" s="315">
        <v>396.0</v>
      </c>
    </row>
    <row r="24">
      <c r="A24" s="305" t="s">
        <v>497</v>
      </c>
      <c r="B24" s="317"/>
      <c r="C24" s="307">
        <v>305470.0</v>
      </c>
      <c r="D24" s="308">
        <v>2019.0</v>
      </c>
      <c r="E24" s="309">
        <v>43586.0</v>
      </c>
      <c r="F24" s="320" t="s">
        <v>498</v>
      </c>
      <c r="G24" s="308" t="s">
        <v>236</v>
      </c>
      <c r="H24" s="308" t="s">
        <v>23</v>
      </c>
      <c r="I24" s="308"/>
      <c r="J24" s="308">
        <v>3.0</v>
      </c>
      <c r="K24" s="310">
        <v>305000.0</v>
      </c>
      <c r="L24" s="311"/>
      <c r="M24" s="312" t="s">
        <v>469</v>
      </c>
      <c r="N24" s="328"/>
      <c r="O24" s="314"/>
      <c r="P24" s="315">
        <v>397.0</v>
      </c>
    </row>
    <row r="25">
      <c r="A25" s="62"/>
      <c r="B25" s="329"/>
      <c r="C25" s="64"/>
      <c r="D25" s="68"/>
      <c r="E25" s="86"/>
      <c r="F25" s="68"/>
      <c r="G25" s="68"/>
      <c r="H25" s="68"/>
      <c r="I25" s="68"/>
      <c r="J25" s="68"/>
      <c r="K25" s="69"/>
      <c r="L25" s="70"/>
      <c r="M25" s="71"/>
      <c r="N25" s="330"/>
      <c r="O25" s="73"/>
      <c r="P25" s="74"/>
    </row>
    <row r="26">
      <c r="A26" s="62"/>
      <c r="B26" s="329"/>
      <c r="C26" s="64"/>
      <c r="D26" s="68"/>
      <c r="E26" s="86"/>
      <c r="F26" s="68"/>
      <c r="G26" s="68"/>
      <c r="H26" s="68"/>
      <c r="I26" s="68"/>
      <c r="J26" s="68"/>
      <c r="K26" s="69"/>
      <c r="L26" s="70"/>
      <c r="M26" s="71"/>
      <c r="N26" s="330"/>
      <c r="O26" s="73"/>
      <c r="P26" s="74"/>
    </row>
    <row r="27">
      <c r="A27" s="62"/>
      <c r="B27" s="329"/>
      <c r="C27" s="64"/>
      <c r="D27" s="68"/>
      <c r="E27" s="86"/>
      <c r="F27" s="68"/>
      <c r="G27" s="68"/>
      <c r="H27" s="68"/>
      <c r="I27" s="68"/>
      <c r="J27" s="68"/>
      <c r="K27" s="69"/>
      <c r="L27" s="70"/>
      <c r="M27" s="71"/>
      <c r="N27" s="330"/>
      <c r="O27" s="73"/>
      <c r="P27" s="74"/>
    </row>
    <row r="28">
      <c r="A28" s="62"/>
      <c r="B28" s="329"/>
      <c r="C28" s="64"/>
      <c r="D28" s="68"/>
      <c r="E28" s="86"/>
      <c r="F28" s="68"/>
      <c r="G28" s="68"/>
      <c r="H28" s="68"/>
      <c r="I28" s="68"/>
      <c r="J28" s="68"/>
      <c r="K28" s="69"/>
      <c r="L28" s="70"/>
      <c r="M28" s="71"/>
      <c r="N28" s="330"/>
      <c r="O28" s="73"/>
      <c r="P28" s="74"/>
    </row>
    <row r="29">
      <c r="A29" s="62"/>
      <c r="B29" s="329"/>
      <c r="C29" s="64"/>
      <c r="D29" s="68"/>
      <c r="E29" s="86"/>
      <c r="F29" s="68"/>
      <c r="G29" s="68"/>
      <c r="H29" s="68"/>
      <c r="I29" s="68"/>
      <c r="J29" s="68"/>
      <c r="K29" s="69"/>
      <c r="L29" s="70"/>
      <c r="M29" s="71"/>
      <c r="N29" s="330"/>
      <c r="O29" s="73"/>
      <c r="P29" s="74"/>
    </row>
    <row r="30">
      <c r="A30" s="62"/>
      <c r="B30" s="329"/>
      <c r="C30" s="64"/>
      <c r="D30" s="68"/>
      <c r="E30" s="86"/>
      <c r="F30" s="68"/>
      <c r="G30" s="68"/>
      <c r="H30" s="68"/>
      <c r="I30" s="68"/>
      <c r="J30" s="68"/>
      <c r="K30" s="69"/>
      <c r="L30" s="70"/>
      <c r="M30" s="71"/>
      <c r="N30" s="330"/>
      <c r="O30" s="73"/>
      <c r="P30" s="74"/>
    </row>
    <row r="31">
      <c r="A31" s="62"/>
      <c r="B31" s="329"/>
      <c r="C31" s="64"/>
      <c r="D31" s="68"/>
      <c r="E31" s="86"/>
      <c r="F31" s="68"/>
      <c r="G31" s="68"/>
      <c r="H31" s="68"/>
      <c r="I31" s="68"/>
      <c r="J31" s="68"/>
      <c r="K31" s="69"/>
      <c r="L31" s="70"/>
      <c r="M31" s="71"/>
      <c r="N31" s="330"/>
      <c r="O31" s="73"/>
      <c r="P31" s="74"/>
    </row>
    <row r="32">
      <c r="A32" s="62"/>
      <c r="B32" s="329"/>
      <c r="C32" s="64"/>
      <c r="D32" s="68"/>
      <c r="E32" s="86"/>
      <c r="F32" s="68"/>
      <c r="G32" s="68"/>
      <c r="H32" s="68"/>
      <c r="I32" s="68"/>
      <c r="J32" s="68"/>
      <c r="K32" s="69"/>
      <c r="L32" s="70"/>
      <c r="M32" s="71"/>
      <c r="N32" s="330"/>
      <c r="O32" s="73"/>
      <c r="P32" s="74"/>
    </row>
    <row r="33">
      <c r="A33" s="62"/>
      <c r="B33" s="329"/>
      <c r="C33" s="64"/>
      <c r="D33" s="68"/>
      <c r="E33" s="86"/>
      <c r="F33" s="68"/>
      <c r="G33" s="68"/>
      <c r="H33" s="68"/>
      <c r="I33" s="68"/>
      <c r="J33" s="68"/>
      <c r="K33" s="69"/>
      <c r="L33" s="70"/>
      <c r="M33" s="71"/>
      <c r="N33" s="330"/>
      <c r="O33" s="73"/>
      <c r="P33" s="74"/>
    </row>
    <row r="34">
      <c r="A34" s="62"/>
      <c r="B34" s="329"/>
      <c r="C34" s="64"/>
      <c r="D34" s="68"/>
      <c r="E34" s="86"/>
      <c r="F34" s="68"/>
      <c r="G34" s="68"/>
      <c r="H34" s="68"/>
      <c r="I34" s="68"/>
      <c r="J34" s="68"/>
      <c r="K34" s="69"/>
      <c r="L34" s="70"/>
      <c r="M34" s="71"/>
      <c r="N34" s="330"/>
      <c r="O34" s="73"/>
      <c r="P34" s="74"/>
    </row>
    <row r="35">
      <c r="A35" s="62"/>
      <c r="B35" s="329"/>
      <c r="C35" s="64"/>
      <c r="D35" s="68"/>
      <c r="E35" s="86"/>
      <c r="F35" s="68"/>
      <c r="G35" s="68"/>
      <c r="H35" s="68"/>
      <c r="I35" s="68"/>
      <c r="J35" s="68"/>
      <c r="K35" s="69"/>
      <c r="L35" s="70"/>
      <c r="M35" s="71"/>
      <c r="N35" s="330"/>
      <c r="O35" s="73"/>
      <c r="P35" s="74"/>
    </row>
    <row r="36">
      <c r="A36" s="62"/>
      <c r="B36" s="329"/>
      <c r="C36" s="64"/>
      <c r="D36" s="68"/>
      <c r="E36" s="86"/>
      <c r="F36" s="68"/>
      <c r="G36" s="68"/>
      <c r="H36" s="68"/>
      <c r="I36" s="70"/>
      <c r="J36" s="68"/>
      <c r="K36" s="69"/>
      <c r="L36" s="70"/>
      <c r="M36" s="71"/>
      <c r="N36" s="330"/>
      <c r="O36" s="73"/>
      <c r="P36" s="74"/>
    </row>
    <row r="37">
      <c r="A37" s="62"/>
      <c r="B37" s="329"/>
      <c r="C37" s="64"/>
      <c r="D37" s="68"/>
      <c r="E37" s="86"/>
      <c r="F37" s="68"/>
      <c r="G37" s="68"/>
      <c r="H37" s="68"/>
      <c r="I37" s="70"/>
      <c r="J37" s="68"/>
      <c r="K37" s="69"/>
      <c r="L37" s="70"/>
      <c r="M37" s="71"/>
      <c r="N37" s="330"/>
      <c r="O37" s="73"/>
      <c r="P37" s="74"/>
    </row>
    <row r="38">
      <c r="A38" s="62"/>
      <c r="B38" s="329"/>
      <c r="C38" s="64"/>
      <c r="D38" s="68"/>
      <c r="E38" s="86"/>
      <c r="F38" s="68"/>
      <c r="G38" s="68"/>
      <c r="H38" s="68"/>
      <c r="I38" s="70"/>
      <c r="J38" s="68"/>
      <c r="K38" s="69"/>
      <c r="L38" s="70"/>
      <c r="M38" s="71"/>
      <c r="N38" s="330"/>
      <c r="O38" s="73"/>
      <c r="P38" s="74"/>
    </row>
    <row r="39">
      <c r="A39" s="62"/>
      <c r="B39" s="329"/>
      <c r="C39" s="64"/>
      <c r="D39" s="68"/>
      <c r="E39" s="86"/>
      <c r="F39" s="68"/>
      <c r="G39" s="68"/>
      <c r="H39" s="68"/>
      <c r="I39" s="70"/>
      <c r="J39" s="68"/>
      <c r="K39" s="69"/>
      <c r="L39" s="70"/>
      <c r="M39" s="71"/>
      <c r="N39" s="330"/>
      <c r="O39" s="73"/>
      <c r="P39" s="74"/>
    </row>
    <row r="40">
      <c r="A40" s="288"/>
      <c r="B40" s="288"/>
      <c r="C40" s="64"/>
      <c r="D40" s="68"/>
      <c r="E40" s="86"/>
      <c r="F40" s="68"/>
      <c r="G40" s="68"/>
      <c r="H40" s="68"/>
      <c r="I40" s="70"/>
      <c r="J40" s="68"/>
      <c r="K40" s="69"/>
      <c r="L40" s="70"/>
      <c r="M40" s="71"/>
      <c r="N40" s="330"/>
      <c r="O40" s="73"/>
      <c r="P40" s="74"/>
    </row>
    <row r="41">
      <c r="A41" s="62"/>
      <c r="B41" s="329"/>
      <c r="C41" s="64"/>
      <c r="D41" s="68"/>
      <c r="E41" s="86"/>
      <c r="F41" s="68"/>
      <c r="G41" s="68"/>
      <c r="H41" s="68"/>
      <c r="I41" s="70"/>
      <c r="J41" s="68"/>
      <c r="K41" s="69"/>
      <c r="L41" s="70"/>
      <c r="M41" s="71"/>
      <c r="N41" s="330"/>
      <c r="O41" s="73"/>
      <c r="P41" s="74"/>
    </row>
    <row r="42">
      <c r="A42" s="62"/>
      <c r="B42" s="329"/>
      <c r="C42" s="64"/>
      <c r="D42" s="68"/>
      <c r="E42" s="86"/>
      <c r="F42" s="68"/>
      <c r="G42" s="68"/>
      <c r="H42" s="68"/>
      <c r="I42" s="70"/>
      <c r="J42" s="68"/>
      <c r="K42" s="69"/>
      <c r="L42" s="70"/>
      <c r="M42" s="71"/>
      <c r="N42" s="330"/>
      <c r="O42" s="73"/>
      <c r="P42" s="74"/>
    </row>
    <row r="43">
      <c r="A43" s="62"/>
      <c r="B43" s="329"/>
      <c r="C43" s="64"/>
      <c r="D43" s="68"/>
      <c r="E43" s="86"/>
      <c r="F43" s="68"/>
      <c r="G43" s="68"/>
      <c r="H43" s="68"/>
      <c r="I43" s="70"/>
      <c r="J43" s="68"/>
      <c r="K43" s="69"/>
      <c r="L43" s="70"/>
      <c r="M43" s="71"/>
      <c r="N43" s="330"/>
      <c r="O43" s="73"/>
      <c r="P43" s="74"/>
    </row>
    <row r="44">
      <c r="A44" s="62"/>
      <c r="B44" s="329"/>
      <c r="C44" s="64"/>
      <c r="D44" s="68"/>
      <c r="E44" s="86"/>
      <c r="F44" s="68"/>
      <c r="G44" s="68"/>
      <c r="H44" s="68"/>
      <c r="I44" s="70"/>
      <c r="J44" s="68"/>
      <c r="K44" s="69"/>
      <c r="L44" s="70"/>
      <c r="M44" s="71"/>
      <c r="N44" s="330"/>
      <c r="O44" s="73"/>
      <c r="P44" s="74"/>
    </row>
    <row r="45">
      <c r="A45" s="62"/>
      <c r="B45" s="329"/>
      <c r="C45" s="64"/>
      <c r="D45" s="68"/>
      <c r="E45" s="86"/>
      <c r="F45" s="68"/>
      <c r="G45" s="68"/>
      <c r="H45" s="68"/>
      <c r="I45" s="70"/>
      <c r="J45" s="68"/>
      <c r="K45" s="69"/>
      <c r="L45" s="70"/>
      <c r="M45" s="71"/>
      <c r="N45" s="330"/>
      <c r="O45" s="73"/>
      <c r="P45" s="74"/>
    </row>
    <row r="46">
      <c r="A46" s="62"/>
      <c r="B46" s="329"/>
      <c r="C46" s="64"/>
      <c r="D46" s="68"/>
      <c r="E46" s="86"/>
      <c r="F46" s="68"/>
      <c r="G46" s="68"/>
      <c r="H46" s="68"/>
      <c r="I46" s="70"/>
      <c r="J46" s="68"/>
      <c r="K46" s="69"/>
      <c r="L46" s="70"/>
      <c r="M46" s="71"/>
      <c r="N46" s="330"/>
      <c r="O46" s="73"/>
      <c r="P46" s="74"/>
    </row>
    <row r="47">
      <c r="A47" s="62"/>
      <c r="B47" s="329"/>
      <c r="C47" s="64"/>
      <c r="D47" s="68"/>
      <c r="E47" s="86"/>
      <c r="F47" s="68"/>
      <c r="G47" s="68"/>
      <c r="H47" s="68"/>
      <c r="I47" s="70"/>
      <c r="J47" s="68"/>
      <c r="K47" s="69"/>
      <c r="L47" s="70"/>
      <c r="M47" s="71"/>
      <c r="N47" s="330"/>
      <c r="O47" s="73"/>
      <c r="P47" s="74"/>
    </row>
    <row r="48">
      <c r="A48" s="62"/>
      <c r="B48" s="329"/>
      <c r="C48" s="64"/>
      <c r="D48" s="68"/>
      <c r="E48" s="86"/>
      <c r="F48" s="68"/>
      <c r="G48" s="68"/>
      <c r="H48" s="68"/>
      <c r="I48" s="70"/>
      <c r="J48" s="68"/>
      <c r="K48" s="69"/>
      <c r="L48" s="70"/>
      <c r="M48" s="71"/>
      <c r="N48" s="330"/>
      <c r="O48" s="73"/>
      <c r="P48" s="74"/>
    </row>
    <row r="49">
      <c r="A49" s="62"/>
      <c r="B49" s="329"/>
      <c r="C49" s="64"/>
      <c r="D49" s="68"/>
      <c r="E49" s="86"/>
      <c r="F49" s="68"/>
      <c r="G49" s="68"/>
      <c r="H49" s="68"/>
      <c r="I49" s="70"/>
      <c r="J49" s="68"/>
      <c r="K49" s="69"/>
      <c r="L49" s="70"/>
      <c r="M49" s="71"/>
      <c r="N49" s="331"/>
      <c r="O49" s="73"/>
      <c r="P49" s="74"/>
    </row>
    <row r="50">
      <c r="A50" s="62"/>
      <c r="B50" s="329"/>
      <c r="C50" s="64"/>
      <c r="D50" s="68"/>
      <c r="E50" s="86"/>
      <c r="F50" s="68"/>
      <c r="G50" s="68"/>
      <c r="H50" s="68"/>
      <c r="I50" s="70"/>
      <c r="J50" s="68"/>
      <c r="K50" s="69"/>
      <c r="L50" s="70"/>
      <c r="M50" s="71"/>
      <c r="N50" s="331"/>
      <c r="O50" s="73"/>
      <c r="P50" s="74"/>
    </row>
    <row r="51">
      <c r="A51" s="62"/>
      <c r="B51" s="329"/>
      <c r="C51" s="64"/>
      <c r="D51" s="68"/>
      <c r="E51" s="86"/>
      <c r="F51" s="68"/>
      <c r="G51" s="68"/>
      <c r="H51" s="68"/>
      <c r="I51" s="70"/>
      <c r="J51" s="68"/>
      <c r="K51" s="69"/>
      <c r="L51" s="70"/>
      <c r="M51" s="71"/>
      <c r="N51" s="331"/>
      <c r="O51" s="73"/>
      <c r="P51" s="74"/>
    </row>
    <row r="52">
      <c r="A52" s="62"/>
      <c r="B52" s="78"/>
      <c r="C52" s="64"/>
      <c r="D52" s="68"/>
      <c r="E52" s="86"/>
      <c r="F52" s="68"/>
      <c r="G52" s="68"/>
      <c r="H52" s="68"/>
      <c r="I52" s="70"/>
      <c r="J52" s="68"/>
      <c r="K52" s="69"/>
      <c r="L52" s="70"/>
      <c r="M52" s="71"/>
      <c r="N52" s="330"/>
      <c r="O52" s="73"/>
      <c r="P52" s="74"/>
    </row>
    <row r="53">
      <c r="A53" s="332"/>
      <c r="B53" s="333"/>
      <c r="C53" s="64"/>
      <c r="D53" s="68"/>
      <c r="E53" s="86"/>
      <c r="F53" s="68"/>
      <c r="G53" s="68"/>
      <c r="H53" s="68"/>
      <c r="I53" s="68"/>
      <c r="J53" s="68"/>
      <c r="K53" s="69"/>
      <c r="L53" s="70"/>
      <c r="M53" s="331"/>
      <c r="N53" s="334"/>
      <c r="O53" s="334"/>
      <c r="P53" s="74"/>
    </row>
    <row r="54">
      <c r="A54" s="332"/>
      <c r="B54" s="333"/>
      <c r="C54" s="64"/>
      <c r="D54" s="68"/>
      <c r="E54" s="86"/>
      <c r="F54" s="68"/>
      <c r="G54" s="68"/>
      <c r="H54" s="68"/>
      <c r="I54" s="68"/>
      <c r="J54" s="68"/>
      <c r="K54" s="69"/>
      <c r="L54" s="70"/>
      <c r="M54" s="331"/>
      <c r="N54" s="334"/>
      <c r="O54" s="334"/>
      <c r="P54" s="74"/>
    </row>
    <row r="55">
      <c r="A55" s="332"/>
      <c r="B55" s="333"/>
      <c r="C55" s="64"/>
      <c r="D55" s="68"/>
      <c r="E55" s="86"/>
      <c r="F55" s="68"/>
      <c r="G55" s="68"/>
      <c r="H55" s="68"/>
      <c r="I55" s="68"/>
      <c r="J55" s="68"/>
      <c r="K55" s="69"/>
      <c r="L55" s="70"/>
      <c r="M55" s="331"/>
      <c r="N55" s="334"/>
      <c r="O55" s="334"/>
      <c r="P55" s="74"/>
    </row>
    <row r="56">
      <c r="A56" s="332"/>
      <c r="B56" s="333"/>
      <c r="C56" s="64"/>
      <c r="D56" s="68"/>
      <c r="E56" s="335"/>
      <c r="F56" s="68"/>
      <c r="G56" s="68"/>
      <c r="H56" s="68"/>
      <c r="I56" s="68"/>
      <c r="J56" s="68"/>
      <c r="K56" s="69"/>
      <c r="L56" s="70"/>
      <c r="M56" s="331"/>
      <c r="N56" s="334"/>
      <c r="O56" s="334"/>
      <c r="P56" s="74"/>
    </row>
    <row r="57">
      <c r="A57" s="332"/>
      <c r="B57" s="333"/>
      <c r="C57" s="64"/>
      <c r="D57" s="68"/>
      <c r="E57" s="86"/>
      <c r="F57" s="68"/>
      <c r="G57" s="68"/>
      <c r="H57" s="68"/>
      <c r="I57" s="68"/>
      <c r="J57" s="68"/>
      <c r="K57" s="69"/>
      <c r="L57" s="70"/>
      <c r="M57" s="331"/>
      <c r="N57" s="334"/>
      <c r="O57" s="334"/>
      <c r="P57" s="74"/>
    </row>
    <row r="58">
      <c r="A58" s="332"/>
      <c r="B58" s="333"/>
      <c r="C58" s="64"/>
      <c r="D58" s="68"/>
      <c r="E58" s="86"/>
      <c r="F58" s="68"/>
      <c r="G58" s="68"/>
      <c r="H58" s="68"/>
      <c r="I58" s="68"/>
      <c r="J58" s="68"/>
      <c r="K58" s="69"/>
      <c r="L58" s="70"/>
      <c r="M58" s="331"/>
      <c r="N58" s="334"/>
      <c r="O58" s="334"/>
      <c r="P58" s="74"/>
    </row>
    <row r="59">
      <c r="A59" s="332"/>
      <c r="B59" s="333"/>
      <c r="C59" s="64"/>
      <c r="D59" s="68"/>
      <c r="E59" s="86"/>
      <c r="F59" s="68"/>
      <c r="G59" s="68"/>
      <c r="H59" s="68"/>
      <c r="I59" s="68"/>
      <c r="J59" s="68"/>
      <c r="K59" s="69"/>
      <c r="L59" s="70"/>
      <c r="M59" s="331"/>
      <c r="N59" s="334"/>
      <c r="O59" s="334"/>
      <c r="P59" s="74"/>
    </row>
    <row r="60">
      <c r="A60" s="332"/>
      <c r="B60" s="333"/>
      <c r="C60" s="64"/>
      <c r="D60" s="68"/>
      <c r="E60" s="86"/>
      <c r="F60" s="68"/>
      <c r="G60" s="68"/>
      <c r="H60" s="68"/>
      <c r="I60" s="68"/>
      <c r="J60" s="68"/>
      <c r="K60" s="69"/>
      <c r="L60" s="70"/>
      <c r="M60" s="331"/>
      <c r="N60" s="334"/>
      <c r="O60" s="334"/>
      <c r="P60" s="74"/>
    </row>
    <row r="61">
      <c r="A61" s="332"/>
      <c r="B61" s="333"/>
      <c r="C61" s="64"/>
      <c r="D61" s="68"/>
      <c r="E61" s="86"/>
      <c r="F61" s="68"/>
      <c r="G61" s="68"/>
      <c r="H61" s="68"/>
      <c r="I61" s="68"/>
      <c r="J61" s="68"/>
      <c r="K61" s="69"/>
      <c r="L61" s="70"/>
      <c r="M61" s="331"/>
      <c r="N61" s="334"/>
      <c r="O61" s="334"/>
      <c r="P61" s="74"/>
    </row>
    <row r="62">
      <c r="A62" s="332"/>
      <c r="B62" s="333"/>
      <c r="C62" s="64"/>
      <c r="D62" s="68"/>
      <c r="E62" s="86"/>
      <c r="F62" s="68"/>
      <c r="G62" s="68"/>
      <c r="H62" s="68"/>
      <c r="I62" s="68"/>
      <c r="J62" s="68"/>
      <c r="K62" s="69"/>
      <c r="L62" s="70"/>
      <c r="M62" s="331"/>
      <c r="N62" s="334"/>
      <c r="O62" s="334"/>
      <c r="P62" s="74"/>
    </row>
    <row r="63">
      <c r="A63" s="332"/>
      <c r="B63" s="333"/>
      <c r="C63" s="64"/>
      <c r="D63" s="68"/>
      <c r="E63" s="86"/>
      <c r="F63" s="68"/>
      <c r="G63" s="68"/>
      <c r="H63" s="68"/>
      <c r="I63" s="70"/>
      <c r="J63" s="68"/>
      <c r="K63" s="69"/>
      <c r="L63" s="70"/>
      <c r="M63" s="331"/>
      <c r="N63" s="334"/>
      <c r="O63" s="336"/>
      <c r="P63" s="74"/>
    </row>
    <row r="64">
      <c r="A64" s="332"/>
      <c r="B64" s="333"/>
      <c r="C64" s="64"/>
      <c r="D64" s="68"/>
      <c r="E64" s="86"/>
      <c r="F64" s="68"/>
      <c r="G64" s="68"/>
      <c r="H64" s="68"/>
      <c r="I64" s="70"/>
      <c r="J64" s="68"/>
      <c r="K64" s="69"/>
      <c r="L64" s="70"/>
      <c r="M64" s="331"/>
      <c r="N64" s="334"/>
      <c r="O64" s="336"/>
      <c r="P64" s="74"/>
    </row>
    <row r="65">
      <c r="A65" s="332"/>
      <c r="B65" s="333"/>
      <c r="C65" s="64"/>
      <c r="D65" s="68"/>
      <c r="E65" s="86"/>
      <c r="F65" s="68"/>
      <c r="G65" s="68"/>
      <c r="H65" s="68"/>
      <c r="I65" s="70"/>
      <c r="J65" s="68"/>
      <c r="K65" s="69"/>
      <c r="L65" s="70"/>
      <c r="M65" s="331"/>
      <c r="N65" s="334"/>
      <c r="O65" s="336"/>
      <c r="P65" s="74"/>
    </row>
    <row r="66">
      <c r="A66" s="332"/>
      <c r="B66" s="333"/>
      <c r="C66" s="64"/>
      <c r="D66" s="68"/>
      <c r="E66" s="86"/>
      <c r="F66" s="68"/>
      <c r="G66" s="68"/>
      <c r="H66" s="68"/>
      <c r="I66" s="70"/>
      <c r="J66" s="68"/>
      <c r="K66" s="69"/>
      <c r="L66" s="70"/>
      <c r="M66" s="331"/>
      <c r="N66" s="334"/>
      <c r="O66" s="336"/>
      <c r="P66" s="74"/>
    </row>
    <row r="67">
      <c r="A67" s="332"/>
      <c r="B67" s="333"/>
      <c r="C67" s="64"/>
      <c r="D67" s="68"/>
      <c r="E67" s="86"/>
      <c r="F67" s="68"/>
      <c r="G67" s="68"/>
      <c r="H67" s="68"/>
      <c r="I67" s="70"/>
      <c r="J67" s="68"/>
      <c r="K67" s="69"/>
      <c r="L67" s="70"/>
      <c r="M67" s="331"/>
      <c r="N67" s="334"/>
      <c r="O67" s="336"/>
      <c r="P67" s="74"/>
    </row>
    <row r="68">
      <c r="A68" s="332"/>
      <c r="B68" s="333"/>
      <c r="C68" s="64"/>
      <c r="D68" s="68"/>
      <c r="E68" s="86"/>
      <c r="F68" s="68"/>
      <c r="G68" s="68"/>
      <c r="H68" s="68"/>
      <c r="I68" s="70"/>
      <c r="J68" s="68"/>
      <c r="K68" s="69"/>
      <c r="L68" s="70"/>
      <c r="M68" s="331"/>
      <c r="N68" s="334"/>
      <c r="O68" s="336"/>
      <c r="P68" s="74"/>
    </row>
    <row r="69">
      <c r="A69" s="332"/>
      <c r="B69" s="333"/>
      <c r="C69" s="64"/>
      <c r="D69" s="68"/>
      <c r="E69" s="86"/>
      <c r="F69" s="68"/>
      <c r="G69" s="68"/>
      <c r="H69" s="68"/>
      <c r="I69" s="70"/>
      <c r="J69" s="68"/>
      <c r="K69" s="69"/>
      <c r="L69" s="70"/>
      <c r="M69" s="331"/>
      <c r="N69" s="334"/>
      <c r="O69" s="336"/>
      <c r="P69" s="74"/>
    </row>
    <row r="70">
      <c r="A70" s="332"/>
      <c r="B70" s="333"/>
      <c r="C70" s="64"/>
      <c r="D70" s="68"/>
      <c r="E70" s="86"/>
      <c r="F70" s="68"/>
      <c r="G70" s="68"/>
      <c r="H70" s="68"/>
      <c r="I70" s="70"/>
      <c r="J70" s="68"/>
      <c r="K70" s="69"/>
      <c r="L70" s="70"/>
      <c r="M70" s="331"/>
      <c r="N70" s="334"/>
      <c r="O70" s="336"/>
      <c r="P70" s="74"/>
    </row>
    <row r="71">
      <c r="A71" s="332"/>
      <c r="B71" s="333"/>
      <c r="C71" s="64"/>
      <c r="D71" s="68"/>
      <c r="E71" s="86"/>
      <c r="F71" s="68"/>
      <c r="G71" s="68"/>
      <c r="H71" s="68"/>
      <c r="I71" s="70"/>
      <c r="J71" s="68"/>
      <c r="K71" s="69"/>
      <c r="L71" s="70"/>
      <c r="M71" s="331"/>
      <c r="N71" s="334"/>
      <c r="O71" s="336"/>
      <c r="P71" s="74"/>
    </row>
    <row r="72">
      <c r="A72" s="332"/>
      <c r="B72" s="333"/>
      <c r="C72" s="64"/>
      <c r="D72" s="68"/>
      <c r="E72" s="86"/>
      <c r="F72" s="68"/>
      <c r="G72" s="68"/>
      <c r="H72" s="68"/>
      <c r="I72" s="70"/>
      <c r="J72" s="68"/>
      <c r="K72" s="69"/>
      <c r="L72" s="70"/>
      <c r="M72" s="331"/>
      <c r="N72" s="334"/>
      <c r="O72" s="336"/>
      <c r="P72" s="74"/>
    </row>
    <row r="73">
      <c r="A73" s="332"/>
      <c r="B73" s="333"/>
      <c r="C73" s="64"/>
      <c r="D73" s="68"/>
      <c r="E73" s="86"/>
      <c r="F73" s="68"/>
      <c r="G73" s="68"/>
      <c r="H73" s="68"/>
      <c r="I73" s="70"/>
      <c r="J73" s="68"/>
      <c r="K73" s="69"/>
      <c r="L73" s="70"/>
      <c r="M73" s="331"/>
      <c r="N73" s="334"/>
      <c r="O73" s="336"/>
      <c r="P73" s="74"/>
    </row>
    <row r="74">
      <c r="A74" s="332"/>
      <c r="B74" s="333"/>
      <c r="C74" s="64"/>
      <c r="D74" s="68"/>
      <c r="E74" s="86"/>
      <c r="F74" s="68"/>
      <c r="G74" s="68"/>
      <c r="H74" s="68"/>
      <c r="I74" s="70"/>
      <c r="J74" s="68"/>
      <c r="K74" s="69"/>
      <c r="L74" s="70"/>
      <c r="M74" s="331"/>
      <c r="N74" s="334"/>
      <c r="O74" s="336"/>
      <c r="P74" s="74"/>
    </row>
    <row r="75">
      <c r="A75" s="332"/>
      <c r="B75" s="333"/>
      <c r="C75" s="64"/>
      <c r="D75" s="68"/>
      <c r="E75" s="86"/>
      <c r="F75" s="68"/>
      <c r="G75" s="68"/>
      <c r="H75" s="68"/>
      <c r="I75" s="70"/>
      <c r="J75" s="68"/>
      <c r="K75" s="69"/>
      <c r="L75" s="70"/>
      <c r="M75" s="331"/>
      <c r="N75" s="334"/>
      <c r="O75" s="336"/>
      <c r="P75" s="74"/>
    </row>
    <row r="76">
      <c r="A76" s="332"/>
      <c r="B76" s="333"/>
      <c r="C76" s="64"/>
      <c r="D76" s="68"/>
      <c r="E76" s="86"/>
      <c r="F76" s="68"/>
      <c r="G76" s="68"/>
      <c r="H76" s="68"/>
      <c r="I76" s="70"/>
      <c r="J76" s="68"/>
      <c r="K76" s="69"/>
      <c r="L76" s="70"/>
      <c r="M76" s="331"/>
      <c r="N76" s="334"/>
      <c r="O76" s="336"/>
      <c r="P76" s="74"/>
    </row>
    <row r="77">
      <c r="A77" s="332"/>
      <c r="B77" s="333"/>
      <c r="C77" s="64"/>
      <c r="D77" s="68"/>
      <c r="E77" s="86"/>
      <c r="F77" s="68"/>
      <c r="G77" s="68"/>
      <c r="H77" s="68"/>
      <c r="I77" s="70"/>
      <c r="J77" s="68"/>
      <c r="K77" s="69"/>
      <c r="L77" s="70"/>
      <c r="M77" s="331"/>
      <c r="N77" s="334"/>
      <c r="O77" s="336"/>
      <c r="P77" s="74"/>
    </row>
    <row r="78">
      <c r="A78" s="332"/>
      <c r="B78" s="333"/>
      <c r="C78" s="64"/>
      <c r="D78" s="68"/>
      <c r="E78" s="86"/>
      <c r="F78" s="68"/>
      <c r="G78" s="68"/>
      <c r="H78" s="68"/>
      <c r="I78" s="70"/>
      <c r="J78" s="68"/>
      <c r="K78" s="69"/>
      <c r="L78" s="70"/>
      <c r="M78" s="331"/>
      <c r="N78" s="334"/>
      <c r="O78" s="336"/>
      <c r="P78" s="74"/>
    </row>
    <row r="79">
      <c r="A79" s="332"/>
      <c r="B79" s="333"/>
      <c r="C79" s="64"/>
      <c r="D79" s="68"/>
      <c r="E79" s="86"/>
      <c r="F79" s="68"/>
      <c r="G79" s="68"/>
      <c r="H79" s="68"/>
      <c r="I79" s="70"/>
      <c r="J79" s="68"/>
      <c r="K79" s="69"/>
      <c r="L79" s="70"/>
      <c r="M79" s="331"/>
      <c r="N79" s="334"/>
      <c r="O79" s="336"/>
      <c r="P79" s="74"/>
    </row>
    <row r="80">
      <c r="A80" s="332"/>
      <c r="B80" s="333"/>
      <c r="C80" s="64"/>
      <c r="D80" s="68"/>
      <c r="E80" s="86"/>
      <c r="F80" s="68"/>
      <c r="G80" s="68"/>
      <c r="H80" s="68"/>
      <c r="I80" s="70"/>
      <c r="J80" s="68"/>
      <c r="K80" s="69"/>
      <c r="L80" s="70"/>
      <c r="M80" s="331"/>
      <c r="N80" s="334"/>
      <c r="O80" s="336"/>
      <c r="P80" s="74"/>
    </row>
    <row r="81">
      <c r="A81" s="332"/>
      <c r="B81" s="333"/>
      <c r="C81" s="64"/>
      <c r="D81" s="68"/>
      <c r="E81" s="86"/>
      <c r="F81" s="68"/>
      <c r="G81" s="68"/>
      <c r="H81" s="68"/>
      <c r="I81" s="70"/>
      <c r="J81" s="68"/>
      <c r="K81" s="69"/>
      <c r="L81" s="70"/>
      <c r="M81" s="331"/>
      <c r="N81" s="334"/>
      <c r="O81" s="336"/>
      <c r="P81" s="74"/>
    </row>
    <row r="82">
      <c r="A82" s="332"/>
      <c r="B82" s="333"/>
      <c r="C82" s="64"/>
      <c r="D82" s="68"/>
      <c r="E82" s="86"/>
      <c r="F82" s="68"/>
      <c r="G82" s="68"/>
      <c r="H82" s="68"/>
      <c r="I82" s="70"/>
      <c r="J82" s="68"/>
      <c r="K82" s="69"/>
      <c r="L82" s="70"/>
      <c r="M82" s="331"/>
      <c r="N82" s="334"/>
      <c r="O82" s="336"/>
      <c r="P82" s="74"/>
    </row>
    <row r="83">
      <c r="A83" s="332"/>
      <c r="B83" s="333"/>
      <c r="C83" s="64"/>
      <c r="D83" s="68"/>
      <c r="E83" s="86"/>
      <c r="F83" s="68"/>
      <c r="G83" s="68"/>
      <c r="H83" s="68"/>
      <c r="I83" s="70"/>
      <c r="J83" s="68"/>
      <c r="K83" s="69"/>
      <c r="L83" s="70"/>
      <c r="M83" s="331"/>
      <c r="N83" s="334"/>
      <c r="O83" s="336"/>
      <c r="P83" s="74"/>
    </row>
    <row r="84">
      <c r="A84" s="332"/>
      <c r="B84" s="333"/>
      <c r="C84" s="64"/>
      <c r="D84" s="68"/>
      <c r="E84" s="86"/>
      <c r="F84" s="68"/>
      <c r="G84" s="68"/>
      <c r="H84" s="68"/>
      <c r="I84" s="70"/>
      <c r="J84" s="68"/>
      <c r="K84" s="69"/>
      <c r="L84" s="70"/>
      <c r="M84" s="331"/>
      <c r="N84" s="334"/>
      <c r="O84" s="336"/>
      <c r="P84" s="74"/>
    </row>
    <row r="85">
      <c r="A85" s="62"/>
      <c r="B85" s="68"/>
      <c r="C85" s="64"/>
      <c r="D85" s="68"/>
      <c r="E85" s="86"/>
      <c r="F85" s="68"/>
      <c r="G85" s="68"/>
      <c r="H85" s="71"/>
      <c r="I85" s="70"/>
      <c r="J85" s="68"/>
      <c r="K85" s="69"/>
      <c r="L85" s="337"/>
      <c r="M85" s="68"/>
      <c r="N85" s="334"/>
      <c r="O85" s="334"/>
      <c r="P85" s="74"/>
    </row>
    <row r="86">
      <c r="A86" s="62"/>
      <c r="B86" s="68"/>
      <c r="C86" s="64"/>
      <c r="D86" s="68"/>
      <c r="E86" s="86"/>
      <c r="F86" s="68"/>
      <c r="G86" s="68"/>
      <c r="H86" s="71"/>
      <c r="I86" s="70"/>
      <c r="J86" s="68"/>
      <c r="K86" s="69"/>
      <c r="L86" s="337"/>
      <c r="M86" s="68"/>
      <c r="N86" s="334"/>
      <c r="O86" s="334"/>
      <c r="P86" s="74"/>
    </row>
    <row r="87">
      <c r="A87" s="288"/>
      <c r="B87" s="338"/>
      <c r="C87" s="64"/>
      <c r="D87" s="68"/>
      <c r="E87" s="86"/>
      <c r="F87" s="71"/>
      <c r="G87" s="71"/>
      <c r="H87" s="71"/>
      <c r="I87" s="338"/>
      <c r="J87" s="68"/>
      <c r="K87" s="69"/>
      <c r="L87" s="338"/>
      <c r="M87" s="71"/>
      <c r="N87" s="331"/>
      <c r="O87" s="338"/>
      <c r="P87" s="74"/>
    </row>
    <row r="88">
      <c r="A88" s="62"/>
      <c r="B88" s="339"/>
      <c r="C88" s="64"/>
      <c r="D88" s="68"/>
      <c r="E88" s="86"/>
      <c r="F88" s="68"/>
      <c r="G88" s="68"/>
      <c r="H88" s="68"/>
      <c r="I88" s="70"/>
      <c r="J88" s="68"/>
      <c r="K88" s="69"/>
      <c r="L88" s="70"/>
      <c r="M88" s="71"/>
      <c r="N88" s="331"/>
      <c r="O88" s="73"/>
      <c r="P88" s="74"/>
    </row>
    <row r="89">
      <c r="A89" s="62"/>
      <c r="B89" s="339"/>
      <c r="C89" s="64"/>
      <c r="D89" s="68"/>
      <c r="E89" s="86"/>
      <c r="F89" s="68"/>
      <c r="G89" s="68"/>
      <c r="H89" s="68"/>
      <c r="I89" s="70"/>
      <c r="J89" s="68"/>
      <c r="K89" s="69"/>
      <c r="L89" s="70"/>
      <c r="M89" s="71"/>
      <c r="N89" s="331"/>
      <c r="O89" s="73"/>
      <c r="P89" s="74"/>
    </row>
    <row r="90">
      <c r="A90" s="62"/>
      <c r="B90" s="339"/>
      <c r="C90" s="64"/>
      <c r="D90" s="68"/>
      <c r="E90" s="86"/>
      <c r="F90" s="68"/>
      <c r="G90" s="68"/>
      <c r="H90" s="68"/>
      <c r="I90" s="70"/>
      <c r="J90" s="68"/>
      <c r="K90" s="69"/>
      <c r="L90" s="70"/>
      <c r="M90" s="71"/>
      <c r="N90" s="331"/>
      <c r="O90" s="73"/>
      <c r="P90" s="74"/>
    </row>
    <row r="91">
      <c r="A91" s="62"/>
      <c r="B91" s="339"/>
      <c r="C91" s="64"/>
      <c r="D91" s="68"/>
      <c r="E91" s="86"/>
      <c r="F91" s="68"/>
      <c r="G91" s="68"/>
      <c r="H91" s="68"/>
      <c r="I91" s="70"/>
      <c r="J91" s="68"/>
      <c r="K91" s="69"/>
      <c r="L91" s="70"/>
      <c r="M91" s="71"/>
      <c r="N91" s="74"/>
      <c r="O91" s="73"/>
      <c r="P91" s="74"/>
    </row>
    <row r="92">
      <c r="A92" s="62"/>
      <c r="B92" s="78"/>
      <c r="C92" s="64"/>
      <c r="D92" s="68"/>
      <c r="E92" s="86"/>
      <c r="F92" s="68"/>
      <c r="G92" s="68"/>
      <c r="H92" s="68"/>
      <c r="I92" s="70"/>
      <c r="J92" s="68"/>
      <c r="K92" s="69"/>
      <c r="L92" s="70"/>
      <c r="M92" s="71"/>
      <c r="N92" s="331"/>
      <c r="O92" s="73"/>
      <c r="P92" s="74"/>
    </row>
    <row r="93">
      <c r="A93" s="62"/>
      <c r="B93" s="78"/>
      <c r="C93" s="64"/>
      <c r="D93" s="68"/>
      <c r="E93" s="86"/>
      <c r="F93" s="68"/>
      <c r="G93" s="68"/>
      <c r="H93" s="68"/>
      <c r="I93" s="70"/>
      <c r="J93" s="68"/>
      <c r="K93" s="69"/>
      <c r="L93" s="70"/>
      <c r="M93" s="71"/>
      <c r="N93" s="331"/>
      <c r="O93" s="73"/>
      <c r="P93" s="74"/>
    </row>
    <row r="94">
      <c r="A94" s="62"/>
      <c r="B94" s="329"/>
      <c r="C94" s="64"/>
      <c r="D94" s="68"/>
      <c r="E94" s="86"/>
      <c r="F94" s="68"/>
      <c r="G94" s="68"/>
      <c r="H94" s="68"/>
      <c r="I94" s="70"/>
      <c r="J94" s="68"/>
      <c r="K94" s="69"/>
      <c r="L94" s="70"/>
      <c r="M94" s="71"/>
      <c r="N94" s="331"/>
      <c r="O94" s="73"/>
      <c r="P94" s="74"/>
    </row>
    <row r="95">
      <c r="A95" s="332"/>
      <c r="B95" s="333"/>
      <c r="C95" s="64"/>
      <c r="D95" s="68"/>
      <c r="E95" s="86"/>
      <c r="F95" s="68"/>
      <c r="G95" s="68"/>
      <c r="H95" s="68"/>
      <c r="I95" s="68"/>
      <c r="J95" s="68"/>
      <c r="K95" s="69"/>
      <c r="L95" s="70"/>
      <c r="M95" s="331"/>
      <c r="N95" s="334"/>
      <c r="O95" s="334"/>
      <c r="P95" s="74"/>
    </row>
    <row r="96">
      <c r="A96" s="332"/>
      <c r="B96" s="333"/>
      <c r="C96" s="64"/>
      <c r="D96" s="68"/>
      <c r="E96" s="86"/>
      <c r="F96" s="68"/>
      <c r="G96" s="68"/>
      <c r="H96" s="68"/>
      <c r="I96" s="68"/>
      <c r="J96" s="68"/>
      <c r="K96" s="69"/>
      <c r="L96" s="70"/>
      <c r="M96" s="331"/>
      <c r="N96" s="334"/>
      <c r="O96" s="334"/>
      <c r="P96" s="74"/>
    </row>
    <row r="97">
      <c r="A97" s="332"/>
      <c r="B97" s="333"/>
      <c r="C97" s="64"/>
      <c r="D97" s="68"/>
      <c r="E97" s="86"/>
      <c r="F97" s="68"/>
      <c r="G97" s="68"/>
      <c r="H97" s="68"/>
      <c r="I97" s="70"/>
      <c r="J97" s="68"/>
      <c r="K97" s="69"/>
      <c r="L97" s="70"/>
      <c r="M97" s="331"/>
      <c r="N97" s="334"/>
      <c r="O97" s="336"/>
      <c r="P97" s="74"/>
    </row>
    <row r="98">
      <c r="A98" s="62"/>
      <c r="B98" s="68"/>
      <c r="C98" s="64"/>
      <c r="D98" s="68"/>
      <c r="E98" s="86"/>
      <c r="F98" s="68"/>
      <c r="G98" s="68"/>
      <c r="H98" s="71"/>
      <c r="I98" s="70"/>
      <c r="J98" s="68"/>
      <c r="K98" s="69"/>
      <c r="L98" s="337"/>
      <c r="M98" s="68"/>
      <c r="N98" s="334"/>
      <c r="O98" s="334"/>
      <c r="P98" s="74"/>
    </row>
    <row r="99">
      <c r="A99" s="62"/>
      <c r="B99" s="68"/>
      <c r="C99" s="64"/>
      <c r="D99" s="68"/>
      <c r="E99" s="86"/>
      <c r="F99" s="68"/>
      <c r="G99" s="68"/>
      <c r="H99" s="340"/>
      <c r="I99" s="70"/>
      <c r="J99" s="68"/>
      <c r="K99" s="69"/>
      <c r="L99" s="337"/>
      <c r="M99" s="68"/>
      <c r="N99" s="334"/>
      <c r="O99" s="334"/>
      <c r="P99" s="74"/>
    </row>
    <row r="100">
      <c r="A100" s="62"/>
      <c r="B100" s="68"/>
      <c r="C100" s="64"/>
      <c r="D100" s="68"/>
      <c r="E100" s="86"/>
      <c r="F100" s="68"/>
      <c r="G100" s="68"/>
      <c r="H100" s="340"/>
      <c r="I100" s="70"/>
      <c r="J100" s="68"/>
      <c r="K100" s="69"/>
      <c r="L100" s="337"/>
      <c r="M100" s="68"/>
      <c r="N100" s="334"/>
      <c r="O100" s="341"/>
      <c r="P100" s="74"/>
    </row>
    <row r="101">
      <c r="A101" s="62"/>
      <c r="B101" s="68"/>
      <c r="C101" s="64"/>
      <c r="D101" s="68"/>
      <c r="E101" s="86"/>
      <c r="F101" s="68"/>
      <c r="G101" s="68"/>
      <c r="H101" s="331"/>
      <c r="I101" s="70"/>
      <c r="J101" s="68"/>
      <c r="K101" s="69"/>
      <c r="L101" s="337"/>
      <c r="M101" s="68"/>
      <c r="N101" s="334"/>
      <c r="O101" s="341"/>
      <c r="P101" s="74"/>
    </row>
    <row r="102">
      <c r="A102" s="62"/>
      <c r="B102" s="68"/>
      <c r="C102" s="64"/>
      <c r="D102" s="68"/>
      <c r="E102" s="86"/>
      <c r="F102" s="68"/>
      <c r="G102" s="68"/>
      <c r="H102" s="331"/>
      <c r="I102" s="70"/>
      <c r="J102" s="68"/>
      <c r="K102" s="69"/>
      <c r="L102" s="337"/>
      <c r="M102" s="68"/>
      <c r="N102" s="334"/>
      <c r="O102" s="334"/>
      <c r="P102" s="74"/>
    </row>
    <row r="103">
      <c r="A103" s="289"/>
      <c r="B103" s="342"/>
      <c r="C103" s="64"/>
      <c r="D103" s="68"/>
      <c r="E103" s="86"/>
      <c r="F103" s="71"/>
      <c r="G103" s="342"/>
      <c r="H103" s="331"/>
      <c r="I103" s="71"/>
      <c r="J103" s="68"/>
      <c r="K103" s="343"/>
      <c r="L103" s="338"/>
      <c r="M103" s="331"/>
      <c r="N103" s="344"/>
      <c r="O103" s="345"/>
      <c r="P103" s="74"/>
    </row>
    <row r="104">
      <c r="A104" s="62"/>
      <c r="B104" s="68"/>
      <c r="C104" s="64"/>
      <c r="D104" s="68"/>
      <c r="E104" s="86"/>
      <c r="F104" s="68"/>
      <c r="G104" s="68"/>
      <c r="H104" s="68"/>
      <c r="I104" s="68"/>
      <c r="J104" s="68"/>
      <c r="K104" s="69"/>
      <c r="L104" s="337"/>
      <c r="M104" s="68"/>
      <c r="N104" s="334"/>
      <c r="O104" s="341"/>
      <c r="P104" s="74"/>
    </row>
    <row r="105">
      <c r="A105" s="346"/>
      <c r="B105" s="340"/>
      <c r="C105" s="347"/>
      <c r="D105" s="68"/>
      <c r="E105" s="86"/>
      <c r="F105" s="71"/>
      <c r="G105" s="340"/>
      <c r="H105" s="340"/>
      <c r="I105" s="348"/>
      <c r="J105" s="68"/>
      <c r="K105" s="343"/>
      <c r="L105" s="348"/>
      <c r="M105" s="340"/>
      <c r="N105" s="349"/>
      <c r="O105" s="350"/>
      <c r="P105" s="74"/>
    </row>
    <row r="106">
      <c r="A106" s="62"/>
      <c r="B106" s="68"/>
      <c r="C106" s="64"/>
      <c r="D106" s="68"/>
      <c r="E106" s="86"/>
      <c r="F106" s="68"/>
      <c r="G106" s="68"/>
      <c r="H106" s="68"/>
      <c r="I106" s="70"/>
      <c r="J106" s="68"/>
      <c r="K106" s="343"/>
      <c r="L106" s="337"/>
      <c r="M106" s="68"/>
      <c r="N106" s="334"/>
      <c r="O106" s="341"/>
      <c r="P106" s="74"/>
    </row>
    <row r="107">
      <c r="A107" s="62"/>
      <c r="B107" s="68"/>
      <c r="C107" s="64"/>
      <c r="D107" s="68"/>
      <c r="E107" s="86"/>
      <c r="F107" s="68"/>
      <c r="G107" s="68"/>
      <c r="H107" s="331"/>
      <c r="I107" s="70"/>
      <c r="J107" s="68"/>
      <c r="K107" s="343"/>
      <c r="L107" s="351"/>
      <c r="M107" s="68"/>
      <c r="N107" s="334"/>
      <c r="O107" s="341"/>
      <c r="P107" s="74"/>
    </row>
    <row r="108">
      <c r="A108" s="346"/>
      <c r="B108" s="340"/>
      <c r="C108" s="347"/>
      <c r="D108" s="352"/>
      <c r="E108" s="86"/>
      <c r="F108" s="71"/>
      <c r="G108" s="340"/>
      <c r="H108" s="340"/>
      <c r="I108" s="331"/>
      <c r="J108" s="68"/>
      <c r="K108" s="343"/>
      <c r="L108" s="348"/>
      <c r="M108" s="340"/>
      <c r="N108" s="349"/>
      <c r="O108" s="345"/>
      <c r="P108" s="74"/>
    </row>
    <row r="109">
      <c r="A109" s="62"/>
      <c r="B109" s="68"/>
      <c r="C109" s="64"/>
      <c r="D109" s="68"/>
      <c r="E109" s="86"/>
      <c r="F109" s="68"/>
      <c r="G109" s="68"/>
      <c r="H109" s="68"/>
      <c r="I109" s="70"/>
      <c r="J109" s="68"/>
      <c r="K109" s="343"/>
      <c r="L109" s="337"/>
      <c r="M109" s="68"/>
      <c r="N109" s="334"/>
      <c r="O109" s="341"/>
      <c r="P109" s="74"/>
    </row>
    <row r="110">
      <c r="A110" s="62"/>
      <c r="B110" s="68"/>
      <c r="C110" s="64"/>
      <c r="D110" s="68"/>
      <c r="E110" s="86"/>
      <c r="F110" s="68"/>
      <c r="G110" s="68"/>
      <c r="H110" s="68"/>
      <c r="I110" s="70"/>
      <c r="J110" s="68"/>
      <c r="K110" s="343"/>
      <c r="L110" s="337"/>
      <c r="M110" s="68"/>
      <c r="N110" s="334"/>
      <c r="O110" s="341"/>
      <c r="P110" s="74"/>
    </row>
    <row r="111">
      <c r="A111" s="62"/>
      <c r="B111" s="68"/>
      <c r="C111" s="64"/>
      <c r="D111" s="68"/>
      <c r="E111" s="86"/>
      <c r="F111" s="68"/>
      <c r="G111" s="68"/>
      <c r="H111" s="68"/>
      <c r="I111" s="70"/>
      <c r="J111" s="68"/>
      <c r="K111" s="343"/>
      <c r="L111" s="337"/>
      <c r="M111" s="68"/>
      <c r="N111" s="334"/>
      <c r="O111" s="341"/>
      <c r="P111" s="74"/>
    </row>
    <row r="112">
      <c r="A112" s="62"/>
      <c r="B112" s="68"/>
      <c r="C112" s="64"/>
      <c r="D112" s="68"/>
      <c r="E112" s="86"/>
      <c r="F112" s="68"/>
      <c r="G112" s="68"/>
      <c r="H112" s="68"/>
      <c r="I112" s="70"/>
      <c r="J112" s="68"/>
      <c r="K112" s="343"/>
      <c r="L112" s="337"/>
      <c r="M112" s="68"/>
      <c r="N112" s="334"/>
      <c r="O112" s="341"/>
      <c r="P112" s="74"/>
    </row>
    <row r="113">
      <c r="A113" s="346"/>
      <c r="B113" s="340"/>
      <c r="C113" s="347"/>
      <c r="D113" s="352"/>
      <c r="E113" s="86"/>
      <c r="F113" s="71"/>
      <c r="G113" s="340"/>
      <c r="H113" s="340"/>
      <c r="I113" s="348"/>
      <c r="J113" s="352"/>
      <c r="K113" s="69"/>
      <c r="L113" s="348"/>
      <c r="M113" s="340"/>
      <c r="N113" s="349"/>
      <c r="O113" s="345"/>
      <c r="P113" s="74"/>
    </row>
    <row r="114">
      <c r="A114" s="62"/>
      <c r="B114" s="68"/>
      <c r="C114" s="64"/>
      <c r="D114" s="68"/>
      <c r="E114" s="86"/>
      <c r="F114" s="68"/>
      <c r="G114" s="68"/>
      <c r="H114" s="68"/>
      <c r="I114" s="70"/>
      <c r="J114" s="68"/>
      <c r="K114" s="343"/>
      <c r="L114" s="337"/>
      <c r="M114" s="68"/>
      <c r="N114" s="334"/>
      <c r="O114" s="341"/>
      <c r="P114" s="74"/>
    </row>
    <row r="115">
      <c r="A115" s="62"/>
      <c r="B115" s="68"/>
      <c r="C115" s="64"/>
      <c r="D115" s="68"/>
      <c r="E115" s="86"/>
      <c r="F115" s="68"/>
      <c r="G115" s="68"/>
      <c r="H115" s="68"/>
      <c r="I115" s="68"/>
      <c r="J115" s="68"/>
      <c r="K115" s="69"/>
      <c r="L115" s="337"/>
      <c r="M115" s="68"/>
      <c r="N115" s="334"/>
      <c r="O115" s="341"/>
      <c r="P115" s="74"/>
    </row>
    <row r="116">
      <c r="A116" s="62"/>
      <c r="B116" s="68"/>
      <c r="C116" s="64"/>
      <c r="D116" s="68"/>
      <c r="E116" s="86"/>
      <c r="F116" s="68"/>
      <c r="G116" s="68"/>
      <c r="H116" s="68"/>
      <c r="I116" s="70"/>
      <c r="J116" s="68"/>
      <c r="K116" s="343"/>
      <c r="L116" s="337"/>
      <c r="M116" s="338"/>
      <c r="N116" s="353"/>
      <c r="O116" s="345"/>
      <c r="P116" s="74"/>
    </row>
    <row r="117">
      <c r="A117" s="62"/>
      <c r="B117" s="354"/>
      <c r="C117" s="64"/>
      <c r="D117" s="68"/>
      <c r="E117" s="86"/>
      <c r="F117" s="68"/>
      <c r="G117" s="68"/>
      <c r="H117" s="68"/>
      <c r="I117" s="70"/>
      <c r="J117" s="68"/>
      <c r="K117" s="69"/>
      <c r="L117" s="337"/>
      <c r="M117" s="68"/>
      <c r="N117" s="334"/>
      <c r="O117" s="341"/>
      <c r="P117" s="74"/>
    </row>
    <row r="118">
      <c r="A118" s="62"/>
      <c r="B118" s="68"/>
      <c r="C118" s="64"/>
      <c r="D118" s="68"/>
      <c r="E118" s="86"/>
      <c r="F118" s="68"/>
      <c r="G118" s="68"/>
      <c r="H118" s="355"/>
      <c r="I118" s="70"/>
      <c r="J118" s="68"/>
      <c r="K118" s="69"/>
      <c r="L118" s="337"/>
      <c r="M118" s="68"/>
      <c r="N118" s="334"/>
      <c r="O118" s="341"/>
      <c r="P118" s="74"/>
    </row>
    <row r="119">
      <c r="A119" s="62"/>
      <c r="B119" s="68"/>
      <c r="C119" s="64"/>
      <c r="D119" s="68"/>
      <c r="E119" s="86"/>
      <c r="F119" s="68"/>
      <c r="G119" s="68"/>
      <c r="H119" s="68"/>
      <c r="I119" s="70"/>
      <c r="J119" s="68"/>
      <c r="K119" s="343"/>
      <c r="L119" s="337"/>
      <c r="M119" s="68"/>
      <c r="N119" s="334"/>
      <c r="O119" s="341"/>
      <c r="P119" s="74"/>
    </row>
    <row r="120">
      <c r="A120" s="62"/>
      <c r="B120" s="68"/>
      <c r="C120" s="64"/>
      <c r="D120" s="68"/>
      <c r="E120" s="86"/>
      <c r="F120" s="68"/>
      <c r="G120" s="68"/>
      <c r="H120" s="68"/>
      <c r="I120" s="70"/>
      <c r="J120" s="68"/>
      <c r="K120" s="343"/>
      <c r="L120" s="337"/>
      <c r="M120" s="68"/>
      <c r="N120" s="334"/>
      <c r="O120" s="341"/>
      <c r="P120" s="74"/>
    </row>
    <row r="121">
      <c r="A121" s="62"/>
      <c r="B121" s="68"/>
      <c r="C121" s="64"/>
      <c r="D121" s="68"/>
      <c r="E121" s="86"/>
      <c r="F121" s="68"/>
      <c r="G121" s="68"/>
      <c r="H121" s="355"/>
      <c r="I121" s="70"/>
      <c r="J121" s="68"/>
      <c r="K121" s="343"/>
      <c r="L121" s="351"/>
      <c r="M121" s="68"/>
      <c r="N121" s="334"/>
      <c r="O121" s="341"/>
      <c r="P121" s="74"/>
    </row>
    <row r="122">
      <c r="A122" s="62"/>
      <c r="B122" s="68"/>
      <c r="C122" s="64"/>
      <c r="D122" s="68"/>
      <c r="E122" s="86"/>
      <c r="F122" s="68"/>
      <c r="G122" s="68"/>
      <c r="H122" s="68"/>
      <c r="I122" s="70"/>
      <c r="J122" s="68"/>
      <c r="K122" s="343"/>
      <c r="L122" s="337"/>
      <c r="M122" s="68"/>
      <c r="N122" s="334"/>
      <c r="O122" s="341"/>
      <c r="P122" s="74"/>
    </row>
    <row r="123">
      <c r="A123" s="62"/>
      <c r="B123" s="68"/>
      <c r="C123" s="64"/>
      <c r="D123" s="68"/>
      <c r="E123" s="86"/>
      <c r="F123" s="68"/>
      <c r="G123" s="68"/>
      <c r="H123" s="68"/>
      <c r="I123" s="70"/>
      <c r="J123" s="68"/>
      <c r="K123" s="69"/>
      <c r="L123" s="337"/>
      <c r="M123" s="68"/>
      <c r="N123" s="334"/>
      <c r="O123" s="341"/>
      <c r="P123" s="74"/>
    </row>
    <row r="124">
      <c r="A124" s="346"/>
      <c r="B124" s="340"/>
      <c r="C124" s="347"/>
      <c r="D124" s="352"/>
      <c r="E124" s="86"/>
      <c r="F124" s="71"/>
      <c r="G124" s="355"/>
      <c r="H124" s="331"/>
      <c r="I124" s="356"/>
      <c r="J124" s="357"/>
      <c r="K124" s="343"/>
      <c r="L124" s="348"/>
      <c r="M124" s="338"/>
      <c r="N124" s="349"/>
      <c r="O124" s="345"/>
      <c r="P124" s="74"/>
    </row>
    <row r="125">
      <c r="A125" s="62"/>
      <c r="B125" s="68"/>
      <c r="C125" s="64"/>
      <c r="D125" s="68"/>
      <c r="E125" s="86"/>
      <c r="F125" s="68"/>
      <c r="G125" s="68"/>
      <c r="H125" s="68"/>
      <c r="I125" s="70"/>
      <c r="J125" s="68"/>
      <c r="K125" s="343"/>
      <c r="L125" s="337"/>
      <c r="M125" s="68"/>
      <c r="N125" s="334"/>
      <c r="O125" s="341"/>
      <c r="P125" s="74"/>
    </row>
    <row r="126">
      <c r="A126" s="62"/>
      <c r="B126" s="339"/>
      <c r="C126" s="64"/>
      <c r="D126" s="68"/>
      <c r="E126" s="86"/>
      <c r="F126" s="68"/>
      <c r="G126" s="68"/>
      <c r="H126" s="331"/>
      <c r="I126" s="70"/>
      <c r="J126" s="68"/>
      <c r="K126" s="69"/>
      <c r="L126" s="70"/>
      <c r="M126" s="331"/>
      <c r="N126" s="334"/>
      <c r="O126" s="336"/>
      <c r="P126" s="74"/>
    </row>
    <row r="127">
      <c r="A127" s="62"/>
      <c r="B127" s="68"/>
      <c r="C127" s="64"/>
      <c r="D127" s="68"/>
      <c r="E127" s="86"/>
      <c r="F127" s="68"/>
      <c r="G127" s="68"/>
      <c r="H127" s="331"/>
      <c r="I127" s="70"/>
      <c r="J127" s="68"/>
      <c r="K127" s="69"/>
      <c r="L127" s="337"/>
      <c r="M127" s="68"/>
      <c r="N127" s="334"/>
      <c r="O127" s="341"/>
      <c r="P127" s="74"/>
    </row>
    <row r="128">
      <c r="A128" s="62"/>
      <c r="B128" s="68"/>
      <c r="C128" s="64"/>
      <c r="D128" s="68"/>
      <c r="E128" s="86"/>
      <c r="F128" s="68"/>
      <c r="G128" s="68"/>
      <c r="H128" s="331"/>
      <c r="I128" s="70"/>
      <c r="J128" s="68"/>
      <c r="K128" s="69"/>
      <c r="L128" s="337"/>
      <c r="M128" s="68"/>
      <c r="N128" s="334"/>
      <c r="O128" s="341"/>
      <c r="P128" s="74"/>
    </row>
    <row r="129">
      <c r="A129" s="62"/>
      <c r="B129" s="339"/>
      <c r="C129" s="64"/>
      <c r="D129" s="68"/>
      <c r="E129" s="86"/>
      <c r="F129" s="68"/>
      <c r="G129" s="358"/>
      <c r="H129" s="68"/>
      <c r="I129" s="70"/>
      <c r="J129" s="68"/>
      <c r="K129" s="69"/>
      <c r="L129" s="70"/>
      <c r="M129" s="331"/>
      <c r="N129" s="334"/>
      <c r="O129" s="336"/>
      <c r="P129" s="74"/>
    </row>
    <row r="130">
      <c r="A130" s="62"/>
      <c r="B130" s="68"/>
      <c r="C130" s="64"/>
      <c r="D130" s="68"/>
      <c r="E130" s="86"/>
      <c r="F130" s="68"/>
      <c r="G130" s="68"/>
      <c r="H130" s="331"/>
      <c r="I130" s="70"/>
      <c r="J130" s="68"/>
      <c r="K130" s="69"/>
      <c r="L130" s="337"/>
      <c r="M130" s="68"/>
      <c r="N130" s="334"/>
      <c r="O130" s="341"/>
      <c r="P130" s="74"/>
    </row>
    <row r="131">
      <c r="A131" s="62"/>
      <c r="B131" s="68"/>
      <c r="C131" s="64"/>
      <c r="D131" s="68"/>
      <c r="E131" s="86"/>
      <c r="F131" s="68"/>
      <c r="G131" s="68"/>
      <c r="H131" s="331"/>
      <c r="I131" s="70"/>
      <c r="J131" s="68"/>
      <c r="K131" s="69"/>
      <c r="L131" s="337"/>
      <c r="M131" s="68"/>
      <c r="N131" s="334"/>
      <c r="O131" s="341"/>
      <c r="P131" s="74"/>
    </row>
    <row r="132">
      <c r="A132" s="62"/>
      <c r="B132" s="339"/>
      <c r="C132" s="64"/>
      <c r="D132" s="68"/>
      <c r="E132" s="86"/>
      <c r="F132" s="68"/>
      <c r="G132" s="68"/>
      <c r="H132" s="68"/>
      <c r="I132" s="70"/>
      <c r="J132" s="68"/>
      <c r="K132" s="69"/>
      <c r="L132" s="70"/>
      <c r="M132" s="331"/>
      <c r="N132" s="334"/>
      <c r="O132" s="336"/>
      <c r="P132" s="74"/>
    </row>
    <row r="133">
      <c r="A133" s="62"/>
      <c r="B133" s="68"/>
      <c r="C133" s="64"/>
      <c r="D133" s="68"/>
      <c r="E133" s="86"/>
      <c r="F133" s="68"/>
      <c r="G133" s="68"/>
      <c r="H133" s="68"/>
      <c r="I133" s="70"/>
      <c r="J133" s="68"/>
      <c r="K133" s="343"/>
      <c r="L133" s="337"/>
      <c r="M133" s="68"/>
      <c r="N133" s="334"/>
      <c r="O133" s="334"/>
      <c r="P133" s="74"/>
    </row>
    <row r="134">
      <c r="A134" s="62"/>
      <c r="B134" s="68"/>
      <c r="C134" s="64"/>
      <c r="D134" s="68"/>
      <c r="E134" s="86"/>
      <c r="F134" s="68"/>
      <c r="G134" s="68"/>
      <c r="H134" s="68"/>
      <c r="I134" s="68"/>
      <c r="J134" s="68"/>
      <c r="K134" s="343"/>
      <c r="L134" s="337"/>
      <c r="M134" s="68"/>
      <c r="N134" s="334"/>
      <c r="O134" s="341"/>
      <c r="P134" s="74"/>
    </row>
    <row r="135">
      <c r="A135" s="62"/>
      <c r="B135" s="78"/>
      <c r="C135" s="64"/>
      <c r="D135" s="68"/>
      <c r="E135" s="86"/>
      <c r="F135" s="68"/>
      <c r="G135" s="68"/>
      <c r="H135" s="68"/>
      <c r="I135" s="70"/>
      <c r="J135" s="68"/>
      <c r="K135" s="69"/>
      <c r="L135" s="70"/>
      <c r="M135" s="71"/>
      <c r="N135" s="331"/>
      <c r="O135" s="73"/>
      <c r="P135" s="74"/>
    </row>
    <row r="136">
      <c r="A136" s="62"/>
      <c r="B136" s="78"/>
      <c r="C136" s="64"/>
      <c r="D136" s="68"/>
      <c r="E136" s="86"/>
      <c r="F136" s="68"/>
      <c r="G136" s="68"/>
      <c r="H136" s="68"/>
      <c r="I136" s="70"/>
      <c r="J136" s="68"/>
      <c r="K136" s="69"/>
      <c r="L136" s="70"/>
      <c r="M136" s="71"/>
      <c r="N136" s="331"/>
      <c r="O136" s="73"/>
      <c r="P136" s="74"/>
    </row>
    <row r="137">
      <c r="A137" s="359"/>
      <c r="B137" s="360"/>
      <c r="C137" s="361"/>
      <c r="D137" s="68"/>
      <c r="E137" s="362"/>
      <c r="F137" s="331"/>
      <c r="G137" s="348"/>
      <c r="H137" s="348"/>
      <c r="I137" s="348"/>
      <c r="J137" s="357"/>
      <c r="K137" s="343"/>
      <c r="L137" s="348"/>
      <c r="M137" s="348"/>
      <c r="N137" s="350"/>
      <c r="O137" s="345"/>
      <c r="P137" s="74"/>
    </row>
    <row r="138">
      <c r="A138" s="62"/>
      <c r="B138" s="68"/>
      <c r="C138" s="64"/>
      <c r="D138" s="68"/>
      <c r="E138" s="86"/>
      <c r="F138" s="68"/>
      <c r="G138" s="68"/>
      <c r="H138" s="358"/>
      <c r="I138" s="68"/>
      <c r="J138" s="68"/>
      <c r="K138" s="343"/>
      <c r="L138" s="337"/>
      <c r="M138" s="68"/>
      <c r="N138" s="334"/>
      <c r="O138" s="341"/>
      <c r="P138" s="74"/>
    </row>
    <row r="139">
      <c r="A139" s="62"/>
      <c r="B139" s="68"/>
      <c r="C139" s="64"/>
      <c r="D139" s="68"/>
      <c r="E139" s="86"/>
      <c r="F139" s="68"/>
      <c r="G139" s="68"/>
      <c r="H139" s="68"/>
      <c r="I139" s="70"/>
      <c r="J139" s="68"/>
      <c r="K139" s="343"/>
      <c r="L139" s="70"/>
      <c r="M139" s="338"/>
      <c r="N139" s="334"/>
      <c r="O139" s="341"/>
      <c r="P139" s="74"/>
    </row>
    <row r="140">
      <c r="A140" s="62"/>
      <c r="B140" s="68"/>
      <c r="C140" s="64"/>
      <c r="D140" s="357"/>
      <c r="E140" s="86"/>
      <c r="F140" s="68"/>
      <c r="G140" s="68"/>
      <c r="H140" s="68"/>
      <c r="I140" s="68"/>
      <c r="J140" s="68"/>
      <c r="K140" s="69"/>
      <c r="L140" s="348"/>
      <c r="M140" s="331"/>
      <c r="N140" s="334"/>
      <c r="O140" s="341"/>
      <c r="P140" s="74"/>
    </row>
    <row r="141">
      <c r="A141" s="62"/>
      <c r="B141" s="68"/>
      <c r="C141" s="64"/>
      <c r="D141" s="68"/>
      <c r="E141" s="86"/>
      <c r="F141" s="68"/>
      <c r="G141" s="68"/>
      <c r="H141" s="68"/>
      <c r="I141" s="70"/>
      <c r="J141" s="68"/>
      <c r="K141" s="343"/>
      <c r="L141" s="70"/>
      <c r="M141" s="338"/>
      <c r="N141" s="334"/>
      <c r="O141" s="341"/>
      <c r="P141" s="74"/>
    </row>
    <row r="142">
      <c r="A142" s="62"/>
      <c r="B142" s="68"/>
      <c r="C142" s="64"/>
      <c r="D142" s="68"/>
      <c r="E142" s="86"/>
      <c r="F142" s="68"/>
      <c r="G142" s="68"/>
      <c r="H142" s="68"/>
      <c r="I142" s="68"/>
      <c r="J142" s="68"/>
      <c r="K142" s="343"/>
      <c r="L142" s="70"/>
      <c r="M142" s="338"/>
      <c r="N142" s="334"/>
      <c r="O142" s="341"/>
      <c r="P142" s="74"/>
    </row>
    <row r="143">
      <c r="A143" s="288"/>
      <c r="B143" s="338"/>
      <c r="C143" s="64"/>
      <c r="D143" s="68"/>
      <c r="E143" s="86"/>
      <c r="F143" s="71"/>
      <c r="G143" s="68"/>
      <c r="H143" s="68"/>
      <c r="I143" s="71"/>
      <c r="J143" s="68"/>
      <c r="K143" s="69"/>
      <c r="L143" s="338"/>
      <c r="M143" s="338"/>
      <c r="N143" s="363"/>
      <c r="O143" s="344"/>
      <c r="P143" s="74"/>
    </row>
    <row r="144">
      <c r="A144" s="288"/>
      <c r="B144" s="338"/>
      <c r="C144" s="64"/>
      <c r="D144" s="68"/>
      <c r="E144" s="86"/>
      <c r="F144" s="71"/>
      <c r="G144" s="68"/>
      <c r="H144" s="331"/>
      <c r="I144" s="342"/>
      <c r="J144" s="68"/>
      <c r="K144" s="343"/>
      <c r="L144" s="338"/>
      <c r="M144" s="71"/>
      <c r="N144" s="363"/>
      <c r="O144" s="344"/>
      <c r="P144" s="74"/>
    </row>
    <row r="145">
      <c r="A145" s="62"/>
      <c r="B145" s="68"/>
      <c r="C145" s="64"/>
      <c r="D145" s="357"/>
      <c r="E145" s="86"/>
      <c r="F145" s="68"/>
      <c r="G145" s="68"/>
      <c r="H145" s="355"/>
      <c r="I145" s="70"/>
      <c r="J145" s="68"/>
      <c r="K145" s="343"/>
      <c r="L145" s="337"/>
      <c r="M145" s="68"/>
      <c r="N145" s="334"/>
      <c r="O145" s="341"/>
      <c r="P145" s="74"/>
    </row>
    <row r="146">
      <c r="A146" s="62"/>
      <c r="B146" s="68"/>
      <c r="C146" s="64"/>
      <c r="D146" s="68"/>
      <c r="E146" s="86"/>
      <c r="F146" s="68"/>
      <c r="G146" s="68"/>
      <c r="H146" s="68"/>
      <c r="I146" s="68"/>
      <c r="J146" s="68"/>
      <c r="K146" s="343"/>
      <c r="L146" s="70"/>
      <c r="M146" s="71"/>
      <c r="N146" s="334"/>
      <c r="O146" s="341"/>
      <c r="P146" s="74"/>
    </row>
    <row r="147">
      <c r="A147" s="62"/>
      <c r="B147" s="68"/>
      <c r="C147" s="64"/>
      <c r="D147" s="68"/>
      <c r="E147" s="86"/>
      <c r="F147" s="68"/>
      <c r="G147" s="68"/>
      <c r="H147" s="68"/>
      <c r="I147" s="70"/>
      <c r="J147" s="68"/>
      <c r="K147" s="343"/>
      <c r="L147" s="70"/>
      <c r="M147" s="338"/>
      <c r="N147" s="334"/>
      <c r="O147" s="341"/>
      <c r="P147" s="74"/>
    </row>
    <row r="148">
      <c r="A148" s="288"/>
      <c r="B148" s="71"/>
      <c r="C148" s="64"/>
      <c r="D148" s="68"/>
      <c r="E148" s="86"/>
      <c r="F148" s="71"/>
      <c r="G148" s="68"/>
      <c r="H148" s="68"/>
      <c r="I148" s="71"/>
      <c r="J148" s="68"/>
      <c r="K148" s="343"/>
      <c r="L148" s="338"/>
      <c r="M148" s="338"/>
      <c r="N148" s="363"/>
      <c r="O148" s="344"/>
      <c r="P148" s="74"/>
    </row>
    <row r="149">
      <c r="A149" s="62"/>
      <c r="B149" s="358"/>
      <c r="C149" s="64"/>
      <c r="D149" s="68"/>
      <c r="E149" s="86"/>
      <c r="F149" s="68"/>
      <c r="G149" s="68"/>
      <c r="H149" s="68"/>
      <c r="I149" s="358"/>
      <c r="J149" s="68"/>
      <c r="K149" s="343"/>
      <c r="L149" s="337"/>
      <c r="M149" s="338"/>
      <c r="N149" s="334"/>
      <c r="O149" s="341"/>
      <c r="P149" s="74"/>
    </row>
    <row r="150">
      <c r="A150" s="364"/>
      <c r="B150" s="365"/>
      <c r="C150" s="64"/>
      <c r="D150" s="68"/>
      <c r="E150" s="86"/>
      <c r="F150" s="68"/>
      <c r="G150" s="352"/>
      <c r="H150" s="331"/>
      <c r="I150" s="338"/>
      <c r="J150" s="68"/>
      <c r="K150" s="69"/>
      <c r="L150" s="338"/>
      <c r="M150" s="71"/>
      <c r="N150" s="366"/>
      <c r="O150" s="345"/>
      <c r="P150" s="74"/>
    </row>
    <row r="151">
      <c r="A151" s="62"/>
      <c r="B151" s="68"/>
      <c r="C151" s="64"/>
      <c r="D151" s="68"/>
      <c r="E151" s="86"/>
      <c r="F151" s="68"/>
      <c r="G151" s="68"/>
      <c r="H151" s="68"/>
      <c r="I151" s="70"/>
      <c r="J151" s="68"/>
      <c r="K151" s="343"/>
      <c r="L151" s="70"/>
      <c r="M151" s="338"/>
      <c r="N151" s="334"/>
      <c r="O151" s="341"/>
      <c r="P151" s="74"/>
    </row>
    <row r="152">
      <c r="A152" s="62"/>
      <c r="B152" s="68"/>
      <c r="C152" s="64"/>
      <c r="D152" s="68"/>
      <c r="E152" s="86"/>
      <c r="F152" s="68"/>
      <c r="G152" s="68"/>
      <c r="H152" s="68"/>
      <c r="I152" s="70"/>
      <c r="J152" s="68"/>
      <c r="K152" s="343"/>
      <c r="L152" s="70"/>
      <c r="M152" s="338"/>
      <c r="N152" s="334"/>
      <c r="O152" s="341"/>
      <c r="P152" s="74"/>
    </row>
    <row r="153">
      <c r="A153" s="62"/>
      <c r="B153" s="68"/>
      <c r="C153" s="64"/>
      <c r="D153" s="68"/>
      <c r="E153" s="86"/>
      <c r="F153" s="68"/>
      <c r="G153" s="68"/>
      <c r="H153" s="68"/>
      <c r="I153" s="70"/>
      <c r="J153" s="68"/>
      <c r="K153" s="343"/>
      <c r="L153" s="70"/>
      <c r="M153" s="338"/>
      <c r="N153" s="334"/>
      <c r="O153" s="341"/>
      <c r="P153" s="74"/>
    </row>
    <row r="154">
      <c r="A154" s="346"/>
      <c r="B154" s="355"/>
      <c r="C154" s="361"/>
      <c r="D154" s="357"/>
      <c r="E154" s="362"/>
      <c r="F154" s="331"/>
      <c r="G154" s="356"/>
      <c r="H154" s="355"/>
      <c r="I154" s="355"/>
      <c r="J154" s="357"/>
      <c r="K154" s="343"/>
      <c r="L154" s="348"/>
      <c r="M154" s="338"/>
      <c r="N154" s="350"/>
      <c r="O154" s="367"/>
      <c r="P154" s="74"/>
    </row>
    <row r="155">
      <c r="A155" s="346"/>
      <c r="B155" s="355"/>
      <c r="C155" s="361"/>
      <c r="D155" s="357"/>
      <c r="E155" s="362"/>
      <c r="F155" s="331"/>
      <c r="G155" s="68"/>
      <c r="H155" s="355"/>
      <c r="I155" s="355"/>
      <c r="J155" s="357"/>
      <c r="K155" s="343"/>
      <c r="L155" s="348"/>
      <c r="M155" s="331"/>
      <c r="N155" s="350"/>
      <c r="O155" s="367"/>
      <c r="P155" s="74"/>
    </row>
    <row r="156">
      <c r="A156" s="62"/>
      <c r="B156" s="68"/>
      <c r="C156" s="64"/>
      <c r="D156" s="357"/>
      <c r="E156" s="86"/>
      <c r="F156" s="68"/>
      <c r="G156" s="68"/>
      <c r="H156" s="68"/>
      <c r="I156" s="70"/>
      <c r="J156" s="68"/>
      <c r="K156" s="343"/>
      <c r="L156" s="337"/>
      <c r="M156" s="68"/>
      <c r="N156" s="334"/>
      <c r="O156" s="341"/>
      <c r="P156" s="74"/>
    </row>
    <row r="157">
      <c r="A157" s="62"/>
      <c r="B157" s="68"/>
      <c r="C157" s="64"/>
      <c r="D157" s="357"/>
      <c r="E157" s="86"/>
      <c r="F157" s="68"/>
      <c r="G157" s="68"/>
      <c r="H157" s="68"/>
      <c r="I157" s="70"/>
      <c r="J157" s="68"/>
      <c r="K157" s="343"/>
      <c r="L157" s="337"/>
      <c r="M157" s="68"/>
      <c r="N157" s="334"/>
      <c r="O157" s="341"/>
      <c r="P157" s="74"/>
    </row>
    <row r="158">
      <c r="A158" s="288"/>
      <c r="B158" s="338"/>
      <c r="C158" s="64"/>
      <c r="D158" s="68"/>
      <c r="E158" s="86"/>
      <c r="F158" s="71"/>
      <c r="G158" s="68"/>
      <c r="H158" s="68"/>
      <c r="I158" s="342"/>
      <c r="J158" s="68"/>
      <c r="K158" s="343"/>
      <c r="L158" s="338"/>
      <c r="M158" s="338"/>
      <c r="N158" s="363"/>
      <c r="O158" s="344"/>
      <c r="P158" s="74"/>
    </row>
    <row r="159">
      <c r="A159" s="293"/>
      <c r="B159" s="348"/>
      <c r="C159" s="361"/>
      <c r="D159" s="68"/>
      <c r="E159" s="362"/>
      <c r="F159" s="331"/>
      <c r="G159" s="348"/>
      <c r="H159" s="348"/>
      <c r="I159" s="348"/>
      <c r="J159" s="357"/>
      <c r="K159" s="343"/>
      <c r="L159" s="348"/>
      <c r="M159" s="348"/>
      <c r="N159" s="350"/>
      <c r="O159" s="345"/>
      <c r="P159" s="74"/>
    </row>
    <row r="160">
      <c r="A160" s="288"/>
      <c r="B160" s="338"/>
      <c r="C160" s="64"/>
      <c r="D160" s="68"/>
      <c r="E160" s="86"/>
      <c r="F160" s="71"/>
      <c r="G160" s="68"/>
      <c r="H160" s="68"/>
      <c r="I160" s="342"/>
      <c r="J160" s="68"/>
      <c r="K160" s="69"/>
      <c r="L160" s="338"/>
      <c r="M160" s="338"/>
      <c r="N160" s="363"/>
      <c r="O160" s="344"/>
      <c r="P160" s="74"/>
    </row>
    <row r="161">
      <c r="A161" s="346"/>
      <c r="B161" s="368"/>
      <c r="C161" s="347"/>
      <c r="D161" s="68"/>
      <c r="E161" s="86"/>
      <c r="F161" s="71"/>
      <c r="G161" s="340"/>
      <c r="H161" s="355"/>
      <c r="I161" s="348"/>
      <c r="J161" s="68"/>
      <c r="K161" s="343"/>
      <c r="L161" s="348"/>
      <c r="M161" s="348"/>
      <c r="N161" s="349"/>
      <c r="O161" s="345"/>
      <c r="P161" s="74"/>
    </row>
    <row r="162">
      <c r="A162" s="62"/>
      <c r="B162" s="365"/>
      <c r="C162" s="64"/>
      <c r="D162" s="68"/>
      <c r="E162" s="86"/>
      <c r="F162" s="68"/>
      <c r="G162" s="68"/>
      <c r="H162" s="68"/>
      <c r="I162" s="70"/>
      <c r="J162" s="68"/>
      <c r="K162" s="69"/>
      <c r="L162" s="70"/>
      <c r="M162" s="338"/>
      <c r="N162" s="334"/>
      <c r="O162" s="334"/>
      <c r="P162" s="74"/>
    </row>
    <row r="163">
      <c r="A163" s="62"/>
      <c r="B163" s="365"/>
      <c r="C163" s="64"/>
      <c r="D163" s="68"/>
      <c r="E163" s="86"/>
      <c r="F163" s="68"/>
      <c r="G163" s="68"/>
      <c r="H163" s="68"/>
      <c r="I163" s="70"/>
      <c r="J163" s="68"/>
      <c r="K163" s="343"/>
      <c r="L163" s="70"/>
      <c r="M163" s="71"/>
      <c r="N163" s="334"/>
      <c r="O163" s="341"/>
      <c r="P163" s="74"/>
    </row>
    <row r="164">
      <c r="A164" s="62"/>
      <c r="B164" s="339"/>
      <c r="C164" s="64"/>
      <c r="D164" s="68"/>
      <c r="E164" s="86"/>
      <c r="F164" s="68"/>
      <c r="G164" s="68"/>
      <c r="H164" s="68"/>
      <c r="I164" s="70"/>
      <c r="J164" s="68"/>
      <c r="K164" s="69"/>
      <c r="L164" s="70"/>
      <c r="M164" s="71"/>
      <c r="N164" s="334"/>
      <c r="O164" s="336"/>
      <c r="P164" s="74"/>
    </row>
    <row r="165">
      <c r="A165" s="62"/>
      <c r="B165" s="339"/>
      <c r="C165" s="64"/>
      <c r="D165" s="68"/>
      <c r="E165" s="86"/>
      <c r="F165" s="68"/>
      <c r="G165" s="68"/>
      <c r="H165" s="68"/>
      <c r="I165" s="68"/>
      <c r="J165" s="68"/>
      <c r="K165" s="343"/>
      <c r="L165" s="70"/>
      <c r="M165" s="338"/>
      <c r="N165" s="334"/>
      <c r="O165" s="341"/>
      <c r="P165" s="74"/>
    </row>
    <row r="166">
      <c r="A166" s="288"/>
      <c r="B166" s="339"/>
      <c r="C166" s="64"/>
      <c r="D166" s="68"/>
      <c r="E166" s="86"/>
      <c r="F166" s="68"/>
      <c r="G166" s="68"/>
      <c r="H166" s="68"/>
      <c r="I166" s="70"/>
      <c r="J166" s="68"/>
      <c r="K166" s="343"/>
      <c r="L166" s="70"/>
      <c r="M166" s="338"/>
      <c r="N166" s="334"/>
      <c r="O166" s="341"/>
      <c r="P166" s="74"/>
    </row>
    <row r="167">
      <c r="A167" s="62"/>
      <c r="B167" s="365"/>
      <c r="C167" s="64"/>
      <c r="D167" s="68"/>
      <c r="E167" s="86"/>
      <c r="F167" s="68"/>
      <c r="G167" s="68"/>
      <c r="H167" s="68"/>
      <c r="I167" s="70"/>
      <c r="J167" s="68"/>
      <c r="K167" s="343"/>
      <c r="L167" s="70"/>
      <c r="M167" s="338"/>
      <c r="N167" s="334"/>
      <c r="O167" s="341"/>
      <c r="P167" s="74"/>
    </row>
    <row r="168">
      <c r="A168" s="62"/>
      <c r="B168" s="68"/>
      <c r="C168" s="64"/>
      <c r="D168" s="68"/>
      <c r="E168" s="86"/>
      <c r="F168" s="68"/>
      <c r="G168" s="68"/>
      <c r="H168" s="68"/>
      <c r="I168" s="70"/>
      <c r="J168" s="68"/>
      <c r="K168" s="343"/>
      <c r="L168" s="70"/>
      <c r="M168" s="71"/>
      <c r="N168" s="334"/>
      <c r="O168" s="341"/>
      <c r="P168" s="74"/>
    </row>
    <row r="169">
      <c r="A169" s="62"/>
      <c r="B169" s="365"/>
      <c r="C169" s="64"/>
      <c r="D169" s="68"/>
      <c r="E169" s="86"/>
      <c r="F169" s="71"/>
      <c r="G169" s="68"/>
      <c r="H169" s="68"/>
      <c r="I169" s="70"/>
      <c r="J169" s="68"/>
      <c r="K169" s="343"/>
      <c r="L169" s="70"/>
      <c r="M169" s="338"/>
      <c r="N169" s="334"/>
      <c r="O169" s="341"/>
      <c r="P169" s="74"/>
    </row>
    <row r="170">
      <c r="A170" s="369"/>
      <c r="B170" s="368"/>
      <c r="C170" s="347"/>
      <c r="D170" s="68"/>
      <c r="E170" s="86"/>
      <c r="F170" s="370"/>
      <c r="G170" s="68"/>
      <c r="H170" s="70"/>
      <c r="I170" s="338"/>
      <c r="J170" s="68"/>
      <c r="K170" s="343"/>
      <c r="L170" s="338"/>
      <c r="M170" s="71"/>
      <c r="N170" s="366"/>
      <c r="O170" s="345"/>
      <c r="P170" s="74"/>
    </row>
    <row r="171">
      <c r="A171" s="62"/>
      <c r="B171" s="68"/>
      <c r="C171" s="64"/>
      <c r="D171" s="68"/>
      <c r="E171" s="86"/>
      <c r="F171" s="68"/>
      <c r="G171" s="68"/>
      <c r="H171" s="68"/>
      <c r="I171" s="70"/>
      <c r="J171" s="68"/>
      <c r="K171" s="343"/>
      <c r="L171" s="70"/>
      <c r="M171" s="338"/>
      <c r="N171" s="334"/>
      <c r="O171" s="341"/>
      <c r="P171" s="74"/>
    </row>
    <row r="172">
      <c r="A172" s="62"/>
      <c r="B172" s="68"/>
      <c r="C172" s="64"/>
      <c r="D172" s="68"/>
      <c r="E172" s="86"/>
      <c r="F172" s="68"/>
      <c r="G172" s="68"/>
      <c r="H172" s="358"/>
      <c r="I172" s="70"/>
      <c r="J172" s="68"/>
      <c r="K172" s="343"/>
      <c r="L172" s="70"/>
      <c r="M172" s="338"/>
      <c r="N172" s="334"/>
      <c r="O172" s="341"/>
      <c r="P172" s="74"/>
    </row>
    <row r="173">
      <c r="A173" s="62"/>
      <c r="B173" s="68"/>
      <c r="C173" s="64"/>
      <c r="D173" s="68"/>
      <c r="E173" s="86"/>
      <c r="F173" s="68"/>
      <c r="G173" s="68"/>
      <c r="H173" s="68"/>
      <c r="I173" s="70"/>
      <c r="J173" s="68"/>
      <c r="K173" s="343"/>
      <c r="L173" s="70"/>
      <c r="M173" s="338"/>
      <c r="N173" s="334"/>
      <c r="O173" s="341"/>
      <c r="P173" s="74"/>
    </row>
    <row r="174">
      <c r="A174" s="369"/>
      <c r="B174" s="368"/>
      <c r="C174" s="347"/>
      <c r="D174" s="68"/>
      <c r="E174" s="86"/>
      <c r="F174" s="71"/>
      <c r="G174" s="70"/>
      <c r="H174" s="70"/>
      <c r="I174" s="338"/>
      <c r="J174" s="70"/>
      <c r="K174" s="343"/>
      <c r="L174" s="338"/>
      <c r="M174" s="71"/>
      <c r="N174" s="366"/>
      <c r="O174" s="345"/>
      <c r="P174" s="74"/>
    </row>
    <row r="175">
      <c r="A175" s="62"/>
      <c r="B175" s="339"/>
      <c r="C175" s="64"/>
      <c r="D175" s="68"/>
      <c r="E175" s="86"/>
      <c r="F175" s="68"/>
      <c r="G175" s="68"/>
      <c r="H175" s="68"/>
      <c r="I175" s="68"/>
      <c r="J175" s="68"/>
      <c r="K175" s="343"/>
      <c r="L175" s="70"/>
      <c r="M175" s="71"/>
      <c r="N175" s="334"/>
      <c r="O175" s="341"/>
      <c r="P175" s="74"/>
    </row>
    <row r="176">
      <c r="A176" s="369"/>
      <c r="B176" s="368"/>
      <c r="C176" s="64"/>
      <c r="D176" s="68"/>
      <c r="E176" s="86"/>
      <c r="F176" s="71"/>
      <c r="G176" s="70"/>
      <c r="H176" s="70"/>
      <c r="I176" s="338"/>
      <c r="J176" s="68"/>
      <c r="K176" s="343"/>
      <c r="L176" s="338"/>
      <c r="M176" s="71"/>
      <c r="N176" s="366"/>
      <c r="O176" s="345"/>
      <c r="P176" s="74"/>
    </row>
    <row r="177">
      <c r="A177" s="371"/>
      <c r="B177" s="368"/>
      <c r="C177" s="64"/>
      <c r="D177" s="68"/>
      <c r="E177" s="86"/>
      <c r="F177" s="68"/>
      <c r="G177" s="70"/>
      <c r="H177" s="70"/>
      <c r="I177" s="338"/>
      <c r="J177" s="70"/>
      <c r="K177" s="343"/>
      <c r="L177" s="338"/>
      <c r="M177" s="338"/>
      <c r="N177" s="372"/>
      <c r="O177" s="345"/>
      <c r="P177" s="74"/>
    </row>
    <row r="178">
      <c r="A178" s="62"/>
      <c r="B178" s="339"/>
      <c r="C178" s="64"/>
      <c r="D178" s="68"/>
      <c r="E178" s="86"/>
      <c r="F178" s="68"/>
      <c r="G178" s="68"/>
      <c r="H178" s="68"/>
      <c r="I178" s="70"/>
      <c r="J178" s="68"/>
      <c r="K178" s="343"/>
      <c r="L178" s="70"/>
      <c r="M178" s="338"/>
      <c r="N178" s="334"/>
      <c r="O178" s="341"/>
      <c r="P178" s="74"/>
    </row>
    <row r="179">
      <c r="A179" s="62"/>
      <c r="B179" s="339"/>
      <c r="C179" s="64"/>
      <c r="D179" s="68"/>
      <c r="E179" s="86"/>
      <c r="F179" s="68"/>
      <c r="G179" s="68"/>
      <c r="H179" s="68"/>
      <c r="I179" s="70"/>
      <c r="J179" s="68"/>
      <c r="K179" s="343"/>
      <c r="L179" s="70"/>
      <c r="M179" s="338"/>
      <c r="N179" s="334"/>
      <c r="O179" s="341"/>
      <c r="P179" s="74"/>
    </row>
    <row r="180">
      <c r="A180" s="62"/>
      <c r="B180" s="339"/>
      <c r="C180" s="64"/>
      <c r="D180" s="68"/>
      <c r="E180" s="86"/>
      <c r="F180" s="68"/>
      <c r="G180" s="68"/>
      <c r="H180" s="68"/>
      <c r="I180" s="70"/>
      <c r="J180" s="68"/>
      <c r="K180" s="69"/>
      <c r="L180" s="70"/>
      <c r="M180" s="338"/>
      <c r="N180" s="334"/>
      <c r="O180" s="341"/>
      <c r="P180" s="74"/>
    </row>
    <row r="181">
      <c r="A181" s="373"/>
      <c r="B181" s="374"/>
      <c r="C181" s="375"/>
      <c r="D181" s="68"/>
      <c r="E181" s="362"/>
      <c r="F181" s="357"/>
      <c r="G181" s="357"/>
      <c r="H181" s="357"/>
      <c r="I181" s="376"/>
      <c r="J181" s="357"/>
      <c r="K181" s="343"/>
      <c r="L181" s="376"/>
      <c r="M181" s="338"/>
      <c r="N181" s="334"/>
      <c r="O181" s="341"/>
      <c r="P181" s="74"/>
    </row>
    <row r="182">
      <c r="A182" s="62"/>
      <c r="B182" s="68"/>
      <c r="C182" s="64"/>
      <c r="D182" s="68"/>
      <c r="E182" s="86"/>
      <c r="F182" s="68"/>
      <c r="G182" s="68"/>
      <c r="H182" s="68"/>
      <c r="I182" s="70"/>
      <c r="J182" s="68"/>
      <c r="K182" s="343"/>
      <c r="L182" s="70"/>
      <c r="M182" s="71"/>
      <c r="N182" s="372"/>
      <c r="O182" s="341"/>
      <c r="P182" s="74"/>
    </row>
    <row r="183">
      <c r="A183" s="62"/>
      <c r="B183" s="365"/>
      <c r="C183" s="64"/>
      <c r="D183" s="68"/>
      <c r="E183" s="86"/>
      <c r="F183" s="68"/>
      <c r="G183" s="68"/>
      <c r="H183" s="68"/>
      <c r="I183" s="70"/>
      <c r="J183" s="68"/>
      <c r="K183" s="69"/>
      <c r="L183" s="70"/>
      <c r="M183" s="71"/>
      <c r="N183" s="334"/>
      <c r="O183" s="341"/>
      <c r="P183" s="74"/>
    </row>
    <row r="184">
      <c r="A184" s="364"/>
      <c r="B184" s="352"/>
      <c r="C184" s="64"/>
      <c r="D184" s="68"/>
      <c r="E184" s="86"/>
      <c r="F184" s="68"/>
      <c r="G184" s="352"/>
      <c r="H184" s="68"/>
      <c r="I184" s="338"/>
      <c r="J184" s="68"/>
      <c r="K184" s="343"/>
      <c r="L184" s="338"/>
      <c r="M184" s="338"/>
      <c r="N184" s="377"/>
      <c r="O184" s="345"/>
      <c r="P184" s="74"/>
    </row>
    <row r="185">
      <c r="A185" s="62"/>
      <c r="B185" s="68"/>
      <c r="C185" s="64"/>
      <c r="D185" s="68"/>
      <c r="E185" s="86"/>
      <c r="F185" s="68"/>
      <c r="G185" s="68"/>
      <c r="H185" s="331"/>
      <c r="I185" s="70"/>
      <c r="J185" s="68"/>
      <c r="K185" s="343"/>
      <c r="L185" s="70"/>
      <c r="M185" s="338"/>
      <c r="N185" s="334"/>
      <c r="O185" s="341"/>
      <c r="P185" s="74"/>
    </row>
    <row r="186">
      <c r="A186" s="369"/>
      <c r="B186" s="365"/>
      <c r="C186" s="347"/>
      <c r="D186" s="68"/>
      <c r="E186" s="86"/>
      <c r="F186" s="370"/>
      <c r="G186" s="68"/>
      <c r="H186" s="70"/>
      <c r="I186" s="338"/>
      <c r="J186" s="70"/>
      <c r="K186" s="343"/>
      <c r="L186" s="338"/>
      <c r="M186" s="338"/>
      <c r="N186" s="378"/>
      <c r="O186" s="345"/>
      <c r="P186" s="74"/>
    </row>
    <row r="187">
      <c r="A187" s="62"/>
      <c r="B187" s="68"/>
      <c r="C187" s="64"/>
      <c r="D187" s="68"/>
      <c r="E187" s="86"/>
      <c r="F187" s="68"/>
      <c r="G187" s="68"/>
      <c r="H187" s="358"/>
      <c r="I187" s="70"/>
      <c r="J187" s="68"/>
      <c r="K187" s="343"/>
      <c r="L187" s="70"/>
      <c r="M187" s="338"/>
      <c r="N187" s="334"/>
      <c r="O187" s="341"/>
      <c r="P187" s="74"/>
    </row>
    <row r="188">
      <c r="A188" s="62"/>
      <c r="B188" s="68"/>
      <c r="C188" s="64"/>
      <c r="D188" s="68"/>
      <c r="E188" s="86"/>
      <c r="F188" s="68"/>
      <c r="G188" s="68"/>
      <c r="H188" s="68"/>
      <c r="I188" s="70"/>
      <c r="J188" s="68"/>
      <c r="K188" s="343"/>
      <c r="L188" s="70"/>
      <c r="M188" s="338"/>
      <c r="N188" s="334"/>
      <c r="O188" s="341"/>
      <c r="P188" s="74"/>
    </row>
    <row r="189">
      <c r="A189" s="62"/>
      <c r="B189" s="68"/>
      <c r="C189" s="64"/>
      <c r="D189" s="68"/>
      <c r="E189" s="86"/>
      <c r="F189" s="71"/>
      <c r="G189" s="68"/>
      <c r="H189" s="68"/>
      <c r="I189" s="70"/>
      <c r="J189" s="68"/>
      <c r="K189" s="343"/>
      <c r="L189" s="70"/>
      <c r="M189" s="338"/>
      <c r="N189" s="334"/>
      <c r="O189" s="341"/>
      <c r="P189" s="74"/>
    </row>
    <row r="190">
      <c r="A190" s="62"/>
      <c r="B190" s="68"/>
      <c r="C190" s="64"/>
      <c r="D190" s="68"/>
      <c r="E190" s="86"/>
      <c r="F190" s="68"/>
      <c r="G190" s="68"/>
      <c r="H190" s="358"/>
      <c r="I190" s="70"/>
      <c r="J190" s="68"/>
      <c r="K190" s="343"/>
      <c r="L190" s="70"/>
      <c r="M190" s="338"/>
      <c r="N190" s="334"/>
      <c r="O190" s="341"/>
      <c r="P190" s="74"/>
    </row>
    <row r="191">
      <c r="A191" s="288"/>
      <c r="B191" s="71"/>
      <c r="C191" s="64"/>
      <c r="D191" s="68"/>
      <c r="E191" s="86"/>
      <c r="F191" s="71"/>
      <c r="G191" s="342"/>
      <c r="H191" s="342"/>
      <c r="I191" s="338"/>
      <c r="J191" s="358"/>
      <c r="K191" s="69"/>
      <c r="L191" s="70"/>
      <c r="M191" s="71"/>
      <c r="N191" s="372"/>
      <c r="O191" s="363"/>
      <c r="P191" s="74"/>
    </row>
    <row r="192">
      <c r="A192" s="62"/>
      <c r="B192" s="68"/>
      <c r="C192" s="64"/>
      <c r="D192" s="68"/>
      <c r="E192" s="86"/>
      <c r="F192" s="71"/>
      <c r="G192" s="68"/>
      <c r="H192" s="68"/>
      <c r="I192" s="70"/>
      <c r="J192" s="68"/>
      <c r="K192" s="65"/>
      <c r="L192" s="68"/>
      <c r="M192" s="71"/>
      <c r="N192" s="334"/>
      <c r="O192" s="341"/>
      <c r="P192" s="74"/>
    </row>
    <row r="193">
      <c r="A193" s="62"/>
      <c r="B193" s="68"/>
      <c r="C193" s="64"/>
      <c r="D193" s="68"/>
      <c r="E193" s="86"/>
      <c r="F193" s="68"/>
      <c r="G193" s="68"/>
      <c r="H193" s="68"/>
      <c r="I193" s="70"/>
      <c r="J193" s="68"/>
      <c r="K193" s="343"/>
      <c r="L193" s="70"/>
      <c r="M193" s="338"/>
      <c r="N193" s="334"/>
      <c r="O193" s="341"/>
      <c r="P193" s="74"/>
    </row>
    <row r="194">
      <c r="A194" s="289"/>
      <c r="B194" s="342"/>
      <c r="C194" s="64"/>
      <c r="D194" s="68"/>
      <c r="E194" s="86"/>
      <c r="F194" s="71"/>
      <c r="G194" s="68"/>
      <c r="H194" s="342"/>
      <c r="I194" s="338"/>
      <c r="J194" s="358"/>
      <c r="K194" s="343"/>
      <c r="L194" s="338"/>
      <c r="M194" s="71"/>
      <c r="N194" s="372"/>
      <c r="O194" s="304"/>
      <c r="P194" s="74"/>
    </row>
    <row r="195">
      <c r="A195" s="379"/>
      <c r="B195" s="342"/>
      <c r="C195" s="64"/>
      <c r="D195" s="68"/>
      <c r="E195" s="86"/>
      <c r="F195" s="71"/>
      <c r="G195" s="68"/>
      <c r="H195" s="342"/>
      <c r="I195" s="338"/>
      <c r="J195" s="358"/>
      <c r="K195" s="343"/>
      <c r="L195" s="338"/>
      <c r="M195" s="338"/>
      <c r="N195" s="380"/>
      <c r="O195" s="304"/>
      <c r="P195" s="74"/>
    </row>
    <row r="196">
      <c r="A196" s="289"/>
      <c r="B196" s="342"/>
      <c r="C196" s="64"/>
      <c r="D196" s="68"/>
      <c r="E196" s="86"/>
      <c r="F196" s="71"/>
      <c r="G196" s="68"/>
      <c r="H196" s="342"/>
      <c r="I196" s="338"/>
      <c r="J196" s="68"/>
      <c r="K196" s="343"/>
      <c r="L196" s="338"/>
      <c r="M196" s="71"/>
      <c r="N196" s="380"/>
      <c r="O196" s="304"/>
      <c r="P196" s="74"/>
    </row>
    <row r="197">
      <c r="A197" s="289"/>
      <c r="B197" s="338"/>
      <c r="C197" s="64"/>
      <c r="D197" s="68"/>
      <c r="E197" s="86"/>
      <c r="F197" s="71"/>
      <c r="G197" s="68"/>
      <c r="H197" s="342"/>
      <c r="I197" s="338"/>
      <c r="J197" s="358"/>
      <c r="K197" s="343"/>
      <c r="L197" s="338"/>
      <c r="M197" s="71"/>
      <c r="N197" s="380"/>
      <c r="O197" s="304"/>
      <c r="P197" s="74"/>
    </row>
    <row r="198">
      <c r="A198" s="364"/>
      <c r="B198" s="368"/>
      <c r="C198" s="347"/>
      <c r="D198" s="68"/>
      <c r="E198" s="86"/>
      <c r="F198" s="68"/>
      <c r="G198" s="338"/>
      <c r="H198" s="68"/>
      <c r="I198" s="338"/>
      <c r="J198" s="68"/>
      <c r="K198" s="69"/>
      <c r="L198" s="338"/>
      <c r="M198" s="338"/>
      <c r="N198" s="377"/>
      <c r="O198" s="381"/>
      <c r="P198" s="74"/>
    </row>
    <row r="199">
      <c r="A199" s="62"/>
      <c r="B199" s="68"/>
      <c r="C199" s="64"/>
      <c r="D199" s="68"/>
      <c r="E199" s="86"/>
      <c r="F199" s="68"/>
      <c r="G199" s="68"/>
      <c r="H199" s="68"/>
      <c r="I199" s="70"/>
      <c r="J199" s="68"/>
      <c r="K199" s="343"/>
      <c r="L199" s="70"/>
      <c r="M199" s="71"/>
      <c r="N199" s="334"/>
      <c r="O199" s="334"/>
      <c r="P199" s="74"/>
    </row>
    <row r="200">
      <c r="A200" s="62"/>
      <c r="B200" s="339"/>
      <c r="C200" s="64"/>
      <c r="D200" s="68"/>
      <c r="E200" s="86"/>
      <c r="F200" s="68"/>
      <c r="G200" s="68"/>
      <c r="H200" s="68"/>
      <c r="I200" s="70"/>
      <c r="J200" s="68"/>
      <c r="K200" s="343"/>
      <c r="L200" s="70"/>
      <c r="M200" s="338"/>
      <c r="N200" s="334"/>
      <c r="O200" s="341"/>
      <c r="P200" s="74"/>
    </row>
    <row r="201">
      <c r="A201" s="62"/>
      <c r="B201" s="339"/>
      <c r="C201" s="64"/>
      <c r="D201" s="68"/>
      <c r="E201" s="86"/>
      <c r="F201" s="68"/>
      <c r="G201" s="68"/>
      <c r="H201" s="68"/>
      <c r="I201" s="70"/>
      <c r="J201" s="68"/>
      <c r="K201" s="343"/>
      <c r="L201" s="70"/>
      <c r="M201" s="338"/>
      <c r="N201" s="334"/>
      <c r="O201" s="341"/>
      <c r="P201" s="74"/>
    </row>
    <row r="202">
      <c r="A202" s="62"/>
      <c r="B202" s="68"/>
      <c r="C202" s="64"/>
      <c r="D202" s="68"/>
      <c r="E202" s="86"/>
      <c r="F202" s="68"/>
      <c r="G202" s="68"/>
      <c r="H202" s="68"/>
      <c r="I202" s="70"/>
      <c r="J202" s="68"/>
      <c r="K202" s="343"/>
      <c r="L202" s="70"/>
      <c r="M202" s="338"/>
      <c r="N202" s="334"/>
      <c r="O202" s="334"/>
      <c r="P202" s="74"/>
    </row>
    <row r="203">
      <c r="A203" s="289"/>
      <c r="B203" s="338"/>
      <c r="C203" s="64"/>
      <c r="D203" s="68"/>
      <c r="E203" s="86"/>
      <c r="F203" s="71"/>
      <c r="G203" s="342"/>
      <c r="H203" s="342"/>
      <c r="I203" s="342"/>
      <c r="J203" s="68"/>
      <c r="K203" s="343"/>
      <c r="L203" s="338"/>
      <c r="M203" s="338"/>
      <c r="N203" s="344"/>
      <c r="O203" s="304"/>
      <c r="P203" s="74"/>
    </row>
    <row r="204">
      <c r="A204" s="289"/>
      <c r="B204" s="342"/>
      <c r="C204" s="64"/>
      <c r="D204" s="68"/>
      <c r="E204" s="86"/>
      <c r="F204" s="71"/>
      <c r="G204" s="342"/>
      <c r="H204" s="342"/>
      <c r="I204" s="338"/>
      <c r="J204" s="68"/>
      <c r="K204" s="343"/>
      <c r="L204" s="338"/>
      <c r="M204" s="338"/>
      <c r="N204" s="382"/>
      <c r="O204" s="304"/>
      <c r="P204" s="74"/>
    </row>
    <row r="205">
      <c r="A205" s="289"/>
      <c r="B205" s="338"/>
      <c r="C205" s="64"/>
      <c r="D205" s="68"/>
      <c r="E205" s="86"/>
      <c r="F205" s="71"/>
      <c r="G205" s="342"/>
      <c r="H205" s="342"/>
      <c r="I205" s="338"/>
      <c r="J205" s="68"/>
      <c r="K205" s="343"/>
      <c r="L205" s="338"/>
      <c r="M205" s="338"/>
      <c r="N205" s="382"/>
      <c r="O205" s="344"/>
      <c r="P205" s="74"/>
    </row>
    <row r="206">
      <c r="A206" s="289"/>
      <c r="B206" s="338"/>
      <c r="C206" s="64"/>
      <c r="D206" s="68"/>
      <c r="E206" s="86"/>
      <c r="F206" s="71"/>
      <c r="G206" s="342"/>
      <c r="H206" s="342"/>
      <c r="I206" s="338"/>
      <c r="J206" s="68"/>
      <c r="K206" s="343"/>
      <c r="L206" s="338"/>
      <c r="M206" s="338"/>
      <c r="N206" s="382"/>
      <c r="O206" s="304"/>
      <c r="P206" s="74"/>
    </row>
    <row r="207">
      <c r="A207" s="383"/>
      <c r="B207" s="338"/>
      <c r="C207" s="64"/>
      <c r="D207" s="68"/>
      <c r="E207" s="86"/>
      <c r="F207" s="71"/>
      <c r="G207" s="358"/>
      <c r="H207" s="331"/>
      <c r="I207" s="71"/>
      <c r="J207" s="68"/>
      <c r="K207" s="343"/>
      <c r="L207" s="338"/>
      <c r="M207" s="338"/>
      <c r="N207" s="380"/>
      <c r="O207" s="304"/>
      <c r="P207" s="74"/>
    </row>
    <row r="208">
      <c r="A208" s="383"/>
      <c r="B208" s="342"/>
      <c r="C208" s="64"/>
      <c r="D208" s="68"/>
      <c r="E208" s="86"/>
      <c r="F208" s="71"/>
      <c r="G208" s="342"/>
      <c r="H208" s="71"/>
      <c r="I208" s="338"/>
      <c r="J208" s="358"/>
      <c r="K208" s="343"/>
      <c r="L208" s="338"/>
      <c r="M208" s="338"/>
      <c r="N208" s="382"/>
      <c r="O208" s="304"/>
      <c r="P208" s="74"/>
    </row>
    <row r="209">
      <c r="A209" s="383"/>
      <c r="B209" s="342"/>
      <c r="C209" s="64"/>
      <c r="D209" s="68"/>
      <c r="E209" s="86"/>
      <c r="F209" s="71"/>
      <c r="G209" s="68"/>
      <c r="H209" s="342"/>
      <c r="I209" s="338"/>
      <c r="J209" s="68"/>
      <c r="K209" s="343"/>
      <c r="L209" s="338"/>
      <c r="M209" s="338"/>
      <c r="N209" s="384"/>
      <c r="O209" s="304"/>
      <c r="P209" s="74"/>
    </row>
    <row r="210">
      <c r="A210" s="383"/>
      <c r="B210" s="342"/>
      <c r="C210" s="64"/>
      <c r="D210" s="68"/>
      <c r="E210" s="86"/>
      <c r="F210" s="71"/>
      <c r="G210" s="342"/>
      <c r="H210" s="342"/>
      <c r="I210" s="338"/>
      <c r="J210" s="358"/>
      <c r="K210" s="343"/>
      <c r="L210" s="338"/>
      <c r="M210" s="338"/>
      <c r="N210" s="382"/>
      <c r="O210" s="304"/>
      <c r="P210" s="74"/>
    </row>
    <row r="211">
      <c r="A211" s="237"/>
      <c r="B211" s="339"/>
      <c r="C211" s="64"/>
      <c r="D211" s="68"/>
      <c r="E211" s="86"/>
      <c r="F211" s="68"/>
      <c r="G211" s="68"/>
      <c r="H211" s="68"/>
      <c r="I211" s="68"/>
      <c r="J211" s="68"/>
      <c r="K211" s="69"/>
      <c r="L211" s="70"/>
      <c r="M211" s="338"/>
      <c r="N211" s="334"/>
      <c r="O211" s="341"/>
      <c r="P211" s="74"/>
    </row>
    <row r="212">
      <c r="A212" s="237"/>
      <c r="B212" s="71"/>
      <c r="C212" s="64"/>
      <c r="D212" s="68"/>
      <c r="E212" s="86"/>
      <c r="F212" s="68"/>
      <c r="G212" s="68"/>
      <c r="H212" s="68"/>
      <c r="I212" s="70"/>
      <c r="J212" s="68"/>
      <c r="K212" s="343"/>
      <c r="L212" s="70"/>
      <c r="M212" s="338"/>
      <c r="N212" s="353"/>
      <c r="O212" s="334"/>
      <c r="P212" s="74"/>
    </row>
    <row r="213">
      <c r="A213" s="385"/>
      <c r="B213" s="342"/>
      <c r="C213" s="64"/>
      <c r="D213" s="68"/>
      <c r="E213" s="86"/>
      <c r="F213" s="71"/>
      <c r="G213" s="71"/>
      <c r="H213" s="342"/>
      <c r="I213" s="338"/>
      <c r="J213" s="68"/>
      <c r="K213" s="343"/>
      <c r="L213" s="338"/>
      <c r="M213" s="338"/>
      <c r="N213" s="372"/>
      <c r="O213" s="304"/>
      <c r="P213" s="74"/>
    </row>
    <row r="214">
      <c r="A214" s="289"/>
      <c r="B214" s="342"/>
      <c r="C214" s="64"/>
      <c r="D214" s="68"/>
      <c r="E214" s="86"/>
      <c r="F214" s="71"/>
      <c r="G214" s="68"/>
      <c r="H214" s="71"/>
      <c r="I214" s="338"/>
      <c r="J214" s="358"/>
      <c r="K214" s="343"/>
      <c r="L214" s="338"/>
      <c r="M214" s="338"/>
      <c r="N214" s="380"/>
      <c r="O214" s="304"/>
      <c r="P214" s="74"/>
    </row>
    <row r="215">
      <c r="A215" s="289"/>
      <c r="B215" s="342"/>
      <c r="C215" s="64"/>
      <c r="D215" s="68"/>
      <c r="E215" s="86"/>
      <c r="F215" s="71"/>
      <c r="G215" s="71"/>
      <c r="H215" s="342"/>
      <c r="I215" s="338"/>
      <c r="J215" s="68"/>
      <c r="K215" s="343"/>
      <c r="L215" s="338"/>
      <c r="M215" s="338"/>
      <c r="N215" s="382"/>
      <c r="O215" s="304"/>
      <c r="P215" s="74"/>
    </row>
    <row r="216">
      <c r="A216" s="289"/>
      <c r="B216" s="342"/>
      <c r="C216" s="64"/>
      <c r="D216" s="68"/>
      <c r="E216" s="86"/>
      <c r="F216" s="71"/>
      <c r="G216" s="68"/>
      <c r="H216" s="358"/>
      <c r="I216" s="338"/>
      <c r="J216" s="358"/>
      <c r="K216" s="343"/>
      <c r="L216" s="338"/>
      <c r="M216" s="338"/>
      <c r="N216" s="382"/>
      <c r="O216" s="345"/>
      <c r="P216" s="74"/>
    </row>
    <row r="217">
      <c r="A217" s="289"/>
      <c r="B217" s="342"/>
      <c r="C217" s="64"/>
      <c r="D217" s="68"/>
      <c r="E217" s="86"/>
      <c r="F217" s="71"/>
      <c r="G217" s="68"/>
      <c r="H217" s="342"/>
      <c r="I217" s="342"/>
      <c r="J217" s="68"/>
      <c r="K217" s="69"/>
      <c r="L217" s="338"/>
      <c r="M217" s="71"/>
      <c r="N217" s="363"/>
      <c r="O217" s="304"/>
      <c r="P217" s="74"/>
    </row>
    <row r="218">
      <c r="A218" s="237"/>
      <c r="B218" s="339"/>
      <c r="C218" s="64"/>
      <c r="D218" s="68"/>
      <c r="E218" s="86"/>
      <c r="F218" s="68"/>
      <c r="G218" s="68"/>
      <c r="H218" s="68"/>
      <c r="I218" s="70"/>
      <c r="J218" s="68"/>
      <c r="K218" s="69"/>
      <c r="L218" s="70"/>
      <c r="M218" s="71"/>
      <c r="N218" s="331"/>
      <c r="O218" s="73"/>
      <c r="P218" s="74"/>
    </row>
    <row r="219">
      <c r="A219" s="386"/>
      <c r="B219" s="358"/>
      <c r="C219" s="64"/>
      <c r="D219" s="68"/>
      <c r="E219" s="86"/>
      <c r="F219" s="339"/>
      <c r="G219" s="358"/>
      <c r="H219" s="358"/>
      <c r="I219" s="70"/>
      <c r="J219" s="68"/>
      <c r="K219" s="343"/>
      <c r="L219" s="70"/>
      <c r="M219" s="338"/>
      <c r="N219" s="336"/>
      <c r="O219" s="336"/>
      <c r="P219" s="74"/>
    </row>
    <row r="220">
      <c r="A220" s="386"/>
      <c r="B220" s="70"/>
      <c r="C220" s="64"/>
      <c r="D220" s="68"/>
      <c r="E220" s="86"/>
      <c r="F220" s="339"/>
      <c r="G220" s="358"/>
      <c r="H220" s="358"/>
      <c r="I220" s="70"/>
      <c r="J220" s="358"/>
      <c r="K220" s="343"/>
      <c r="L220" s="70"/>
      <c r="M220" s="71"/>
      <c r="N220" s="334"/>
      <c r="O220" s="341"/>
      <c r="P220" s="74"/>
    </row>
    <row r="221">
      <c r="A221" s="62"/>
      <c r="B221" s="70"/>
      <c r="C221" s="64"/>
      <c r="D221" s="68"/>
      <c r="E221" s="86"/>
      <c r="F221" s="68"/>
      <c r="G221" s="68"/>
      <c r="H221" s="358"/>
      <c r="I221" s="358"/>
      <c r="J221" s="68"/>
      <c r="K221" s="343"/>
      <c r="L221" s="70"/>
      <c r="M221" s="338"/>
      <c r="N221" s="336"/>
      <c r="O221" s="341"/>
      <c r="P221" s="74"/>
    </row>
    <row r="222">
      <c r="A222" s="62"/>
      <c r="B222" s="365"/>
      <c r="C222" s="64"/>
      <c r="D222" s="68"/>
      <c r="E222" s="86"/>
      <c r="F222" s="68"/>
      <c r="G222" s="68"/>
      <c r="H222" s="331"/>
      <c r="I222" s="70"/>
      <c r="J222" s="68"/>
      <c r="K222" s="343"/>
      <c r="L222" s="70"/>
      <c r="M222" s="71"/>
      <c r="N222" s="334"/>
      <c r="O222" s="341"/>
      <c r="P222" s="74"/>
    </row>
    <row r="223">
      <c r="A223" s="289"/>
      <c r="B223" s="338"/>
      <c r="C223" s="64"/>
      <c r="D223" s="68"/>
      <c r="E223" s="86"/>
      <c r="F223" s="71"/>
      <c r="G223" s="71"/>
      <c r="H223" s="342"/>
      <c r="I223" s="338"/>
      <c r="J223" s="68"/>
      <c r="K223" s="343"/>
      <c r="L223" s="338"/>
      <c r="M223" s="338"/>
      <c r="N223" s="344"/>
      <c r="O223" s="304"/>
      <c r="P223" s="74"/>
    </row>
    <row r="224">
      <c r="A224" s="386"/>
      <c r="B224" s="338"/>
      <c r="C224" s="64"/>
      <c r="D224" s="68"/>
      <c r="E224" s="86"/>
      <c r="F224" s="68"/>
      <c r="G224" s="68"/>
      <c r="H224" s="358"/>
      <c r="I224" s="70"/>
      <c r="J224" s="68"/>
      <c r="K224" s="343"/>
      <c r="L224" s="70"/>
      <c r="M224" s="338"/>
      <c r="N224" s="336"/>
      <c r="O224" s="336"/>
      <c r="P224" s="74"/>
    </row>
    <row r="225">
      <c r="A225" s="387"/>
      <c r="B225" s="70"/>
      <c r="C225" s="64"/>
      <c r="D225" s="68"/>
      <c r="E225" s="86"/>
      <c r="F225" s="68"/>
      <c r="G225" s="358"/>
      <c r="H225" s="358"/>
      <c r="I225" s="358"/>
      <c r="J225" s="358"/>
      <c r="K225" s="69"/>
      <c r="L225" s="70"/>
      <c r="M225" s="71"/>
      <c r="N225" s="334"/>
      <c r="O225" s="341"/>
      <c r="P225" s="74"/>
    </row>
    <row r="226">
      <c r="A226" s="383"/>
      <c r="B226" s="338"/>
      <c r="C226" s="64"/>
      <c r="D226" s="68"/>
      <c r="E226" s="86"/>
      <c r="F226" s="71"/>
      <c r="G226" s="342"/>
      <c r="H226" s="342"/>
      <c r="I226" s="338"/>
      <c r="J226" s="68"/>
      <c r="K226" s="343"/>
      <c r="L226" s="338"/>
      <c r="M226" s="338"/>
      <c r="N226" s="344"/>
      <c r="O226" s="304"/>
      <c r="P226" s="74"/>
    </row>
    <row r="227">
      <c r="A227" s="387"/>
      <c r="B227" s="70"/>
      <c r="C227" s="64"/>
      <c r="D227" s="68"/>
      <c r="E227" s="86"/>
      <c r="F227" s="68"/>
      <c r="G227" s="68"/>
      <c r="H227" s="358"/>
      <c r="I227" s="70"/>
      <c r="J227" s="358"/>
      <c r="K227" s="343"/>
      <c r="L227" s="70"/>
      <c r="M227" s="338"/>
      <c r="N227" s="336"/>
      <c r="O227" s="341"/>
      <c r="P227" s="74"/>
    </row>
    <row r="228">
      <c r="A228" s="289"/>
      <c r="B228" s="338"/>
      <c r="C228" s="64"/>
      <c r="D228" s="68"/>
      <c r="E228" s="86"/>
      <c r="F228" s="71"/>
      <c r="G228" s="68"/>
      <c r="H228" s="342"/>
      <c r="I228" s="342"/>
      <c r="J228" s="68"/>
      <c r="K228" s="69"/>
      <c r="L228" s="338"/>
      <c r="M228" s="338"/>
      <c r="N228" s="344"/>
      <c r="O228" s="304"/>
      <c r="P228" s="74"/>
    </row>
    <row r="229">
      <c r="A229" s="386"/>
      <c r="B229" s="70"/>
      <c r="C229" s="64"/>
      <c r="D229" s="68"/>
      <c r="E229" s="86"/>
      <c r="F229" s="68"/>
      <c r="G229" s="358"/>
      <c r="H229" s="358"/>
      <c r="I229" s="358"/>
      <c r="J229" s="358"/>
      <c r="K229" s="343"/>
      <c r="L229" s="70"/>
      <c r="M229" s="338"/>
      <c r="N229" s="336"/>
      <c r="O229" s="341"/>
      <c r="P229" s="74"/>
    </row>
    <row r="230">
      <c r="A230" s="62"/>
      <c r="B230" s="68"/>
      <c r="C230" s="64"/>
      <c r="D230" s="68"/>
      <c r="E230" s="86"/>
      <c r="F230" s="68"/>
      <c r="G230" s="68"/>
      <c r="H230" s="357"/>
      <c r="I230" s="70"/>
      <c r="J230" s="68"/>
      <c r="K230" s="343"/>
      <c r="L230" s="337"/>
      <c r="M230" s="338"/>
      <c r="N230" s="334"/>
      <c r="O230" s="341"/>
      <c r="P230" s="74"/>
    </row>
    <row r="231">
      <c r="A231" s="386"/>
      <c r="B231" s="338"/>
      <c r="C231" s="64"/>
      <c r="D231" s="68"/>
      <c r="E231" s="86"/>
      <c r="F231" s="68"/>
      <c r="G231" s="358"/>
      <c r="H231" s="358"/>
      <c r="I231" s="70"/>
      <c r="J231" s="68"/>
      <c r="K231" s="343"/>
      <c r="L231" s="70"/>
      <c r="M231" s="71"/>
      <c r="N231" s="336"/>
      <c r="O231" s="336"/>
      <c r="P231" s="74"/>
    </row>
    <row r="232">
      <c r="A232" s="386"/>
      <c r="B232" s="338"/>
      <c r="C232" s="64"/>
      <c r="D232" s="68"/>
      <c r="E232" s="86"/>
      <c r="F232" s="68"/>
      <c r="G232" s="68"/>
      <c r="H232" s="358"/>
      <c r="I232" s="70"/>
      <c r="J232" s="68"/>
      <c r="K232" s="343"/>
      <c r="L232" s="70"/>
      <c r="M232" s="338"/>
      <c r="N232" s="336"/>
      <c r="O232" s="341"/>
      <c r="P232" s="74"/>
    </row>
    <row r="233">
      <c r="A233" s="288"/>
      <c r="B233" s="338"/>
      <c r="C233" s="64"/>
      <c r="D233" s="68"/>
      <c r="E233" s="86"/>
      <c r="F233" s="71"/>
      <c r="G233" s="342"/>
      <c r="H233" s="342"/>
      <c r="I233" s="342"/>
      <c r="J233" s="358"/>
      <c r="K233" s="343"/>
      <c r="L233" s="338"/>
      <c r="M233" s="338"/>
      <c r="N233" s="344"/>
      <c r="O233" s="304"/>
      <c r="P233" s="74"/>
    </row>
    <row r="234">
      <c r="A234" s="289"/>
      <c r="B234" s="338"/>
      <c r="C234" s="64"/>
      <c r="D234" s="68"/>
      <c r="E234" s="86"/>
      <c r="F234" s="71"/>
      <c r="G234" s="342"/>
      <c r="H234" s="342"/>
      <c r="I234" s="342"/>
      <c r="J234" s="68"/>
      <c r="K234" s="343"/>
      <c r="L234" s="338"/>
      <c r="M234" s="338"/>
      <c r="N234" s="344"/>
      <c r="O234" s="304"/>
      <c r="P234" s="74"/>
    </row>
    <row r="235">
      <c r="A235" s="289"/>
      <c r="B235" s="338"/>
      <c r="C235" s="64"/>
      <c r="D235" s="68"/>
      <c r="E235" s="86"/>
      <c r="F235" s="71"/>
      <c r="G235" s="68"/>
      <c r="H235" s="342"/>
      <c r="I235" s="338"/>
      <c r="J235" s="68"/>
      <c r="K235" s="343"/>
      <c r="L235" s="338"/>
      <c r="M235" s="338"/>
      <c r="N235" s="344"/>
      <c r="O235" s="304"/>
      <c r="P235" s="74"/>
    </row>
    <row r="236">
      <c r="A236" s="386"/>
      <c r="B236" s="70"/>
      <c r="C236" s="64"/>
      <c r="D236" s="68"/>
      <c r="E236" s="86"/>
      <c r="F236" s="68"/>
      <c r="G236" s="68"/>
      <c r="H236" s="358"/>
      <c r="I236" s="70"/>
      <c r="J236" s="358"/>
      <c r="K236" s="343"/>
      <c r="L236" s="70"/>
      <c r="M236" s="338"/>
      <c r="N236" s="336"/>
      <c r="O236" s="341"/>
      <c r="P236" s="74"/>
    </row>
    <row r="237">
      <c r="A237" s="386"/>
      <c r="B237" s="70"/>
      <c r="C237" s="64"/>
      <c r="D237" s="68"/>
      <c r="E237" s="86"/>
      <c r="F237" s="68"/>
      <c r="G237" s="358"/>
      <c r="H237" s="358"/>
      <c r="I237" s="70"/>
      <c r="J237" s="68"/>
      <c r="K237" s="343"/>
      <c r="L237" s="70"/>
      <c r="M237" s="338"/>
      <c r="N237" s="336"/>
      <c r="O237" s="341"/>
      <c r="P237" s="74"/>
    </row>
    <row r="238">
      <c r="A238" s="386"/>
      <c r="B238" s="358"/>
      <c r="C238" s="64"/>
      <c r="D238" s="68"/>
      <c r="E238" s="86"/>
      <c r="F238" s="68"/>
      <c r="G238" s="68"/>
      <c r="H238" s="358"/>
      <c r="I238" s="358"/>
      <c r="J238" s="68"/>
      <c r="K238" s="69"/>
      <c r="L238" s="70"/>
      <c r="M238" s="71"/>
      <c r="N238" s="334"/>
      <c r="O238" s="341"/>
      <c r="P238" s="74"/>
    </row>
    <row r="239">
      <c r="A239" s="289"/>
      <c r="B239" s="70"/>
      <c r="C239" s="64"/>
      <c r="D239" s="68"/>
      <c r="E239" s="86"/>
      <c r="F239" s="68"/>
      <c r="G239" s="68"/>
      <c r="H239" s="68"/>
      <c r="I239" s="358"/>
      <c r="J239" s="68"/>
      <c r="K239" s="343"/>
      <c r="L239" s="338"/>
      <c r="M239" s="71"/>
      <c r="N239" s="363"/>
      <c r="O239" s="344"/>
      <c r="P239" s="74"/>
    </row>
    <row r="240">
      <c r="A240" s="388"/>
      <c r="B240" s="389"/>
      <c r="C240" s="390"/>
      <c r="D240" s="391"/>
      <c r="E240" s="392"/>
      <c r="F240" s="391"/>
      <c r="G240" s="391"/>
      <c r="H240" s="393"/>
      <c r="I240" s="394"/>
      <c r="J240" s="391"/>
      <c r="K240" s="395"/>
      <c r="L240" s="396"/>
      <c r="M240" s="389"/>
      <c r="N240" s="397"/>
      <c r="O240" s="398"/>
      <c r="P240" s="74"/>
    </row>
    <row r="241">
      <c r="A241" s="386"/>
      <c r="B241" s="358"/>
      <c r="C241" s="64"/>
      <c r="D241" s="68"/>
      <c r="E241" s="86"/>
      <c r="F241" s="339"/>
      <c r="G241" s="358"/>
      <c r="H241" s="358"/>
      <c r="I241" s="70"/>
      <c r="J241" s="358"/>
      <c r="K241" s="343"/>
      <c r="L241" s="70"/>
      <c r="M241" s="331"/>
      <c r="N241" s="336"/>
      <c r="O241" s="334"/>
      <c r="P241" s="74"/>
    </row>
    <row r="242">
      <c r="A242" s="386"/>
      <c r="B242" s="358"/>
      <c r="C242" s="347"/>
      <c r="D242" s="68"/>
      <c r="E242" s="86"/>
      <c r="F242" s="68"/>
      <c r="G242" s="358"/>
      <c r="H242" s="358"/>
      <c r="I242" s="70"/>
      <c r="J242" s="358"/>
      <c r="K242" s="343"/>
      <c r="L242" s="70"/>
      <c r="M242" s="331"/>
      <c r="N242" s="336"/>
      <c r="O242" s="336"/>
      <c r="P242" s="74"/>
    </row>
    <row r="243">
      <c r="A243" s="386"/>
      <c r="B243" s="358"/>
      <c r="C243" s="64"/>
      <c r="D243" s="68"/>
      <c r="E243" s="86"/>
      <c r="F243" s="68"/>
      <c r="G243" s="358"/>
      <c r="H243" s="358"/>
      <c r="I243" s="70"/>
      <c r="J243" s="68"/>
      <c r="K243" s="343"/>
      <c r="L243" s="70"/>
      <c r="M243" s="71"/>
      <c r="N243" s="344"/>
      <c r="O243" s="336"/>
      <c r="P243" s="74"/>
    </row>
    <row r="244">
      <c r="A244" s="62"/>
      <c r="B244" s="68"/>
      <c r="C244" s="64"/>
      <c r="D244" s="68"/>
      <c r="E244" s="86"/>
      <c r="F244" s="68"/>
      <c r="G244" s="68"/>
      <c r="H244" s="68"/>
      <c r="I244" s="70"/>
      <c r="J244" s="68"/>
      <c r="K244" s="69"/>
      <c r="L244" s="70"/>
      <c r="M244" s="71"/>
      <c r="N244" s="334"/>
      <c r="O244" s="399"/>
      <c r="P244" s="74"/>
    </row>
    <row r="245">
      <c r="A245" s="386"/>
      <c r="B245" s="70"/>
      <c r="C245" s="64"/>
      <c r="D245" s="68"/>
      <c r="E245" s="86"/>
      <c r="F245" s="339"/>
      <c r="G245" s="358"/>
      <c r="H245" s="358"/>
      <c r="I245" s="70"/>
      <c r="J245" s="68"/>
      <c r="K245" s="343"/>
      <c r="L245" s="70"/>
      <c r="M245" s="71"/>
      <c r="N245" s="334"/>
      <c r="O245" s="341"/>
      <c r="P245" s="74"/>
    </row>
    <row r="246">
      <c r="A246" s="62"/>
      <c r="B246" s="70"/>
      <c r="C246" s="64"/>
      <c r="D246" s="68"/>
      <c r="E246" s="86"/>
      <c r="F246" s="68"/>
      <c r="G246" s="68"/>
      <c r="H246" s="68"/>
      <c r="I246" s="70"/>
      <c r="J246" s="68"/>
      <c r="K246" s="343"/>
      <c r="L246" s="70"/>
      <c r="M246" s="331"/>
      <c r="N246" s="334"/>
      <c r="O246" s="341"/>
      <c r="P246" s="74"/>
    </row>
    <row r="247">
      <c r="A247" s="386"/>
      <c r="B247" s="70"/>
      <c r="C247" s="64"/>
      <c r="D247" s="68"/>
      <c r="E247" s="86"/>
      <c r="F247" s="68"/>
      <c r="G247" s="68"/>
      <c r="H247" s="358"/>
      <c r="I247" s="70"/>
      <c r="J247" s="68"/>
      <c r="K247" s="343"/>
      <c r="L247" s="70"/>
      <c r="M247" s="331"/>
      <c r="N247" s="334"/>
      <c r="O247" s="341"/>
      <c r="P247" s="74"/>
    </row>
    <row r="248">
      <c r="A248" s="386"/>
      <c r="B248" s="70"/>
      <c r="C248" s="64"/>
      <c r="D248" s="68"/>
      <c r="E248" s="86"/>
      <c r="F248" s="68"/>
      <c r="G248" s="358"/>
      <c r="H248" s="68"/>
      <c r="I248" s="70"/>
      <c r="J248" s="358"/>
      <c r="K248" s="343"/>
      <c r="L248" s="70"/>
      <c r="M248" s="331"/>
      <c r="N248" s="334"/>
      <c r="O248" s="341"/>
      <c r="P248" s="74"/>
    </row>
    <row r="249">
      <c r="A249" s="386"/>
      <c r="B249" s="70"/>
      <c r="C249" s="64"/>
      <c r="D249" s="68"/>
      <c r="E249" s="86"/>
      <c r="F249" s="68"/>
      <c r="G249" s="68"/>
      <c r="H249" s="68"/>
      <c r="I249" s="70"/>
      <c r="J249" s="68"/>
      <c r="K249" s="343"/>
      <c r="L249" s="70"/>
      <c r="M249" s="71"/>
      <c r="N249" s="334"/>
      <c r="O249" s="341"/>
      <c r="P249" s="74"/>
    </row>
    <row r="250">
      <c r="A250" s="386"/>
      <c r="B250" s="358"/>
      <c r="C250" s="64"/>
      <c r="D250" s="68"/>
      <c r="E250" s="86"/>
      <c r="F250" s="68"/>
      <c r="G250" s="358"/>
      <c r="H250" s="68"/>
      <c r="I250" s="70"/>
      <c r="J250" s="68"/>
      <c r="K250" s="343"/>
      <c r="L250" s="70"/>
      <c r="M250" s="71"/>
      <c r="N250" s="334"/>
      <c r="O250" s="341"/>
      <c r="P250" s="74"/>
    </row>
    <row r="251">
      <c r="A251" s="386"/>
      <c r="B251" s="338"/>
      <c r="C251" s="64"/>
      <c r="D251" s="68"/>
      <c r="E251" s="86"/>
      <c r="F251" s="68"/>
      <c r="G251" s="68"/>
      <c r="H251" s="68"/>
      <c r="I251" s="358"/>
      <c r="J251" s="68"/>
      <c r="K251" s="343"/>
      <c r="L251" s="70"/>
      <c r="M251" s="338"/>
      <c r="N251" s="336"/>
      <c r="O251" s="336"/>
      <c r="P251" s="74"/>
    </row>
    <row r="252">
      <c r="A252" s="386"/>
      <c r="B252" s="339"/>
      <c r="C252" s="64"/>
      <c r="D252" s="68"/>
      <c r="E252" s="86"/>
      <c r="F252" s="71"/>
      <c r="G252" s="358"/>
      <c r="H252" s="358"/>
      <c r="I252" s="70"/>
      <c r="J252" s="68"/>
      <c r="K252" s="343"/>
      <c r="L252" s="70"/>
      <c r="M252" s="338"/>
      <c r="N252" s="336"/>
      <c r="O252" s="341"/>
      <c r="P252" s="74"/>
    </row>
    <row r="253">
      <c r="A253" s="289"/>
      <c r="B253" s="70"/>
      <c r="C253" s="64"/>
      <c r="D253" s="68"/>
      <c r="E253" s="86"/>
      <c r="F253" s="68"/>
      <c r="G253" s="68"/>
      <c r="H253" s="358"/>
      <c r="I253" s="70"/>
      <c r="J253" s="358"/>
      <c r="K253" s="343"/>
      <c r="L253" s="70"/>
      <c r="M253" s="338"/>
      <c r="N253" s="336"/>
      <c r="O253" s="304"/>
      <c r="P253" s="74"/>
    </row>
    <row r="254">
      <c r="A254" s="386"/>
      <c r="B254" s="339"/>
      <c r="C254" s="64"/>
      <c r="D254" s="68"/>
      <c r="E254" s="86"/>
      <c r="F254" s="68"/>
      <c r="G254" s="68"/>
      <c r="H254" s="358"/>
      <c r="I254" s="358"/>
      <c r="J254" s="358"/>
      <c r="K254" s="343"/>
      <c r="L254" s="70"/>
      <c r="M254" s="338"/>
      <c r="N254" s="334"/>
      <c r="O254" s="341"/>
      <c r="P254" s="74"/>
    </row>
    <row r="255">
      <c r="A255" s="289"/>
      <c r="B255" s="342"/>
      <c r="C255" s="64"/>
      <c r="D255" s="68"/>
      <c r="E255" s="86"/>
      <c r="F255" s="71"/>
      <c r="G255" s="342"/>
      <c r="H255" s="342"/>
      <c r="I255" s="338"/>
      <c r="J255" s="68"/>
      <c r="K255" s="343"/>
      <c r="L255" s="338"/>
      <c r="M255" s="71"/>
      <c r="N255" s="334"/>
      <c r="O255" s="304"/>
      <c r="P255" s="74"/>
    </row>
    <row r="256">
      <c r="A256" s="386"/>
      <c r="B256" s="358"/>
      <c r="C256" s="64"/>
      <c r="D256" s="68"/>
      <c r="E256" s="86"/>
      <c r="F256" s="68"/>
      <c r="G256" s="68"/>
      <c r="H256" s="358"/>
      <c r="I256" s="358"/>
      <c r="J256" s="68"/>
      <c r="K256" s="343"/>
      <c r="L256" s="70"/>
      <c r="M256" s="331"/>
      <c r="N256" s="334"/>
      <c r="O256" s="341"/>
      <c r="P256" s="74"/>
    </row>
    <row r="257">
      <c r="A257" s="289"/>
      <c r="B257" s="342"/>
      <c r="C257" s="64"/>
      <c r="D257" s="68"/>
      <c r="E257" s="86"/>
      <c r="F257" s="71"/>
      <c r="G257" s="342"/>
      <c r="H257" s="342"/>
      <c r="I257" s="343"/>
      <c r="J257" s="68"/>
      <c r="K257" s="343"/>
      <c r="L257" s="338"/>
      <c r="M257" s="71"/>
      <c r="N257" s="363"/>
      <c r="O257" s="304"/>
      <c r="P257" s="74"/>
    </row>
    <row r="258">
      <c r="A258" s="62"/>
      <c r="B258" s="68"/>
      <c r="C258" s="64"/>
      <c r="D258" s="68"/>
      <c r="E258" s="86"/>
      <c r="F258" s="71"/>
      <c r="G258" s="68"/>
      <c r="H258" s="68"/>
      <c r="I258" s="68"/>
      <c r="J258" s="68"/>
      <c r="K258" s="343"/>
      <c r="L258" s="70"/>
      <c r="M258" s="338"/>
      <c r="N258" s="334"/>
      <c r="O258" s="341"/>
      <c r="P258" s="74"/>
    </row>
    <row r="259">
      <c r="A259" s="289"/>
      <c r="B259" s="338"/>
      <c r="C259" s="64"/>
      <c r="D259" s="68"/>
      <c r="E259" s="86"/>
      <c r="F259" s="71"/>
      <c r="G259" s="358"/>
      <c r="H259" s="331"/>
      <c r="I259" s="338"/>
      <c r="J259" s="358"/>
      <c r="K259" s="343"/>
      <c r="L259" s="338"/>
      <c r="M259" s="338"/>
      <c r="N259" s="363"/>
      <c r="O259" s="304"/>
      <c r="P259" s="74"/>
    </row>
    <row r="260">
      <c r="A260" s="386"/>
      <c r="B260" s="358"/>
      <c r="C260" s="64"/>
      <c r="D260" s="68"/>
      <c r="E260" s="86"/>
      <c r="F260" s="68"/>
      <c r="G260" s="358"/>
      <c r="H260" s="358"/>
      <c r="I260" s="70"/>
      <c r="J260" s="358"/>
      <c r="K260" s="343"/>
      <c r="L260" s="70"/>
      <c r="M260" s="331"/>
      <c r="N260" s="334"/>
      <c r="O260" s="336"/>
      <c r="P260" s="74"/>
    </row>
    <row r="261">
      <c r="A261" s="386"/>
      <c r="B261" s="358"/>
      <c r="C261" s="64"/>
      <c r="D261" s="68"/>
      <c r="E261" s="86"/>
      <c r="F261" s="68"/>
      <c r="G261" s="68"/>
      <c r="H261" s="358"/>
      <c r="I261" s="70"/>
      <c r="J261" s="68"/>
      <c r="K261" s="343"/>
      <c r="L261" s="70"/>
      <c r="M261" s="331"/>
      <c r="N261" s="334"/>
      <c r="O261" s="336"/>
      <c r="P261" s="74"/>
    </row>
    <row r="262">
      <c r="A262" s="386"/>
      <c r="B262" s="70"/>
      <c r="C262" s="64"/>
      <c r="D262" s="68"/>
      <c r="E262" s="86"/>
      <c r="F262" s="68"/>
      <c r="G262" s="358"/>
      <c r="H262" s="358"/>
      <c r="I262" s="70"/>
      <c r="J262" s="358"/>
      <c r="K262" s="343"/>
      <c r="L262" s="70"/>
      <c r="M262" s="338"/>
      <c r="N262" s="334"/>
      <c r="O262" s="341"/>
      <c r="P262" s="74"/>
    </row>
    <row r="263">
      <c r="A263" s="386"/>
      <c r="B263" s="358"/>
      <c r="C263" s="64"/>
      <c r="D263" s="68"/>
      <c r="E263" s="86"/>
      <c r="F263" s="68"/>
      <c r="G263" s="358"/>
      <c r="H263" s="358"/>
      <c r="I263" s="70"/>
      <c r="J263" s="358"/>
      <c r="K263" s="343"/>
      <c r="L263" s="70"/>
      <c r="M263" s="338"/>
      <c r="N263" s="334"/>
      <c r="O263" s="341"/>
      <c r="P263" s="74"/>
    </row>
    <row r="264">
      <c r="A264" s="386"/>
      <c r="B264" s="70"/>
      <c r="C264" s="64"/>
      <c r="D264" s="68"/>
      <c r="E264" s="86"/>
      <c r="F264" s="68"/>
      <c r="G264" s="358"/>
      <c r="H264" s="331"/>
      <c r="I264" s="358"/>
      <c r="J264" s="68"/>
      <c r="K264" s="343"/>
      <c r="L264" s="70"/>
      <c r="M264" s="331"/>
      <c r="N264" s="334"/>
      <c r="O264" s="336"/>
      <c r="P264" s="74"/>
    </row>
    <row r="265">
      <c r="A265" s="386"/>
      <c r="B265" s="358"/>
      <c r="C265" s="64"/>
      <c r="D265" s="68"/>
      <c r="E265" s="86"/>
      <c r="F265" s="68"/>
      <c r="G265" s="358"/>
      <c r="H265" s="358"/>
      <c r="I265" s="70"/>
      <c r="J265" s="68"/>
      <c r="K265" s="343"/>
      <c r="L265" s="70"/>
      <c r="M265" s="71"/>
      <c r="N265" s="334"/>
      <c r="O265" s="336"/>
      <c r="P265" s="74"/>
    </row>
    <row r="266">
      <c r="A266" s="386"/>
      <c r="B266" s="70"/>
      <c r="C266" s="64"/>
      <c r="D266" s="68"/>
      <c r="E266" s="86"/>
      <c r="F266" s="78"/>
      <c r="G266" s="358"/>
      <c r="H266" s="358"/>
      <c r="I266" s="70"/>
      <c r="J266" s="358"/>
      <c r="K266" s="343"/>
      <c r="L266" s="70"/>
      <c r="M266" s="338"/>
      <c r="N266" s="334"/>
      <c r="O266" s="341"/>
      <c r="P266" s="74"/>
    </row>
    <row r="267">
      <c r="A267" s="289"/>
      <c r="B267" s="342"/>
      <c r="C267" s="64"/>
      <c r="D267" s="68"/>
      <c r="E267" s="86"/>
      <c r="F267" s="71"/>
      <c r="G267" s="68"/>
      <c r="H267" s="358"/>
      <c r="I267" s="70"/>
      <c r="J267" s="68"/>
      <c r="K267" s="69"/>
      <c r="L267" s="70"/>
      <c r="M267" s="71"/>
      <c r="N267" s="334"/>
      <c r="O267" s="334"/>
      <c r="P267" s="74"/>
    </row>
    <row r="268">
      <c r="A268" s="289"/>
      <c r="B268" s="338"/>
      <c r="C268" s="64"/>
      <c r="D268" s="68"/>
      <c r="E268" s="86"/>
      <c r="F268" s="71"/>
      <c r="G268" s="342"/>
      <c r="H268" s="342"/>
      <c r="I268" s="342"/>
      <c r="J268" s="68"/>
      <c r="K268" s="343"/>
      <c r="L268" s="338"/>
      <c r="M268" s="348"/>
      <c r="N268" s="363"/>
      <c r="O268" s="304"/>
      <c r="P268" s="74"/>
    </row>
    <row r="269">
      <c r="A269" s="289"/>
      <c r="B269" s="338"/>
      <c r="C269" s="64"/>
      <c r="D269" s="68"/>
      <c r="E269" s="86"/>
      <c r="F269" s="71"/>
      <c r="G269" s="342"/>
      <c r="H269" s="342"/>
      <c r="I269" s="342"/>
      <c r="J269" s="68"/>
      <c r="K269" s="69"/>
      <c r="L269" s="338"/>
      <c r="M269" s="338"/>
      <c r="N269" s="363"/>
      <c r="O269" s="344"/>
      <c r="P269" s="74"/>
    </row>
    <row r="270">
      <c r="A270" s="289"/>
      <c r="B270" s="338"/>
      <c r="C270" s="64"/>
      <c r="D270" s="68"/>
      <c r="E270" s="86"/>
      <c r="F270" s="71"/>
      <c r="G270" s="342"/>
      <c r="H270" s="342"/>
      <c r="I270" s="338"/>
      <c r="J270" s="68"/>
      <c r="K270" s="343"/>
      <c r="L270" s="338"/>
      <c r="M270" s="71"/>
      <c r="N270" s="363"/>
      <c r="O270" s="344"/>
      <c r="P270" s="74"/>
    </row>
    <row r="271">
      <c r="A271" s="386"/>
      <c r="B271" s="70"/>
      <c r="C271" s="64"/>
      <c r="D271" s="68"/>
      <c r="E271" s="86"/>
      <c r="F271" s="68"/>
      <c r="G271" s="358"/>
      <c r="H271" s="342"/>
      <c r="I271" s="358"/>
      <c r="J271" s="68"/>
      <c r="K271" s="343"/>
      <c r="L271" s="70"/>
      <c r="M271" s="348"/>
      <c r="N271" s="334"/>
      <c r="O271" s="341"/>
      <c r="P271" s="74"/>
    </row>
    <row r="272">
      <c r="A272" s="386"/>
      <c r="B272" s="70"/>
      <c r="C272" s="64"/>
      <c r="D272" s="68"/>
      <c r="E272" s="86"/>
      <c r="F272" s="68"/>
      <c r="G272" s="358"/>
      <c r="H272" s="358"/>
      <c r="I272" s="358"/>
      <c r="J272" s="68"/>
      <c r="K272" s="343"/>
      <c r="L272" s="70"/>
      <c r="M272" s="71"/>
      <c r="N272" s="334"/>
      <c r="O272" s="345"/>
      <c r="P272" s="74"/>
    </row>
    <row r="273">
      <c r="A273" s="386"/>
      <c r="B273" s="70"/>
      <c r="C273" s="64"/>
      <c r="D273" s="68"/>
      <c r="E273" s="86"/>
      <c r="F273" s="68"/>
      <c r="G273" s="358"/>
      <c r="H273" s="358"/>
      <c r="I273" s="70"/>
      <c r="J273" s="358"/>
      <c r="K273" s="343"/>
      <c r="L273" s="70"/>
      <c r="M273" s="331"/>
      <c r="N273" s="334"/>
      <c r="O273" s="341"/>
      <c r="P273" s="74"/>
    </row>
    <row r="274">
      <c r="A274" s="386"/>
      <c r="B274" s="358"/>
      <c r="C274" s="64"/>
      <c r="D274" s="68"/>
      <c r="E274" s="86"/>
      <c r="F274" s="68"/>
      <c r="G274" s="68"/>
      <c r="H274" s="358"/>
      <c r="I274" s="70"/>
      <c r="J274" s="68"/>
      <c r="K274" s="343"/>
      <c r="L274" s="70"/>
      <c r="M274" s="71"/>
      <c r="N274" s="334"/>
      <c r="O274" s="341"/>
      <c r="P274" s="74"/>
    </row>
    <row r="275">
      <c r="A275" s="289"/>
      <c r="B275" s="342"/>
      <c r="C275" s="64"/>
      <c r="D275" s="68"/>
      <c r="E275" s="86"/>
      <c r="F275" s="68"/>
      <c r="G275" s="68"/>
      <c r="H275" s="358"/>
      <c r="I275" s="70"/>
      <c r="J275" s="68"/>
      <c r="K275" s="343"/>
      <c r="L275" s="338"/>
      <c r="M275" s="71"/>
      <c r="N275" s="363"/>
      <c r="O275" s="344"/>
      <c r="P275" s="74"/>
    </row>
    <row r="276">
      <c r="A276" s="386"/>
      <c r="B276" s="358"/>
      <c r="C276" s="64"/>
      <c r="D276" s="68"/>
      <c r="E276" s="86"/>
      <c r="F276" s="68"/>
      <c r="G276" s="68"/>
      <c r="H276" s="358"/>
      <c r="I276" s="358"/>
      <c r="J276" s="68"/>
      <c r="K276" s="343"/>
      <c r="L276" s="70"/>
      <c r="M276" s="338"/>
      <c r="N276" s="334"/>
      <c r="O276" s="341"/>
      <c r="P276" s="74"/>
    </row>
    <row r="277">
      <c r="A277" s="386"/>
      <c r="B277" s="70"/>
      <c r="C277" s="64"/>
      <c r="D277" s="68"/>
      <c r="E277" s="86"/>
      <c r="F277" s="68"/>
      <c r="G277" s="358"/>
      <c r="H277" s="68"/>
      <c r="I277" s="70"/>
      <c r="J277" s="68"/>
      <c r="K277" s="343"/>
      <c r="L277" s="70"/>
      <c r="M277" s="331"/>
      <c r="N277" s="334"/>
      <c r="O277" s="345"/>
      <c r="P277" s="74"/>
    </row>
    <row r="278">
      <c r="A278" s="289"/>
      <c r="B278" s="358"/>
      <c r="C278" s="64"/>
      <c r="D278" s="68"/>
      <c r="E278" s="86"/>
      <c r="F278" s="68"/>
      <c r="G278" s="68"/>
      <c r="H278" s="68"/>
      <c r="I278" s="70"/>
      <c r="J278" s="68"/>
      <c r="K278" s="343"/>
      <c r="L278" s="338"/>
      <c r="M278" s="71"/>
      <c r="N278" s="363"/>
      <c r="O278" s="304"/>
      <c r="P278" s="74"/>
    </row>
    <row r="279">
      <c r="A279" s="386"/>
      <c r="B279" s="338"/>
      <c r="C279" s="64"/>
      <c r="D279" s="68"/>
      <c r="E279" s="86"/>
      <c r="F279" s="68"/>
      <c r="G279" s="342"/>
      <c r="H279" s="331"/>
      <c r="I279" s="70"/>
      <c r="J279" s="68"/>
      <c r="K279" s="343"/>
      <c r="L279" s="70"/>
      <c r="M279" s="338"/>
      <c r="N279" s="334"/>
      <c r="O279" s="341"/>
      <c r="P279" s="74"/>
    </row>
    <row r="280">
      <c r="A280" s="386"/>
      <c r="B280" s="358"/>
      <c r="C280" s="64"/>
      <c r="D280" s="68"/>
      <c r="E280" s="86"/>
      <c r="F280" s="68"/>
      <c r="G280" s="68"/>
      <c r="H280" s="358"/>
      <c r="I280" s="358"/>
      <c r="J280" s="400"/>
      <c r="K280" s="343"/>
      <c r="L280" s="70"/>
      <c r="M280" s="331"/>
      <c r="N280" s="334"/>
      <c r="O280" s="341"/>
      <c r="P280" s="74"/>
    </row>
    <row r="281">
      <c r="A281" s="289"/>
      <c r="B281" s="342"/>
      <c r="C281" s="64"/>
      <c r="D281" s="68"/>
      <c r="E281" s="86"/>
      <c r="F281" s="71"/>
      <c r="G281" s="342"/>
      <c r="H281" s="342"/>
      <c r="I281" s="338"/>
      <c r="J281" s="68"/>
      <c r="K281" s="343"/>
      <c r="L281" s="338"/>
      <c r="M281" s="71"/>
      <c r="N281" s="363"/>
      <c r="O281" s="304"/>
      <c r="P281" s="74"/>
    </row>
    <row r="282">
      <c r="A282" s="386"/>
      <c r="B282" s="70"/>
      <c r="C282" s="64"/>
      <c r="D282" s="68"/>
      <c r="E282" s="86"/>
      <c r="F282" s="68"/>
      <c r="G282" s="68"/>
      <c r="H282" s="358"/>
      <c r="I282" s="70"/>
      <c r="J282" s="68"/>
      <c r="K282" s="343"/>
      <c r="L282" s="70"/>
      <c r="M282" s="331"/>
      <c r="N282" s="372"/>
      <c r="O282" s="341"/>
      <c r="P282" s="74"/>
    </row>
    <row r="283">
      <c r="A283" s="289"/>
      <c r="B283" s="358"/>
      <c r="C283" s="64"/>
      <c r="D283" s="68"/>
      <c r="E283" s="86"/>
      <c r="F283" s="68"/>
      <c r="G283" s="68"/>
      <c r="H283" s="68"/>
      <c r="I283" s="70"/>
      <c r="J283" s="68"/>
      <c r="K283" s="343"/>
      <c r="L283" s="70"/>
      <c r="M283" s="71"/>
      <c r="N283" s="363"/>
      <c r="O283" s="344"/>
      <c r="P283" s="74"/>
    </row>
    <row r="284">
      <c r="A284" s="386"/>
      <c r="B284" s="70"/>
      <c r="C284" s="64"/>
      <c r="D284" s="68"/>
      <c r="E284" s="86"/>
      <c r="F284" s="339"/>
      <c r="G284" s="358"/>
      <c r="H284" s="358"/>
      <c r="I284" s="70"/>
      <c r="J284" s="68"/>
      <c r="K284" s="343"/>
      <c r="L284" s="70"/>
      <c r="M284" s="338"/>
      <c r="N284" s="334"/>
      <c r="O284" s="341"/>
      <c r="P284" s="74"/>
    </row>
    <row r="285">
      <c r="A285" s="289"/>
      <c r="B285" s="342"/>
      <c r="C285" s="64"/>
      <c r="D285" s="68"/>
      <c r="E285" s="86"/>
      <c r="F285" s="71"/>
      <c r="G285" s="342"/>
      <c r="H285" s="68"/>
      <c r="I285" s="401"/>
      <c r="J285" s="68"/>
      <c r="K285" s="343"/>
      <c r="L285" s="338"/>
      <c r="M285" s="338"/>
      <c r="N285" s="363"/>
      <c r="O285" s="304"/>
      <c r="P285" s="74"/>
    </row>
    <row r="286">
      <c r="A286" s="289"/>
      <c r="B286" s="342"/>
      <c r="C286" s="64"/>
      <c r="D286" s="68"/>
      <c r="E286" s="86"/>
      <c r="F286" s="71"/>
      <c r="G286" s="358"/>
      <c r="H286" s="342"/>
      <c r="I286" s="338"/>
      <c r="J286" s="68"/>
      <c r="K286" s="343"/>
      <c r="L286" s="338"/>
      <c r="M286" s="71"/>
      <c r="N286" s="363"/>
      <c r="O286" s="344"/>
      <c r="P286" s="74"/>
    </row>
    <row r="287">
      <c r="A287" s="386"/>
      <c r="B287" s="70"/>
      <c r="C287" s="64"/>
      <c r="D287" s="68"/>
      <c r="E287" s="86"/>
      <c r="F287" s="68"/>
      <c r="G287" s="358"/>
      <c r="H287" s="358"/>
      <c r="I287" s="70"/>
      <c r="J287" s="358"/>
      <c r="K287" s="343"/>
      <c r="L287" s="70"/>
      <c r="M287" s="338"/>
      <c r="N287" s="334"/>
      <c r="O287" s="336"/>
      <c r="P287" s="74"/>
    </row>
    <row r="288">
      <c r="A288" s="62"/>
      <c r="B288" s="68"/>
      <c r="C288" s="64"/>
      <c r="D288" s="68"/>
      <c r="E288" s="86"/>
      <c r="F288" s="68"/>
      <c r="G288" s="68"/>
      <c r="H288" s="68"/>
      <c r="I288" s="70"/>
      <c r="J288" s="68"/>
      <c r="K288" s="343"/>
      <c r="L288" s="70"/>
      <c r="M288" s="338"/>
      <c r="N288" s="334"/>
      <c r="O288" s="334"/>
      <c r="P288" s="74"/>
    </row>
    <row r="289">
      <c r="A289" s="289"/>
      <c r="B289" s="338"/>
      <c r="C289" s="64"/>
      <c r="D289" s="68"/>
      <c r="E289" s="86"/>
      <c r="F289" s="71"/>
      <c r="G289" s="358"/>
      <c r="H289" s="68"/>
      <c r="I289" s="338"/>
      <c r="J289" s="68"/>
      <c r="K289" s="343"/>
      <c r="L289" s="338"/>
      <c r="M289" s="338"/>
      <c r="N289" s="363"/>
      <c r="O289" s="344"/>
      <c r="P289" s="74"/>
    </row>
    <row r="290">
      <c r="A290" s="386"/>
      <c r="B290" s="70"/>
      <c r="C290" s="64"/>
      <c r="D290" s="68"/>
      <c r="E290" s="86"/>
      <c r="F290" s="68"/>
      <c r="G290" s="358"/>
      <c r="H290" s="358"/>
      <c r="I290" s="70"/>
      <c r="J290" s="358"/>
      <c r="K290" s="343"/>
      <c r="L290" s="70"/>
      <c r="M290" s="338"/>
      <c r="N290" s="334"/>
      <c r="O290" s="341"/>
      <c r="P290" s="74"/>
    </row>
    <row r="291">
      <c r="A291" s="386"/>
      <c r="B291" s="358"/>
      <c r="C291" s="64"/>
      <c r="D291" s="68"/>
      <c r="E291" s="86"/>
      <c r="F291" s="68"/>
      <c r="G291" s="358"/>
      <c r="H291" s="68"/>
      <c r="I291" s="70"/>
      <c r="J291" s="68"/>
      <c r="K291" s="343"/>
      <c r="L291" s="70"/>
      <c r="M291" s="338"/>
      <c r="N291" s="334"/>
      <c r="O291" s="341"/>
      <c r="P291" s="74"/>
    </row>
    <row r="292">
      <c r="A292" s="289"/>
      <c r="B292" s="338"/>
      <c r="C292" s="64"/>
      <c r="D292" s="68"/>
      <c r="E292" s="86"/>
      <c r="F292" s="71"/>
      <c r="G292" s="358"/>
      <c r="H292" s="331"/>
      <c r="I292" s="342"/>
      <c r="J292" s="68"/>
      <c r="K292" s="343"/>
      <c r="L292" s="338"/>
      <c r="M292" s="338"/>
      <c r="N292" s="363"/>
      <c r="O292" s="344"/>
      <c r="P292" s="74"/>
    </row>
    <row r="293">
      <c r="A293" s="386"/>
      <c r="B293" s="338"/>
      <c r="C293" s="64"/>
      <c r="D293" s="68"/>
      <c r="E293" s="86"/>
      <c r="F293" s="68"/>
      <c r="G293" s="358"/>
      <c r="H293" s="358"/>
      <c r="I293" s="70"/>
      <c r="J293" s="68"/>
      <c r="K293" s="343"/>
      <c r="L293" s="70"/>
      <c r="M293" s="338"/>
      <c r="N293" s="334"/>
      <c r="O293" s="341"/>
      <c r="P293" s="74"/>
    </row>
    <row r="294">
      <c r="A294" s="62"/>
      <c r="B294" s="365"/>
      <c r="C294" s="64"/>
      <c r="D294" s="68"/>
      <c r="E294" s="86"/>
      <c r="F294" s="68"/>
      <c r="G294" s="68"/>
      <c r="H294" s="68"/>
      <c r="I294" s="70"/>
      <c r="J294" s="68"/>
      <c r="K294" s="343"/>
      <c r="L294" s="70"/>
      <c r="M294" s="338"/>
      <c r="N294" s="334"/>
      <c r="O294" s="341"/>
      <c r="P294" s="74"/>
    </row>
    <row r="295">
      <c r="A295" s="62"/>
      <c r="B295" s="70"/>
      <c r="C295" s="64"/>
      <c r="D295" s="68"/>
      <c r="E295" s="86"/>
      <c r="F295" s="68"/>
      <c r="G295" s="68"/>
      <c r="H295" s="68"/>
      <c r="I295" s="70"/>
      <c r="J295" s="68"/>
      <c r="K295" s="69"/>
      <c r="L295" s="70"/>
      <c r="M295" s="338"/>
      <c r="N295" s="334"/>
      <c r="O295" s="341"/>
      <c r="P295" s="74"/>
    </row>
    <row r="296">
      <c r="A296" s="289"/>
      <c r="B296" s="358"/>
      <c r="C296" s="64"/>
      <c r="D296" s="68"/>
      <c r="E296" s="86"/>
      <c r="F296" s="68"/>
      <c r="G296" s="68"/>
      <c r="H296" s="68"/>
      <c r="I296" s="70"/>
      <c r="J296" s="68"/>
      <c r="K296" s="343"/>
      <c r="L296" s="338"/>
      <c r="M296" s="71"/>
      <c r="N296" s="363"/>
      <c r="O296" s="304"/>
      <c r="P296" s="74"/>
    </row>
    <row r="297">
      <c r="A297" s="289"/>
      <c r="B297" s="70"/>
      <c r="C297" s="64"/>
      <c r="D297" s="68"/>
      <c r="E297" s="86"/>
      <c r="F297" s="339"/>
      <c r="G297" s="68"/>
      <c r="H297" s="358"/>
      <c r="I297" s="358"/>
      <c r="J297" s="68"/>
      <c r="K297" s="343"/>
      <c r="L297" s="338"/>
      <c r="M297" s="71"/>
      <c r="N297" s="363"/>
      <c r="O297" s="344"/>
      <c r="P297" s="74"/>
    </row>
    <row r="298">
      <c r="A298" s="386"/>
      <c r="B298" s="70"/>
      <c r="C298" s="64"/>
      <c r="D298" s="68"/>
      <c r="E298" s="86"/>
      <c r="F298" s="68"/>
      <c r="G298" s="68"/>
      <c r="H298" s="68"/>
      <c r="I298" s="70"/>
      <c r="J298" s="68"/>
      <c r="K298" s="343"/>
      <c r="L298" s="70"/>
      <c r="M298" s="331"/>
      <c r="N298" s="334"/>
      <c r="O298" s="341"/>
      <c r="P298" s="74"/>
    </row>
    <row r="299">
      <c r="A299" s="386"/>
      <c r="B299" s="358"/>
      <c r="C299" s="64"/>
      <c r="D299" s="68"/>
      <c r="E299" s="86"/>
      <c r="F299" s="68"/>
      <c r="G299" s="358"/>
      <c r="H299" s="358"/>
      <c r="I299" s="70"/>
      <c r="J299" s="68"/>
      <c r="K299" s="343"/>
      <c r="L299" s="70"/>
      <c r="M299" s="71"/>
      <c r="N299" s="334"/>
      <c r="O299" s="341"/>
      <c r="P299" s="74"/>
    </row>
    <row r="300">
      <c r="A300" s="289"/>
      <c r="B300" s="70"/>
      <c r="C300" s="64"/>
      <c r="D300" s="68"/>
      <c r="E300" s="86"/>
      <c r="F300" s="68"/>
      <c r="G300" s="68"/>
      <c r="H300" s="358"/>
      <c r="I300" s="70"/>
      <c r="J300" s="68"/>
      <c r="K300" s="343"/>
      <c r="L300" s="70"/>
      <c r="M300" s="71"/>
      <c r="N300" s="363"/>
      <c r="O300" s="344"/>
      <c r="P300" s="74"/>
    </row>
    <row r="301">
      <c r="A301" s="386"/>
      <c r="B301" s="70"/>
      <c r="C301" s="64"/>
      <c r="D301" s="68"/>
      <c r="E301" s="86"/>
      <c r="F301" s="68"/>
      <c r="G301" s="358"/>
      <c r="H301" s="331"/>
      <c r="I301" s="70"/>
      <c r="J301" s="68"/>
      <c r="K301" s="343"/>
      <c r="L301" s="70"/>
      <c r="M301" s="71"/>
      <c r="N301" s="334"/>
      <c r="O301" s="341"/>
      <c r="P301" s="74"/>
    </row>
    <row r="302">
      <c r="A302" s="386"/>
      <c r="B302" s="70"/>
      <c r="C302" s="64"/>
      <c r="D302" s="68"/>
      <c r="E302" s="86"/>
      <c r="F302" s="68"/>
      <c r="G302" s="68"/>
      <c r="H302" s="68"/>
      <c r="I302" s="358"/>
      <c r="J302" s="68"/>
      <c r="K302" s="343"/>
      <c r="L302" s="70"/>
      <c r="M302" s="71"/>
      <c r="N302" s="334"/>
      <c r="O302" s="341"/>
      <c r="P302" s="74"/>
    </row>
    <row r="303">
      <c r="A303" s="386"/>
      <c r="B303" s="70"/>
      <c r="C303" s="64"/>
      <c r="D303" s="68"/>
      <c r="E303" s="86"/>
      <c r="F303" s="68"/>
      <c r="G303" s="358"/>
      <c r="H303" s="331"/>
      <c r="I303" s="70"/>
      <c r="J303" s="68"/>
      <c r="K303" s="343"/>
      <c r="L303" s="70"/>
      <c r="M303" s="71"/>
      <c r="N303" s="334"/>
      <c r="O303" s="341"/>
      <c r="P303" s="74"/>
    </row>
    <row r="304">
      <c r="A304" s="62"/>
      <c r="B304" s="68"/>
      <c r="C304" s="64"/>
      <c r="D304" s="68"/>
      <c r="E304" s="86"/>
      <c r="F304" s="68"/>
      <c r="G304" s="68"/>
      <c r="H304" s="68"/>
      <c r="I304" s="70"/>
      <c r="J304" s="68"/>
      <c r="K304" s="343"/>
      <c r="L304" s="337"/>
      <c r="M304" s="71"/>
      <c r="N304" s="334"/>
      <c r="O304" s="341"/>
      <c r="P304" s="74"/>
    </row>
    <row r="305">
      <c r="A305" s="386"/>
      <c r="B305" s="70"/>
      <c r="C305" s="64"/>
      <c r="D305" s="68"/>
      <c r="E305" s="86"/>
      <c r="F305" s="68"/>
      <c r="G305" s="358"/>
      <c r="H305" s="358"/>
      <c r="I305" s="358"/>
      <c r="J305" s="358"/>
      <c r="K305" s="343"/>
      <c r="L305" s="70"/>
      <c r="M305" s="71"/>
      <c r="N305" s="334"/>
      <c r="O305" s="341"/>
      <c r="P305" s="74"/>
    </row>
    <row r="306">
      <c r="A306" s="386"/>
      <c r="B306" s="70"/>
      <c r="C306" s="64"/>
      <c r="D306" s="68"/>
      <c r="E306" s="86"/>
      <c r="F306" s="68"/>
      <c r="G306" s="358"/>
      <c r="H306" s="68"/>
      <c r="I306" s="70"/>
      <c r="J306" s="68"/>
      <c r="K306" s="343"/>
      <c r="L306" s="70"/>
      <c r="M306" s="338"/>
      <c r="N306" s="334"/>
      <c r="O306" s="341"/>
      <c r="P306" s="74"/>
    </row>
    <row r="307">
      <c r="A307" s="289"/>
      <c r="B307" s="70"/>
      <c r="C307" s="64"/>
      <c r="D307" s="68"/>
      <c r="E307" s="402"/>
      <c r="F307" s="403"/>
      <c r="G307" s="68"/>
      <c r="H307" s="358"/>
      <c r="I307" s="70"/>
      <c r="J307" s="68"/>
      <c r="K307" s="343"/>
      <c r="L307" s="70"/>
      <c r="M307" s="71"/>
      <c r="N307" s="334"/>
      <c r="O307" s="341"/>
      <c r="P307" s="74"/>
    </row>
    <row r="308">
      <c r="A308" s="386"/>
      <c r="B308" s="68"/>
      <c r="C308" s="64"/>
      <c r="D308" s="68"/>
      <c r="E308" s="86"/>
      <c r="F308" s="68"/>
      <c r="G308" s="358"/>
      <c r="H308" s="68"/>
      <c r="I308" s="70"/>
      <c r="J308" s="400"/>
      <c r="K308" s="343"/>
      <c r="L308" s="70"/>
      <c r="M308" s="331"/>
      <c r="N308" s="334"/>
      <c r="O308" s="341"/>
      <c r="P308" s="74"/>
    </row>
    <row r="309">
      <c r="A309" s="62"/>
      <c r="B309" s="70"/>
      <c r="C309" s="64"/>
      <c r="D309" s="68"/>
      <c r="E309" s="86"/>
      <c r="F309" s="68"/>
      <c r="G309" s="358"/>
      <c r="H309" s="358"/>
      <c r="I309" s="70"/>
      <c r="J309" s="358"/>
      <c r="K309" s="343"/>
      <c r="L309" s="70"/>
      <c r="M309" s="331"/>
      <c r="N309" s="334"/>
      <c r="O309" s="341"/>
      <c r="P309" s="74"/>
    </row>
    <row r="310">
      <c r="A310" s="289"/>
      <c r="B310" s="70"/>
      <c r="C310" s="64"/>
      <c r="D310" s="68"/>
      <c r="E310" s="86"/>
      <c r="F310" s="68"/>
      <c r="G310" s="68"/>
      <c r="H310" s="358"/>
      <c r="I310" s="70"/>
      <c r="J310" s="68"/>
      <c r="K310" s="343"/>
      <c r="L310" s="70"/>
      <c r="M310" s="331"/>
      <c r="N310" s="334"/>
      <c r="O310" s="341"/>
      <c r="P310" s="74"/>
    </row>
    <row r="311">
      <c r="A311" s="404"/>
      <c r="B311" s="358"/>
      <c r="C311" s="64"/>
      <c r="D311" s="68"/>
      <c r="E311" s="86"/>
      <c r="F311" s="68"/>
      <c r="G311" s="358"/>
      <c r="H311" s="358"/>
      <c r="I311" s="70"/>
      <c r="J311" s="358"/>
      <c r="K311" s="343"/>
      <c r="L311" s="70"/>
      <c r="M311" s="348"/>
      <c r="N311" s="363"/>
      <c r="O311" s="341"/>
      <c r="P311" s="74"/>
    </row>
    <row r="312">
      <c r="A312" s="386"/>
      <c r="B312" s="358"/>
      <c r="C312" s="64"/>
      <c r="D312" s="68"/>
      <c r="E312" s="86"/>
      <c r="F312" s="68"/>
      <c r="G312" s="358"/>
      <c r="H312" s="358"/>
      <c r="I312" s="70"/>
      <c r="J312" s="358"/>
      <c r="K312" s="343"/>
      <c r="L312" s="70"/>
      <c r="M312" s="338"/>
      <c r="N312" s="334"/>
      <c r="O312" s="341"/>
      <c r="P312" s="74"/>
    </row>
    <row r="313">
      <c r="A313" s="386"/>
      <c r="B313" s="70"/>
      <c r="C313" s="64"/>
      <c r="D313" s="68"/>
      <c r="E313" s="86"/>
      <c r="F313" s="68"/>
      <c r="G313" s="358"/>
      <c r="H313" s="358"/>
      <c r="I313" s="70"/>
      <c r="J313" s="68"/>
      <c r="K313" s="343"/>
      <c r="L313" s="70"/>
      <c r="M313" s="71"/>
      <c r="N313" s="334"/>
      <c r="O313" s="341"/>
      <c r="P313" s="74"/>
    </row>
    <row r="314">
      <c r="A314" s="386"/>
      <c r="B314" s="70"/>
      <c r="C314" s="64"/>
      <c r="D314" s="68"/>
      <c r="E314" s="86"/>
      <c r="F314" s="68"/>
      <c r="G314" s="68"/>
      <c r="H314" s="358"/>
      <c r="I314" s="70"/>
      <c r="J314" s="68"/>
      <c r="K314" s="343"/>
      <c r="L314" s="70"/>
      <c r="M314" s="71"/>
      <c r="N314" s="334"/>
      <c r="O314" s="341"/>
      <c r="P314" s="74"/>
    </row>
    <row r="315">
      <c r="A315" s="386"/>
      <c r="B315" s="70"/>
      <c r="C315" s="64"/>
      <c r="D315" s="68"/>
      <c r="E315" s="86"/>
      <c r="F315" s="68"/>
      <c r="G315" s="358"/>
      <c r="H315" s="358"/>
      <c r="I315" s="358"/>
      <c r="J315" s="358"/>
      <c r="K315" s="343"/>
      <c r="L315" s="70"/>
      <c r="M315" s="71"/>
      <c r="N315" s="334"/>
      <c r="O315" s="341"/>
      <c r="P315" s="74"/>
    </row>
    <row r="316">
      <c r="A316" s="289"/>
      <c r="B316" s="70"/>
      <c r="C316" s="64"/>
      <c r="D316" s="68"/>
      <c r="E316" s="86"/>
      <c r="F316" s="68"/>
      <c r="G316" s="68"/>
      <c r="H316" s="358"/>
      <c r="I316" s="70"/>
      <c r="J316" s="68"/>
      <c r="K316" s="343"/>
      <c r="L316" s="70"/>
      <c r="M316" s="331"/>
      <c r="N316" s="334"/>
      <c r="O316" s="344"/>
      <c r="P316" s="74"/>
    </row>
    <row r="317">
      <c r="A317" s="386"/>
      <c r="B317" s="70"/>
      <c r="C317" s="64"/>
      <c r="D317" s="68"/>
      <c r="E317" s="86"/>
      <c r="F317" s="68"/>
      <c r="G317" s="68"/>
      <c r="H317" s="358"/>
      <c r="I317" s="70"/>
      <c r="J317" s="68"/>
      <c r="K317" s="343"/>
      <c r="L317" s="70"/>
      <c r="M317" s="71"/>
      <c r="N317" s="334"/>
      <c r="O317" s="341"/>
      <c r="P317" s="74"/>
    </row>
    <row r="318">
      <c r="A318" s="386"/>
      <c r="B318" s="342"/>
      <c r="C318" s="64"/>
      <c r="D318" s="68"/>
      <c r="E318" s="86"/>
      <c r="F318" s="68"/>
      <c r="G318" s="68"/>
      <c r="H318" s="68"/>
      <c r="I318" s="70"/>
      <c r="J318" s="400"/>
      <c r="K318" s="343"/>
      <c r="L318" s="70"/>
      <c r="M318" s="71"/>
      <c r="N318" s="334"/>
      <c r="O318" s="336"/>
      <c r="P318" s="74"/>
    </row>
    <row r="319">
      <c r="A319" s="289"/>
      <c r="B319" s="358"/>
      <c r="C319" s="64"/>
      <c r="D319" s="68"/>
      <c r="E319" s="86"/>
      <c r="F319" s="339"/>
      <c r="G319" s="68"/>
      <c r="H319" s="68"/>
      <c r="I319" s="70"/>
      <c r="J319" s="68"/>
      <c r="K319" s="343"/>
      <c r="L319" s="338"/>
      <c r="M319" s="71"/>
      <c r="N319" s="363"/>
      <c r="O319" s="344"/>
      <c r="P319" s="74"/>
    </row>
    <row r="320">
      <c r="A320" s="289"/>
      <c r="B320" s="70"/>
      <c r="C320" s="64"/>
      <c r="D320" s="68"/>
      <c r="E320" s="86"/>
      <c r="F320" s="68"/>
      <c r="G320" s="68"/>
      <c r="H320" s="68"/>
      <c r="I320" s="70"/>
      <c r="J320" s="68"/>
      <c r="K320" s="343"/>
      <c r="L320" s="338"/>
      <c r="M320" s="71"/>
      <c r="N320" s="363"/>
      <c r="O320" s="344"/>
      <c r="P320" s="74"/>
    </row>
    <row r="321">
      <c r="A321" s="386"/>
      <c r="B321" s="358"/>
      <c r="C321" s="64"/>
      <c r="D321" s="68"/>
      <c r="E321" s="86"/>
      <c r="F321" s="68"/>
      <c r="G321" s="68"/>
      <c r="H321" s="68"/>
      <c r="I321" s="358"/>
      <c r="J321" s="68"/>
      <c r="K321" s="343"/>
      <c r="L321" s="70"/>
      <c r="M321" s="331"/>
      <c r="N321" s="334"/>
      <c r="O321" s="341"/>
      <c r="P321" s="74"/>
    </row>
    <row r="322">
      <c r="A322" s="289"/>
      <c r="B322" s="70"/>
      <c r="C322" s="64"/>
      <c r="D322" s="68"/>
      <c r="E322" s="86"/>
      <c r="F322" s="68"/>
      <c r="G322" s="358"/>
      <c r="H322" s="358"/>
      <c r="I322" s="70"/>
      <c r="J322" s="358"/>
      <c r="K322" s="343"/>
      <c r="L322" s="70"/>
      <c r="M322" s="338"/>
      <c r="N322" s="334"/>
      <c r="O322" s="341"/>
      <c r="P322" s="74"/>
    </row>
    <row r="323">
      <c r="A323" s="386"/>
      <c r="B323" s="70"/>
      <c r="C323" s="64"/>
      <c r="D323" s="68"/>
      <c r="E323" s="86"/>
      <c r="F323" s="68"/>
      <c r="G323" s="358"/>
      <c r="H323" s="358"/>
      <c r="I323" s="70"/>
      <c r="J323" s="68"/>
      <c r="K323" s="343"/>
      <c r="L323" s="70"/>
      <c r="M323" s="71"/>
      <c r="N323" s="334"/>
      <c r="O323" s="341"/>
      <c r="P323" s="74"/>
    </row>
    <row r="324">
      <c r="A324" s="386"/>
      <c r="B324" s="338"/>
      <c r="C324" s="64"/>
      <c r="D324" s="68"/>
      <c r="E324" s="86"/>
      <c r="F324" s="68"/>
      <c r="G324" s="358"/>
      <c r="H324" s="68"/>
      <c r="I324" s="358"/>
      <c r="J324" s="68"/>
      <c r="K324" s="343"/>
      <c r="L324" s="70"/>
      <c r="M324" s="71"/>
      <c r="N324" s="334"/>
      <c r="O324" s="341"/>
      <c r="P324" s="74"/>
    </row>
    <row r="325">
      <c r="A325" s="386"/>
      <c r="B325" s="358"/>
      <c r="C325" s="64"/>
      <c r="D325" s="68"/>
      <c r="E325" s="86"/>
      <c r="F325" s="68"/>
      <c r="G325" s="358"/>
      <c r="H325" s="68"/>
      <c r="I325" s="358"/>
      <c r="J325" s="68"/>
      <c r="K325" s="343"/>
      <c r="L325" s="70"/>
      <c r="M325" s="331"/>
      <c r="N325" s="334"/>
      <c r="O325" s="341"/>
      <c r="P325" s="74"/>
    </row>
    <row r="326">
      <c r="A326" s="386"/>
      <c r="B326" s="70"/>
      <c r="C326" s="64"/>
      <c r="D326" s="68"/>
      <c r="E326" s="86"/>
      <c r="F326" s="68"/>
      <c r="G326" s="358"/>
      <c r="H326" s="68"/>
      <c r="I326" s="70"/>
      <c r="J326" s="68"/>
      <c r="K326" s="343"/>
      <c r="L326" s="70"/>
      <c r="M326" s="71"/>
      <c r="N326" s="334"/>
      <c r="O326" s="341"/>
      <c r="P326" s="74"/>
    </row>
    <row r="327">
      <c r="A327" s="386"/>
      <c r="B327" s="331"/>
      <c r="C327" s="64"/>
      <c r="D327" s="68"/>
      <c r="E327" s="86"/>
      <c r="F327" s="68"/>
      <c r="G327" s="358"/>
      <c r="H327" s="358"/>
      <c r="I327" s="70"/>
      <c r="J327" s="68"/>
      <c r="K327" s="343"/>
      <c r="L327" s="70"/>
      <c r="M327" s="338"/>
      <c r="N327" s="334"/>
      <c r="O327" s="341"/>
      <c r="P327" s="74"/>
    </row>
    <row r="328">
      <c r="A328" s="386"/>
      <c r="B328" s="358"/>
      <c r="C328" s="64"/>
      <c r="D328" s="68"/>
      <c r="E328" s="86"/>
      <c r="F328" s="68"/>
      <c r="G328" s="358"/>
      <c r="H328" s="358"/>
      <c r="I328" s="70"/>
      <c r="J328" s="68"/>
      <c r="K328" s="343"/>
      <c r="L328" s="70"/>
      <c r="M328" s="331"/>
      <c r="N328" s="334"/>
      <c r="O328" s="341"/>
      <c r="P328" s="74"/>
    </row>
    <row r="329">
      <c r="A329" s="386"/>
      <c r="B329" s="331"/>
      <c r="C329" s="64"/>
      <c r="D329" s="68"/>
      <c r="E329" s="86"/>
      <c r="F329" s="68"/>
      <c r="G329" s="358"/>
      <c r="H329" s="358"/>
      <c r="I329" s="70"/>
      <c r="J329" s="68"/>
      <c r="K329" s="343"/>
      <c r="L329" s="70"/>
      <c r="M329" s="71"/>
      <c r="N329" s="334"/>
      <c r="O329" s="341"/>
      <c r="P329" s="74"/>
    </row>
    <row r="330">
      <c r="A330" s="289"/>
      <c r="B330" s="358"/>
      <c r="C330" s="64"/>
      <c r="D330" s="68"/>
      <c r="E330" s="86"/>
      <c r="F330" s="68"/>
      <c r="G330" s="68"/>
      <c r="H330" s="68"/>
      <c r="I330" s="70"/>
      <c r="J330" s="68"/>
      <c r="K330" s="343"/>
      <c r="L330" s="338"/>
      <c r="M330" s="71"/>
      <c r="N330" s="363"/>
      <c r="O330" s="344"/>
      <c r="P330" s="74"/>
    </row>
    <row r="331">
      <c r="A331" s="289"/>
      <c r="B331" s="70"/>
      <c r="C331" s="64"/>
      <c r="D331" s="68"/>
      <c r="E331" s="86"/>
      <c r="F331" s="68"/>
      <c r="G331" s="68"/>
      <c r="H331" s="68"/>
      <c r="I331" s="70"/>
      <c r="J331" s="68"/>
      <c r="K331" s="343"/>
      <c r="L331" s="338"/>
      <c r="M331" s="331"/>
      <c r="N331" s="363"/>
      <c r="O331" s="344"/>
      <c r="P331" s="74"/>
    </row>
    <row r="332">
      <c r="A332" s="386"/>
      <c r="B332" s="358"/>
      <c r="C332" s="64"/>
      <c r="D332" s="68"/>
      <c r="E332" s="86"/>
      <c r="F332" s="68"/>
      <c r="G332" s="68"/>
      <c r="H332" s="68"/>
      <c r="I332" s="70"/>
      <c r="J332" s="68"/>
      <c r="K332" s="343"/>
      <c r="L332" s="70"/>
      <c r="M332" s="71"/>
      <c r="N332" s="334"/>
      <c r="O332" s="341"/>
      <c r="P332" s="74"/>
    </row>
    <row r="333">
      <c r="A333" s="289"/>
      <c r="B333" s="70"/>
      <c r="C333" s="64"/>
      <c r="D333" s="68"/>
      <c r="E333" s="86"/>
      <c r="F333" s="68"/>
      <c r="G333" s="68"/>
      <c r="H333" s="68"/>
      <c r="I333" s="70"/>
      <c r="J333" s="400"/>
      <c r="K333" s="343"/>
      <c r="L333" s="338"/>
      <c r="M333" s="71"/>
      <c r="N333" s="363"/>
      <c r="O333" s="345"/>
      <c r="P333" s="74"/>
    </row>
    <row r="334">
      <c r="A334" s="386"/>
      <c r="B334" s="358"/>
      <c r="C334" s="64"/>
      <c r="D334" s="68"/>
      <c r="E334" s="86"/>
      <c r="F334" s="68"/>
      <c r="G334" s="68"/>
      <c r="H334" s="68"/>
      <c r="I334" s="358"/>
      <c r="J334" s="68"/>
      <c r="K334" s="343"/>
      <c r="L334" s="70"/>
      <c r="M334" s="71"/>
      <c r="N334" s="334"/>
      <c r="O334" s="336"/>
      <c r="P334" s="74"/>
    </row>
    <row r="335">
      <c r="A335" s="386"/>
      <c r="B335" s="342"/>
      <c r="C335" s="64"/>
      <c r="D335" s="68"/>
      <c r="E335" s="86"/>
      <c r="F335" s="71"/>
      <c r="G335" s="358"/>
      <c r="H335" s="358"/>
      <c r="I335" s="358"/>
      <c r="J335" s="68"/>
      <c r="K335" s="343"/>
      <c r="L335" s="70"/>
      <c r="M335" s="338"/>
      <c r="N335" s="334"/>
      <c r="O335" s="341"/>
      <c r="P335" s="74"/>
    </row>
    <row r="336">
      <c r="A336" s="386"/>
      <c r="B336" s="358"/>
      <c r="C336" s="64"/>
      <c r="D336" s="68"/>
      <c r="E336" s="86"/>
      <c r="F336" s="68"/>
      <c r="G336" s="358"/>
      <c r="H336" s="358"/>
      <c r="I336" s="70"/>
      <c r="J336" s="68"/>
      <c r="K336" s="343"/>
      <c r="L336" s="70"/>
      <c r="M336" s="338"/>
      <c r="N336" s="334"/>
      <c r="O336" s="336"/>
      <c r="P336" s="74"/>
    </row>
    <row r="337">
      <c r="A337" s="289"/>
      <c r="B337" s="358"/>
      <c r="C337" s="64"/>
      <c r="D337" s="68"/>
      <c r="E337" s="86"/>
      <c r="F337" s="68"/>
      <c r="G337" s="68"/>
      <c r="H337" s="68"/>
      <c r="I337" s="70"/>
      <c r="J337" s="68"/>
      <c r="K337" s="343"/>
      <c r="L337" s="338"/>
      <c r="M337" s="338"/>
      <c r="N337" s="363"/>
      <c r="O337" s="304"/>
      <c r="P337" s="74"/>
    </row>
    <row r="338">
      <c r="A338" s="386"/>
      <c r="B338" s="70"/>
      <c r="C338" s="64"/>
      <c r="D338" s="68"/>
      <c r="E338" s="86"/>
      <c r="F338" s="68"/>
      <c r="G338" s="358"/>
      <c r="H338" s="358"/>
      <c r="I338" s="70"/>
      <c r="J338" s="68"/>
      <c r="K338" s="343"/>
      <c r="L338" s="70"/>
      <c r="M338" s="331"/>
      <c r="N338" s="334"/>
      <c r="O338" s="341"/>
      <c r="P338" s="74"/>
    </row>
    <row r="339">
      <c r="A339" s="289"/>
      <c r="B339" s="358"/>
      <c r="C339" s="64"/>
      <c r="D339" s="68"/>
      <c r="E339" s="86"/>
      <c r="F339" s="68"/>
      <c r="G339" s="68"/>
      <c r="H339" s="68"/>
      <c r="I339" s="70"/>
      <c r="J339" s="68"/>
      <c r="K339" s="343"/>
      <c r="L339" s="338"/>
      <c r="M339" s="71"/>
      <c r="N339" s="363"/>
      <c r="O339" s="344"/>
      <c r="P339" s="74"/>
    </row>
    <row r="340">
      <c r="A340" s="289"/>
      <c r="B340" s="342"/>
      <c r="C340" s="64"/>
      <c r="D340" s="68"/>
      <c r="E340" s="86"/>
      <c r="F340" s="68"/>
      <c r="G340" s="68"/>
      <c r="H340" s="68"/>
      <c r="I340" s="70"/>
      <c r="J340" s="68"/>
      <c r="K340" s="343"/>
      <c r="L340" s="70"/>
      <c r="M340" s="71"/>
      <c r="N340" s="363"/>
      <c r="O340" s="344"/>
      <c r="P340" s="74"/>
    </row>
    <row r="341">
      <c r="A341" s="386"/>
      <c r="B341" s="358"/>
      <c r="C341" s="64"/>
      <c r="D341" s="68"/>
      <c r="E341" s="86"/>
      <c r="F341" s="68"/>
      <c r="G341" s="358"/>
      <c r="H341" s="358"/>
      <c r="I341" s="358"/>
      <c r="J341" s="358"/>
      <c r="K341" s="343"/>
      <c r="L341" s="70"/>
      <c r="M341" s="338"/>
      <c r="N341" s="334"/>
      <c r="O341" s="341"/>
      <c r="P341" s="74"/>
    </row>
    <row r="342">
      <c r="A342" s="289"/>
      <c r="B342" s="70"/>
      <c r="C342" s="64"/>
      <c r="D342" s="68"/>
      <c r="E342" s="86"/>
      <c r="F342" s="68"/>
      <c r="G342" s="68"/>
      <c r="H342" s="68"/>
      <c r="I342" s="70"/>
      <c r="J342" s="68"/>
      <c r="K342" s="343"/>
      <c r="L342" s="70"/>
      <c r="M342" s="71"/>
      <c r="N342" s="363"/>
      <c r="O342" s="344"/>
      <c r="P342" s="74"/>
    </row>
    <row r="343">
      <c r="A343" s="386"/>
      <c r="B343" s="358"/>
      <c r="C343" s="64"/>
      <c r="D343" s="68"/>
      <c r="E343" s="86"/>
      <c r="F343" s="68"/>
      <c r="G343" s="68"/>
      <c r="H343" s="68"/>
      <c r="I343" s="358"/>
      <c r="J343" s="68"/>
      <c r="K343" s="343"/>
      <c r="L343" s="70"/>
      <c r="M343" s="331"/>
      <c r="N343" s="363"/>
      <c r="O343" s="341"/>
      <c r="P343" s="74"/>
    </row>
    <row r="344">
      <c r="A344" s="386"/>
      <c r="B344" s="70"/>
      <c r="C344" s="64"/>
      <c r="D344" s="68"/>
      <c r="E344" s="86"/>
      <c r="F344" s="68"/>
      <c r="G344" s="68"/>
      <c r="H344" s="358"/>
      <c r="I344" s="70"/>
      <c r="J344" s="68"/>
      <c r="K344" s="343"/>
      <c r="L344" s="70"/>
      <c r="M344" s="71"/>
      <c r="N344" s="334"/>
      <c r="O344" s="341"/>
      <c r="P344" s="74"/>
    </row>
    <row r="345">
      <c r="A345" s="386"/>
      <c r="B345" s="70"/>
      <c r="C345" s="64"/>
      <c r="D345" s="68"/>
      <c r="E345" s="86"/>
      <c r="F345" s="339"/>
      <c r="G345" s="358"/>
      <c r="H345" s="358"/>
      <c r="I345" s="70"/>
      <c r="J345" s="68"/>
      <c r="K345" s="343"/>
      <c r="L345" s="70"/>
      <c r="M345" s="338"/>
      <c r="N345" s="334"/>
      <c r="O345" s="341"/>
      <c r="P345" s="74"/>
    </row>
    <row r="346">
      <c r="A346" s="386"/>
      <c r="B346" s="358"/>
      <c r="C346" s="64"/>
      <c r="D346" s="68"/>
      <c r="E346" s="86"/>
      <c r="F346" s="68"/>
      <c r="G346" s="68"/>
      <c r="H346" s="358"/>
      <c r="I346" s="358"/>
      <c r="J346" s="68"/>
      <c r="K346" s="69"/>
      <c r="L346" s="70"/>
      <c r="M346" s="331"/>
      <c r="N346" s="334"/>
      <c r="O346" s="336"/>
      <c r="P346" s="74"/>
    </row>
    <row r="347" ht="17.25" customHeight="1">
      <c r="A347" s="386"/>
      <c r="B347" s="70"/>
      <c r="C347" s="64"/>
      <c r="D347" s="68"/>
      <c r="E347" s="86"/>
      <c r="F347" s="68"/>
      <c r="G347" s="358"/>
      <c r="H347" s="68"/>
      <c r="I347" s="358"/>
      <c r="J347" s="68"/>
      <c r="K347" s="343"/>
      <c r="L347" s="70"/>
      <c r="M347" s="331"/>
      <c r="N347" s="334"/>
      <c r="O347" s="341"/>
      <c r="P347" s="74"/>
    </row>
    <row r="348">
      <c r="A348" s="386"/>
      <c r="B348" s="358"/>
      <c r="C348" s="64"/>
      <c r="D348" s="68"/>
      <c r="E348" s="86"/>
      <c r="F348" s="68"/>
      <c r="G348" s="358"/>
      <c r="H348" s="358"/>
      <c r="I348" s="358"/>
      <c r="J348" s="68"/>
      <c r="K348" s="343"/>
      <c r="L348" s="70"/>
      <c r="M348" s="348"/>
      <c r="N348" s="334"/>
      <c r="O348" s="341"/>
      <c r="P348" s="74"/>
    </row>
    <row r="349">
      <c r="A349" s="386"/>
      <c r="B349" s="358"/>
      <c r="C349" s="64"/>
      <c r="D349" s="68"/>
      <c r="E349" s="86"/>
      <c r="F349" s="68"/>
      <c r="G349" s="68"/>
      <c r="H349" s="358"/>
      <c r="I349" s="358"/>
      <c r="J349" s="358"/>
      <c r="K349" s="343"/>
      <c r="L349" s="70"/>
      <c r="M349" s="348"/>
      <c r="N349" s="334"/>
      <c r="O349" s="341"/>
      <c r="P349" s="74"/>
    </row>
    <row r="350">
      <c r="A350" s="386"/>
      <c r="B350" s="358"/>
      <c r="C350" s="64"/>
      <c r="D350" s="68"/>
      <c r="E350" s="86"/>
      <c r="F350" s="68"/>
      <c r="G350" s="68"/>
      <c r="H350" s="358"/>
      <c r="I350" s="70"/>
      <c r="J350" s="68"/>
      <c r="K350" s="343"/>
      <c r="L350" s="70"/>
      <c r="M350" s="71"/>
      <c r="N350" s="334"/>
      <c r="O350" s="345"/>
      <c r="P350" s="74"/>
    </row>
    <row r="351">
      <c r="A351" s="386"/>
      <c r="B351" s="70"/>
      <c r="C351" s="64"/>
      <c r="D351" s="68"/>
      <c r="E351" s="86"/>
      <c r="F351" s="68"/>
      <c r="G351" s="68"/>
      <c r="H351" s="358"/>
      <c r="I351" s="358"/>
      <c r="J351" s="68"/>
      <c r="K351" s="343"/>
      <c r="L351" s="70"/>
      <c r="M351" s="71"/>
      <c r="N351" s="334"/>
      <c r="O351" s="341"/>
      <c r="P351" s="74"/>
    </row>
    <row r="352">
      <c r="A352" s="386"/>
      <c r="B352" s="358"/>
      <c r="C352" s="64"/>
      <c r="D352" s="68"/>
      <c r="E352" s="86"/>
      <c r="F352" s="68"/>
      <c r="G352" s="358"/>
      <c r="H352" s="358"/>
      <c r="I352" s="70"/>
      <c r="J352" s="68"/>
      <c r="K352" s="343"/>
      <c r="L352" s="70"/>
      <c r="M352" s="331"/>
      <c r="N352" s="334"/>
      <c r="O352" s="341"/>
      <c r="P352" s="74"/>
    </row>
    <row r="353">
      <c r="A353" s="386"/>
      <c r="B353" s="358"/>
      <c r="C353" s="64"/>
      <c r="D353" s="68"/>
      <c r="E353" s="86"/>
      <c r="F353" s="68"/>
      <c r="G353" s="68"/>
      <c r="H353" s="68"/>
      <c r="I353" s="358"/>
      <c r="J353" s="68"/>
      <c r="K353" s="343"/>
      <c r="L353" s="70"/>
      <c r="M353" s="348"/>
      <c r="N353" s="334"/>
      <c r="O353" s="341"/>
      <c r="P353" s="74"/>
    </row>
    <row r="354">
      <c r="A354" s="386"/>
      <c r="B354" s="70"/>
      <c r="C354" s="64"/>
      <c r="D354" s="68"/>
      <c r="E354" s="86"/>
      <c r="F354" s="68"/>
      <c r="G354" s="358"/>
      <c r="H354" s="68"/>
      <c r="I354" s="358"/>
      <c r="J354" s="68"/>
      <c r="K354" s="343"/>
      <c r="L354" s="70"/>
      <c r="M354" s="331"/>
      <c r="N354" s="334"/>
      <c r="O354" s="341"/>
      <c r="P354" s="74"/>
    </row>
    <row r="355">
      <c r="A355" s="386"/>
      <c r="B355" s="70"/>
      <c r="C355" s="64"/>
      <c r="D355" s="68"/>
      <c r="E355" s="86"/>
      <c r="F355" s="68"/>
      <c r="G355" s="68"/>
      <c r="H355" s="358"/>
      <c r="I355" s="358"/>
      <c r="J355" s="68"/>
      <c r="K355" s="343"/>
      <c r="L355" s="70"/>
      <c r="M355" s="71"/>
      <c r="N355" s="334"/>
      <c r="O355" s="345"/>
      <c r="P355" s="74"/>
    </row>
    <row r="356">
      <c r="A356" s="386"/>
      <c r="B356" s="358"/>
      <c r="C356" s="64"/>
      <c r="D356" s="68"/>
      <c r="E356" s="86"/>
      <c r="F356" s="71"/>
      <c r="G356" s="358"/>
      <c r="H356" s="358"/>
      <c r="I356" s="70"/>
      <c r="J356" s="68"/>
      <c r="K356" s="343"/>
      <c r="L356" s="70"/>
      <c r="M356" s="71"/>
      <c r="N356" s="334"/>
      <c r="O356" s="341"/>
      <c r="P356" s="74"/>
    </row>
    <row r="357">
      <c r="A357" s="386"/>
      <c r="B357" s="70"/>
      <c r="C357" s="64"/>
      <c r="D357" s="68"/>
      <c r="E357" s="86"/>
      <c r="F357" s="68"/>
      <c r="G357" s="358"/>
      <c r="H357" s="68"/>
      <c r="I357" s="70"/>
      <c r="J357" s="68"/>
      <c r="K357" s="343"/>
      <c r="L357" s="70"/>
      <c r="M357" s="331"/>
      <c r="N357" s="334"/>
      <c r="O357" s="341"/>
      <c r="P357" s="74"/>
    </row>
    <row r="358">
      <c r="A358" s="386"/>
      <c r="B358" s="358"/>
      <c r="C358" s="64"/>
      <c r="D358" s="68"/>
      <c r="E358" s="86"/>
      <c r="F358" s="68"/>
      <c r="G358" s="68"/>
      <c r="H358" s="68"/>
      <c r="I358" s="70"/>
      <c r="J358" s="358"/>
      <c r="K358" s="343"/>
      <c r="L358" s="70"/>
      <c r="M358" s="331"/>
      <c r="N358" s="334"/>
      <c r="O358" s="341"/>
      <c r="P358" s="74"/>
    </row>
    <row r="359">
      <c r="A359" s="386"/>
      <c r="B359" s="358"/>
      <c r="C359" s="64"/>
      <c r="D359" s="68"/>
      <c r="E359" s="86"/>
      <c r="F359" s="339"/>
      <c r="G359" s="68"/>
      <c r="H359" s="358"/>
      <c r="I359" s="70"/>
      <c r="J359" s="68"/>
      <c r="K359" s="343"/>
      <c r="L359" s="70"/>
      <c r="M359" s="71"/>
      <c r="N359" s="334"/>
      <c r="O359" s="341"/>
      <c r="P359" s="74"/>
    </row>
    <row r="360">
      <c r="A360" s="386"/>
      <c r="B360" s="70"/>
      <c r="C360" s="64"/>
      <c r="D360" s="68"/>
      <c r="E360" s="86"/>
      <c r="F360" s="339"/>
      <c r="G360" s="358"/>
      <c r="H360" s="68"/>
      <c r="I360" s="70"/>
      <c r="J360" s="68"/>
      <c r="K360" s="343"/>
      <c r="L360" s="70"/>
      <c r="M360" s="338"/>
      <c r="N360" s="334"/>
      <c r="O360" s="341"/>
      <c r="P360" s="74"/>
    </row>
    <row r="361">
      <c r="A361" s="386"/>
      <c r="B361" s="358"/>
      <c r="C361" s="64"/>
      <c r="D361" s="68"/>
      <c r="E361" s="86"/>
      <c r="F361" s="68"/>
      <c r="G361" s="68"/>
      <c r="H361" s="358"/>
      <c r="I361" s="70"/>
      <c r="J361" s="400"/>
      <c r="K361" s="343"/>
      <c r="L361" s="70"/>
      <c r="M361" s="348"/>
      <c r="N361" s="334"/>
      <c r="O361" s="341"/>
      <c r="P361" s="74"/>
    </row>
    <row r="362">
      <c r="A362" s="289"/>
      <c r="B362" s="342"/>
      <c r="C362" s="64"/>
      <c r="D362" s="68"/>
      <c r="E362" s="86"/>
      <c r="F362" s="71"/>
      <c r="G362" s="342"/>
      <c r="H362" s="342"/>
      <c r="I362" s="338"/>
      <c r="J362" s="68"/>
      <c r="K362" s="343"/>
      <c r="L362" s="338"/>
      <c r="M362" s="71"/>
      <c r="N362" s="363"/>
      <c r="O362" s="304"/>
      <c r="P362" s="74"/>
    </row>
    <row r="363">
      <c r="A363" s="386"/>
      <c r="B363" s="358"/>
      <c r="C363" s="64"/>
      <c r="D363" s="68"/>
      <c r="E363" s="86"/>
      <c r="F363" s="68"/>
      <c r="G363" s="68"/>
      <c r="H363" s="358"/>
      <c r="I363" s="70"/>
      <c r="J363" s="68"/>
      <c r="K363" s="343"/>
      <c r="L363" s="70"/>
      <c r="M363" s="71"/>
      <c r="N363" s="334"/>
      <c r="O363" s="345"/>
      <c r="P363" s="74"/>
    </row>
    <row r="364">
      <c r="A364" s="386"/>
      <c r="B364" s="70"/>
      <c r="C364" s="64"/>
      <c r="D364" s="68"/>
      <c r="E364" s="86"/>
      <c r="F364" s="68"/>
      <c r="G364" s="358"/>
      <c r="H364" s="68"/>
      <c r="I364" s="358"/>
      <c r="J364" s="358"/>
      <c r="K364" s="343"/>
      <c r="L364" s="70"/>
      <c r="M364" s="331"/>
      <c r="N364" s="334"/>
      <c r="O364" s="341"/>
      <c r="P364" s="74"/>
    </row>
    <row r="365">
      <c r="A365" s="386"/>
      <c r="B365" s="70"/>
      <c r="C365" s="64"/>
      <c r="D365" s="68"/>
      <c r="E365" s="86"/>
      <c r="F365" s="68"/>
      <c r="G365" s="358"/>
      <c r="H365" s="68"/>
      <c r="I365" s="70"/>
      <c r="J365" s="68"/>
      <c r="K365" s="343"/>
      <c r="L365" s="70"/>
      <c r="M365" s="331"/>
      <c r="N365" s="334"/>
      <c r="O365" s="345"/>
      <c r="P365" s="74"/>
    </row>
    <row r="366">
      <c r="A366" s="386"/>
      <c r="B366" s="358"/>
      <c r="C366" s="64"/>
      <c r="D366" s="68"/>
      <c r="E366" s="86"/>
      <c r="F366" s="68"/>
      <c r="G366" s="358"/>
      <c r="H366" s="68"/>
      <c r="I366" s="358"/>
      <c r="J366" s="68"/>
      <c r="K366" s="343"/>
      <c r="L366" s="70"/>
      <c r="M366" s="71"/>
      <c r="N366" s="334"/>
      <c r="O366" s="341"/>
      <c r="P366" s="74"/>
    </row>
    <row r="367">
      <c r="A367" s="386"/>
      <c r="B367" s="70"/>
      <c r="C367" s="64"/>
      <c r="D367" s="68"/>
      <c r="E367" s="86"/>
      <c r="F367" s="68"/>
      <c r="G367" s="358"/>
      <c r="H367" s="68"/>
      <c r="I367" s="70"/>
      <c r="J367" s="358"/>
      <c r="K367" s="343"/>
      <c r="L367" s="70"/>
      <c r="M367" s="348"/>
      <c r="N367" s="334"/>
      <c r="O367" s="336"/>
      <c r="P367" s="74"/>
    </row>
    <row r="368">
      <c r="A368" s="386"/>
      <c r="B368" s="70"/>
      <c r="C368" s="64"/>
      <c r="D368" s="68"/>
      <c r="E368" s="86"/>
      <c r="F368" s="68"/>
      <c r="G368" s="358"/>
      <c r="H368" s="358"/>
      <c r="I368" s="70"/>
      <c r="J368" s="68"/>
      <c r="K368" s="343"/>
      <c r="L368" s="70"/>
      <c r="M368" s="331"/>
      <c r="N368" s="334"/>
      <c r="O368" s="341"/>
      <c r="P368" s="74"/>
    </row>
    <row r="369">
      <c r="A369" s="386"/>
      <c r="B369" s="70"/>
      <c r="C369" s="64"/>
      <c r="D369" s="68"/>
      <c r="E369" s="86"/>
      <c r="F369" s="68"/>
      <c r="G369" s="358"/>
      <c r="H369" s="68"/>
      <c r="I369" s="358"/>
      <c r="J369" s="68"/>
      <c r="K369" s="343"/>
      <c r="L369" s="70"/>
      <c r="M369" s="338"/>
      <c r="N369" s="334"/>
      <c r="O369" s="345"/>
      <c r="P369" s="74"/>
    </row>
    <row r="370">
      <c r="A370" s="386"/>
      <c r="B370" s="70"/>
      <c r="C370" s="64"/>
      <c r="D370" s="68"/>
      <c r="E370" s="86"/>
      <c r="F370" s="339"/>
      <c r="G370" s="358"/>
      <c r="H370" s="68"/>
      <c r="I370" s="358"/>
      <c r="J370" s="68"/>
      <c r="K370" s="343"/>
      <c r="L370" s="70"/>
      <c r="M370" s="338"/>
      <c r="N370" s="334"/>
      <c r="O370" s="341"/>
      <c r="P370" s="74"/>
    </row>
    <row r="371">
      <c r="A371" s="386"/>
      <c r="B371" s="70"/>
      <c r="C371" s="64"/>
      <c r="D371" s="68"/>
      <c r="E371" s="86"/>
      <c r="F371" s="68"/>
      <c r="G371" s="358"/>
      <c r="H371" s="68"/>
      <c r="I371" s="70"/>
      <c r="J371" s="358"/>
      <c r="K371" s="343"/>
      <c r="L371" s="70"/>
      <c r="M371" s="71"/>
      <c r="N371" s="334"/>
      <c r="O371" s="336"/>
      <c r="P371" s="74"/>
    </row>
    <row r="372">
      <c r="A372" s="386"/>
      <c r="B372" s="70"/>
      <c r="C372" s="64"/>
      <c r="D372" s="68"/>
      <c r="E372" s="86"/>
      <c r="F372" s="68"/>
      <c r="G372" s="358"/>
      <c r="H372" s="331"/>
      <c r="I372" s="358"/>
      <c r="J372" s="68"/>
      <c r="K372" s="343"/>
      <c r="L372" s="70"/>
      <c r="M372" s="338"/>
      <c r="N372" s="334"/>
      <c r="O372" s="341"/>
      <c r="P372" s="74"/>
    </row>
    <row r="373">
      <c r="A373" s="386"/>
      <c r="B373" s="338"/>
      <c r="C373" s="64"/>
      <c r="D373" s="68"/>
      <c r="E373" s="86"/>
      <c r="F373" s="68"/>
      <c r="G373" s="358"/>
      <c r="H373" s="68"/>
      <c r="I373" s="70"/>
      <c r="J373" s="68"/>
      <c r="K373" s="343"/>
      <c r="L373" s="70"/>
      <c r="M373" s="338"/>
      <c r="N373" s="334"/>
      <c r="O373" s="341"/>
      <c r="P373" s="74"/>
    </row>
    <row r="374">
      <c r="A374" s="386"/>
      <c r="B374" s="358"/>
      <c r="C374" s="64"/>
      <c r="D374" s="68"/>
      <c r="E374" s="86"/>
      <c r="F374" s="68"/>
      <c r="G374" s="358"/>
      <c r="H374" s="358"/>
      <c r="I374" s="358"/>
      <c r="J374" s="68"/>
      <c r="K374" s="343"/>
      <c r="L374" s="70"/>
      <c r="M374" s="338"/>
      <c r="N374" s="334"/>
      <c r="O374" s="341"/>
      <c r="P374" s="74"/>
    </row>
    <row r="375">
      <c r="A375" s="386"/>
      <c r="B375" s="70"/>
      <c r="C375" s="64"/>
      <c r="D375" s="68"/>
      <c r="E375" s="86"/>
      <c r="F375" s="339"/>
      <c r="G375" s="358"/>
      <c r="H375" s="68"/>
      <c r="I375" s="70"/>
      <c r="J375" s="68"/>
      <c r="K375" s="343"/>
      <c r="L375" s="70"/>
      <c r="M375" s="338"/>
      <c r="N375" s="334"/>
      <c r="O375" s="341"/>
      <c r="P375" s="74"/>
    </row>
    <row r="376">
      <c r="A376" s="386"/>
      <c r="B376" s="348"/>
      <c r="C376" s="64"/>
      <c r="D376" s="68"/>
      <c r="E376" s="86"/>
      <c r="F376" s="68"/>
      <c r="G376" s="68"/>
      <c r="H376" s="358"/>
      <c r="I376" s="70"/>
      <c r="J376" s="68"/>
      <c r="K376" s="343"/>
      <c r="L376" s="70"/>
      <c r="M376" s="338"/>
      <c r="N376" s="334"/>
      <c r="O376" s="341"/>
      <c r="P376" s="74"/>
    </row>
    <row r="377">
      <c r="A377" s="386"/>
      <c r="B377" s="70"/>
      <c r="C377" s="64"/>
      <c r="D377" s="68"/>
      <c r="E377" s="86"/>
      <c r="F377" s="339"/>
      <c r="G377" s="358"/>
      <c r="H377" s="68"/>
      <c r="I377" s="70"/>
      <c r="J377" s="68"/>
      <c r="K377" s="343"/>
      <c r="L377" s="70"/>
      <c r="M377" s="338"/>
      <c r="N377" s="334"/>
      <c r="O377" s="341"/>
      <c r="P377" s="74"/>
    </row>
    <row r="378">
      <c r="A378" s="386"/>
      <c r="B378" s="70"/>
      <c r="C378" s="64"/>
      <c r="D378" s="68"/>
      <c r="E378" s="86"/>
      <c r="F378" s="68"/>
      <c r="G378" s="358"/>
      <c r="H378" s="68"/>
      <c r="I378" s="70"/>
      <c r="J378" s="68"/>
      <c r="K378" s="343"/>
      <c r="L378" s="70"/>
      <c r="M378" s="338"/>
      <c r="N378" s="334"/>
      <c r="O378" s="341"/>
      <c r="P378" s="74"/>
    </row>
    <row r="379">
      <c r="A379" s="386"/>
      <c r="B379" s="358"/>
      <c r="C379" s="64"/>
      <c r="D379" s="68"/>
      <c r="E379" s="86"/>
      <c r="F379" s="68"/>
      <c r="G379" s="358"/>
      <c r="H379" s="358"/>
      <c r="I379" s="70"/>
      <c r="J379" s="358"/>
      <c r="K379" s="343"/>
      <c r="L379" s="70"/>
      <c r="M379" s="71"/>
      <c r="N379" s="334"/>
      <c r="O379" s="341"/>
      <c r="P379" s="74"/>
    </row>
    <row r="380">
      <c r="A380" s="386"/>
      <c r="B380" s="358"/>
      <c r="C380" s="64"/>
      <c r="D380" s="68"/>
      <c r="E380" s="86"/>
      <c r="F380" s="68"/>
      <c r="G380" s="358"/>
      <c r="H380" s="358"/>
      <c r="I380" s="70"/>
      <c r="J380" s="68"/>
      <c r="K380" s="69"/>
      <c r="L380" s="70"/>
      <c r="M380" s="348"/>
      <c r="N380" s="334"/>
      <c r="O380" s="336"/>
      <c r="P380" s="74"/>
    </row>
    <row r="381">
      <c r="A381" s="386"/>
      <c r="B381" s="70"/>
      <c r="C381" s="64"/>
      <c r="D381" s="68"/>
      <c r="E381" s="86"/>
      <c r="F381" s="68"/>
      <c r="G381" s="68"/>
      <c r="H381" s="68"/>
      <c r="I381" s="358"/>
      <c r="J381" s="68"/>
      <c r="K381" s="343"/>
      <c r="L381" s="70"/>
      <c r="M381" s="331"/>
      <c r="N381" s="334"/>
      <c r="O381" s="341"/>
      <c r="P381" s="74"/>
    </row>
    <row r="382">
      <c r="A382" s="386"/>
      <c r="B382" s="358"/>
      <c r="C382" s="64"/>
      <c r="D382" s="68"/>
      <c r="E382" s="86"/>
      <c r="F382" s="68"/>
      <c r="G382" s="358"/>
      <c r="H382" s="68"/>
      <c r="I382" s="70"/>
      <c r="J382" s="358"/>
      <c r="K382" s="343"/>
      <c r="L382" s="70"/>
      <c r="M382" s="338"/>
      <c r="N382" s="334"/>
      <c r="O382" s="341"/>
      <c r="P382" s="74"/>
    </row>
    <row r="383">
      <c r="A383" s="386"/>
      <c r="B383" s="358"/>
      <c r="C383" s="64"/>
      <c r="D383" s="68"/>
      <c r="E383" s="86"/>
      <c r="F383" s="68"/>
      <c r="G383" s="68"/>
      <c r="H383" s="358"/>
      <c r="I383" s="70"/>
      <c r="J383" s="358"/>
      <c r="K383" s="343"/>
      <c r="L383" s="70"/>
      <c r="M383" s="331"/>
      <c r="N383" s="334"/>
      <c r="O383" s="334"/>
      <c r="P383" s="74"/>
    </row>
    <row r="384">
      <c r="A384" s="386"/>
      <c r="B384" s="339"/>
      <c r="C384" s="64"/>
      <c r="D384" s="68"/>
      <c r="E384" s="86"/>
      <c r="F384" s="68"/>
      <c r="G384" s="358"/>
      <c r="H384" s="331"/>
      <c r="I384" s="358"/>
      <c r="J384" s="358"/>
      <c r="K384" s="343"/>
      <c r="L384" s="70"/>
      <c r="M384" s="348"/>
      <c r="N384" s="334"/>
      <c r="O384" s="341"/>
      <c r="P384" s="74"/>
    </row>
    <row r="385">
      <c r="A385" s="386"/>
      <c r="B385" s="70"/>
      <c r="C385" s="64"/>
      <c r="D385" s="68"/>
      <c r="E385" s="86"/>
      <c r="F385" s="68"/>
      <c r="G385" s="358"/>
      <c r="H385" s="68"/>
      <c r="I385" s="70"/>
      <c r="J385" s="68"/>
      <c r="K385" s="343"/>
      <c r="L385" s="70"/>
      <c r="M385" s="331"/>
      <c r="N385" s="334"/>
      <c r="O385" s="334"/>
      <c r="P385" s="74"/>
    </row>
    <row r="386">
      <c r="A386" s="386"/>
      <c r="B386" s="358"/>
      <c r="C386" s="64"/>
      <c r="D386" s="68"/>
      <c r="E386" s="86"/>
      <c r="F386" s="71"/>
      <c r="G386" s="68"/>
      <c r="H386" s="358"/>
      <c r="I386" s="70"/>
      <c r="J386" s="68"/>
      <c r="K386" s="343"/>
      <c r="L386" s="70"/>
      <c r="M386" s="338"/>
      <c r="N386" s="334"/>
      <c r="O386" s="341"/>
      <c r="P386" s="74"/>
    </row>
    <row r="387">
      <c r="A387" s="386"/>
      <c r="B387" s="358"/>
      <c r="C387" s="64"/>
      <c r="D387" s="68"/>
      <c r="E387" s="86"/>
      <c r="F387" s="68"/>
      <c r="G387" s="358"/>
      <c r="H387" s="358"/>
      <c r="I387" s="358"/>
      <c r="J387" s="358"/>
      <c r="K387" s="343"/>
      <c r="L387" s="70"/>
      <c r="M387" s="348"/>
      <c r="N387" s="334"/>
      <c r="O387" s="341"/>
      <c r="P387" s="74"/>
    </row>
    <row r="388">
      <c r="A388" s="386"/>
      <c r="B388" s="70"/>
      <c r="C388" s="64"/>
      <c r="D388" s="68"/>
      <c r="E388" s="86"/>
      <c r="F388" s="339"/>
      <c r="G388" s="358"/>
      <c r="H388" s="68"/>
      <c r="I388" s="358"/>
      <c r="J388" s="68"/>
      <c r="K388" s="343"/>
      <c r="L388" s="70"/>
      <c r="M388" s="71"/>
      <c r="N388" s="334"/>
      <c r="O388" s="341"/>
      <c r="P388" s="74"/>
    </row>
    <row r="389">
      <c r="A389" s="386"/>
      <c r="B389" s="331"/>
      <c r="C389" s="64"/>
      <c r="D389" s="68"/>
      <c r="E389" s="86"/>
      <c r="F389" s="68"/>
      <c r="G389" s="68"/>
      <c r="H389" s="68"/>
      <c r="I389" s="70"/>
      <c r="J389" s="68"/>
      <c r="K389" s="343"/>
      <c r="L389" s="70"/>
      <c r="M389" s="338"/>
      <c r="N389" s="334"/>
      <c r="O389" s="341"/>
      <c r="P389" s="74"/>
    </row>
    <row r="390">
      <c r="A390" s="386"/>
      <c r="B390" s="70"/>
      <c r="C390" s="64"/>
      <c r="D390" s="68"/>
      <c r="E390" s="86"/>
      <c r="F390" s="68"/>
      <c r="G390" s="68"/>
      <c r="H390" s="68"/>
      <c r="I390" s="358"/>
      <c r="J390" s="68"/>
      <c r="K390" s="343"/>
      <c r="L390" s="70"/>
      <c r="M390" s="348"/>
      <c r="N390" s="363"/>
      <c r="O390" s="341"/>
      <c r="P390" s="74"/>
    </row>
    <row r="391">
      <c r="A391" s="386"/>
      <c r="B391" s="358"/>
      <c r="C391" s="64"/>
      <c r="D391" s="68"/>
      <c r="E391" s="86"/>
      <c r="F391" s="68"/>
      <c r="G391" s="68"/>
      <c r="H391" s="358"/>
      <c r="I391" s="358"/>
      <c r="J391" s="68"/>
      <c r="K391" s="343"/>
      <c r="L391" s="70"/>
      <c r="M391" s="71"/>
      <c r="N391" s="334"/>
      <c r="O391" s="341"/>
      <c r="P391" s="74"/>
    </row>
    <row r="392">
      <c r="A392" s="386"/>
      <c r="B392" s="339"/>
      <c r="C392" s="64"/>
      <c r="D392" s="68"/>
      <c r="E392" s="86"/>
      <c r="F392" s="68"/>
      <c r="G392" s="358"/>
      <c r="H392" s="68"/>
      <c r="I392" s="70"/>
      <c r="J392" s="358"/>
      <c r="K392" s="69"/>
      <c r="L392" s="70"/>
      <c r="M392" s="348"/>
      <c r="N392" s="334"/>
      <c r="O392" s="336"/>
      <c r="P392" s="74"/>
    </row>
    <row r="393">
      <c r="A393" s="386"/>
      <c r="B393" s="329"/>
      <c r="C393" s="64"/>
      <c r="D393" s="68"/>
      <c r="E393" s="86"/>
      <c r="F393" s="68"/>
      <c r="G393" s="358"/>
      <c r="H393" s="68"/>
      <c r="I393" s="70"/>
      <c r="J393" s="358"/>
      <c r="K393" s="69"/>
      <c r="L393" s="70"/>
      <c r="M393" s="338"/>
      <c r="N393" s="73"/>
      <c r="O393" s="73"/>
      <c r="P393" s="74"/>
    </row>
  </sheetData>
  <hyperlinks>
    <hyperlink r:id="rId1" ref="N3"/>
    <hyperlink r:id="rId2" ref="N4"/>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F17"/>
    <hyperlink r:id="rId16" ref="N17"/>
    <hyperlink r:id="rId17" ref="N18"/>
    <hyperlink r:id="rId18" ref="N19"/>
    <hyperlink r:id="rId19" ref="O19"/>
    <hyperlink r:id="rId20" ref="N20"/>
    <hyperlink r:id="rId21" ref="N21"/>
    <hyperlink r:id="rId22" ref="O21"/>
    <hyperlink r:id="rId23" ref="N22"/>
    <hyperlink r:id="rId24" ref="N23"/>
  </hyperlinks>
  <drawing r:id="rId2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2.75"/>
  <cols>
    <col customWidth="1" min="1" max="1" width="22.63"/>
    <col customWidth="1" min="2" max="2" width="16.25"/>
    <col customWidth="1" min="3" max="3" width="14.75"/>
    <col customWidth="1" min="4" max="4" width="8.75"/>
    <col customWidth="1" min="5" max="5" width="13.13"/>
    <col customWidth="1" min="6" max="6" width="30.25"/>
    <col customWidth="1" min="7" max="7" width="13.0"/>
    <col customWidth="1" min="8" max="8" width="14.88"/>
    <col customWidth="1" min="9" max="9" width="10.13"/>
    <col customWidth="1" min="10" max="10" width="12.13"/>
    <col customWidth="1" min="11" max="11" width="13.63"/>
    <col customWidth="1" min="12" max="12" width="2.0"/>
    <col customWidth="1" min="13" max="16" width="15.13"/>
  </cols>
  <sheetData>
    <row r="1">
      <c r="A1" s="52" t="s">
        <v>0</v>
      </c>
      <c r="B1" s="114" t="s">
        <v>1</v>
      </c>
      <c r="C1" s="405" t="s">
        <v>2</v>
      </c>
      <c r="D1" s="20" t="s">
        <v>3</v>
      </c>
      <c r="E1" s="406" t="s">
        <v>4</v>
      </c>
      <c r="F1" s="114" t="s">
        <v>5</v>
      </c>
      <c r="G1" s="407" t="s">
        <v>6</v>
      </c>
      <c r="H1" s="52" t="s">
        <v>7</v>
      </c>
      <c r="I1" s="114" t="s">
        <v>8</v>
      </c>
      <c r="J1" s="20" t="s">
        <v>9</v>
      </c>
      <c r="K1" s="408" t="s">
        <v>10</v>
      </c>
      <c r="L1" s="141"/>
      <c r="M1" s="141" t="s">
        <v>11</v>
      </c>
      <c r="N1" s="409" t="s">
        <v>12</v>
      </c>
      <c r="O1" s="409" t="s">
        <v>13</v>
      </c>
      <c r="P1" s="410" t="s">
        <v>14</v>
      </c>
    </row>
    <row r="2">
      <c r="A2" s="411"/>
      <c r="B2" s="12"/>
      <c r="C2" s="13" t="s">
        <v>16</v>
      </c>
      <c r="D2" s="412" t="s">
        <v>17</v>
      </c>
      <c r="E2" s="15"/>
      <c r="F2" s="16"/>
      <c r="G2" s="413" t="s">
        <v>2152</v>
      </c>
      <c r="H2" s="16" t="s">
        <v>18</v>
      </c>
      <c r="I2" s="12"/>
      <c r="J2" s="414" t="s">
        <v>19</v>
      </c>
      <c r="K2" s="18" t="str">
        <f>"=IF(C3&gt;100000000,C3,"")"</f>
        <v>=IF(C3&gt;100000000,C3,")</v>
      </c>
      <c r="L2" s="12"/>
      <c r="M2" s="12"/>
      <c r="N2" s="19"/>
      <c r="O2" s="19"/>
      <c r="P2" s="19"/>
    </row>
    <row r="3" ht="32.25" customHeight="1">
      <c r="A3" s="20" t="s">
        <v>499</v>
      </c>
      <c r="B3" s="51"/>
      <c r="C3" s="22">
        <v>1.0E7</v>
      </c>
      <c r="D3" s="26">
        <v>2021.0</v>
      </c>
      <c r="E3" s="91">
        <v>44470.0</v>
      </c>
      <c r="F3" s="26" t="s">
        <v>500</v>
      </c>
      <c r="G3" s="26" t="s">
        <v>236</v>
      </c>
      <c r="H3" s="26" t="s">
        <v>23</v>
      </c>
      <c r="I3" s="26" t="s">
        <v>29</v>
      </c>
      <c r="J3" s="26">
        <v>4.0</v>
      </c>
      <c r="K3" s="22" t="s">
        <v>360</v>
      </c>
      <c r="L3" s="28"/>
      <c r="M3" s="34" t="s">
        <v>147</v>
      </c>
      <c r="N3" s="415" t="s">
        <v>501</v>
      </c>
      <c r="O3" s="31"/>
      <c r="P3" s="32">
        <v>395.0</v>
      </c>
    </row>
    <row r="4" ht="32.25" customHeight="1">
      <c r="A4" s="20" t="s">
        <v>502</v>
      </c>
      <c r="B4" s="51"/>
      <c r="C4" s="22">
        <v>5.0E8</v>
      </c>
      <c r="D4" s="26">
        <v>2021.0</v>
      </c>
      <c r="E4" s="91">
        <v>44440.0</v>
      </c>
      <c r="F4" s="26" t="s">
        <v>503</v>
      </c>
      <c r="G4" s="26" t="s">
        <v>129</v>
      </c>
      <c r="H4" s="26" t="s">
        <v>23</v>
      </c>
      <c r="I4" s="26"/>
      <c r="J4" s="26">
        <v>4.0</v>
      </c>
      <c r="K4" s="22" t="s">
        <v>360</v>
      </c>
      <c r="L4" s="28"/>
      <c r="M4" s="34" t="s">
        <v>30</v>
      </c>
      <c r="N4" s="415" t="s">
        <v>504</v>
      </c>
      <c r="O4" s="31"/>
      <c r="P4" s="32">
        <v>394.0</v>
      </c>
    </row>
    <row r="5" ht="32.25" customHeight="1">
      <c r="A5" s="20" t="s">
        <v>505</v>
      </c>
      <c r="B5" s="51"/>
      <c r="C5" s="22">
        <v>1.19E7</v>
      </c>
      <c r="D5" s="26">
        <v>2021.0</v>
      </c>
      <c r="E5" s="91">
        <v>44470.0</v>
      </c>
      <c r="F5" s="416" t="s">
        <v>506</v>
      </c>
      <c r="G5" s="26" t="s">
        <v>64</v>
      </c>
      <c r="H5" s="26" t="s">
        <v>23</v>
      </c>
      <c r="I5" s="26" t="s">
        <v>29</v>
      </c>
      <c r="J5" s="26">
        <v>4.0</v>
      </c>
      <c r="K5" s="22"/>
      <c r="L5" s="28"/>
      <c r="M5" s="34" t="s">
        <v>507</v>
      </c>
      <c r="N5" s="415" t="s">
        <v>508</v>
      </c>
      <c r="O5" s="31"/>
      <c r="P5" s="32">
        <v>393.0</v>
      </c>
    </row>
    <row r="6" ht="32.25" customHeight="1">
      <c r="A6" s="20" t="s">
        <v>509</v>
      </c>
      <c r="B6" s="51"/>
      <c r="C6" s="22">
        <v>4600000.0</v>
      </c>
      <c r="D6" s="26">
        <v>2021.0</v>
      </c>
      <c r="E6" s="91">
        <v>44440.0</v>
      </c>
      <c r="F6" s="76" t="s">
        <v>510</v>
      </c>
      <c r="G6" s="26" t="s">
        <v>43</v>
      </c>
      <c r="H6" s="26" t="s">
        <v>23</v>
      </c>
      <c r="I6" s="26"/>
      <c r="J6" s="26">
        <v>3.0</v>
      </c>
      <c r="K6" s="22"/>
      <c r="L6" s="28"/>
      <c r="M6" s="34" t="s">
        <v>247</v>
      </c>
      <c r="N6" s="415" t="s">
        <v>511</v>
      </c>
      <c r="O6" s="31"/>
      <c r="P6" s="32">
        <v>392.0</v>
      </c>
    </row>
    <row r="7" ht="32.25" customHeight="1">
      <c r="A7" s="20" t="s">
        <v>512</v>
      </c>
      <c r="B7" s="51"/>
      <c r="C7" s="22">
        <v>1.5E7</v>
      </c>
      <c r="D7" s="26">
        <v>2021.0</v>
      </c>
      <c r="E7" s="91">
        <v>44440.0</v>
      </c>
      <c r="F7" s="76" t="s">
        <v>513</v>
      </c>
      <c r="G7" s="26" t="s">
        <v>43</v>
      </c>
      <c r="H7" s="26" t="s">
        <v>23</v>
      </c>
      <c r="I7" s="26" t="s">
        <v>29</v>
      </c>
      <c r="J7" s="26">
        <v>5.0</v>
      </c>
      <c r="K7" s="22"/>
      <c r="L7" s="28"/>
      <c r="M7" s="34" t="s">
        <v>247</v>
      </c>
      <c r="N7" s="415" t="s">
        <v>514</v>
      </c>
      <c r="O7" s="31"/>
      <c r="P7" s="32">
        <v>391.0</v>
      </c>
    </row>
    <row r="8" ht="32.25" customHeight="1">
      <c r="A8" s="20" t="s">
        <v>515</v>
      </c>
      <c r="B8" s="51"/>
      <c r="C8" s="22">
        <v>1.0E8</v>
      </c>
      <c r="D8" s="26">
        <v>2021.0</v>
      </c>
      <c r="E8" s="91">
        <v>44440.0</v>
      </c>
      <c r="F8" s="94" t="s">
        <v>516</v>
      </c>
      <c r="G8" s="26" t="s">
        <v>64</v>
      </c>
      <c r="H8" s="26" t="s">
        <v>380</v>
      </c>
      <c r="I8" s="26"/>
      <c r="J8" s="26">
        <v>2.0</v>
      </c>
      <c r="K8" s="22">
        <v>1.0E8</v>
      </c>
      <c r="L8" s="28"/>
      <c r="M8" s="34" t="s">
        <v>518</v>
      </c>
      <c r="N8" s="415" t="s">
        <v>519</v>
      </c>
      <c r="O8" s="31"/>
      <c r="P8" s="32">
        <v>390.0</v>
      </c>
    </row>
    <row r="9" ht="32.25" customHeight="1">
      <c r="A9" s="20" t="s">
        <v>520</v>
      </c>
      <c r="B9" s="51"/>
      <c r="C9" s="22">
        <v>4.0E7</v>
      </c>
      <c r="D9" s="26">
        <v>2021.0</v>
      </c>
      <c r="E9" s="91">
        <v>44409.0</v>
      </c>
      <c r="F9" s="95" t="s">
        <v>2162</v>
      </c>
      <c r="G9" s="26" t="s">
        <v>129</v>
      </c>
      <c r="H9" s="26" t="s">
        <v>23</v>
      </c>
      <c r="I9" s="26"/>
      <c r="J9" s="26">
        <v>3.0</v>
      </c>
      <c r="K9" s="22"/>
      <c r="L9" s="28"/>
      <c r="M9" s="34" t="s">
        <v>522</v>
      </c>
      <c r="N9" s="415" t="s">
        <v>523</v>
      </c>
      <c r="O9" s="31"/>
      <c r="P9" s="32">
        <v>389.0</v>
      </c>
    </row>
    <row r="10" ht="32.25" customHeight="1">
      <c r="A10" s="20" t="s">
        <v>524</v>
      </c>
      <c r="B10" s="51"/>
      <c r="C10" s="22">
        <v>3.8E7</v>
      </c>
      <c r="D10" s="26">
        <v>2021.0</v>
      </c>
      <c r="E10" s="91">
        <v>44409.0</v>
      </c>
      <c r="F10" s="96" t="s">
        <v>525</v>
      </c>
      <c r="G10" s="26" t="s">
        <v>129</v>
      </c>
      <c r="H10" s="26" t="s">
        <v>23</v>
      </c>
      <c r="I10" s="26"/>
      <c r="J10" s="26">
        <v>3.0</v>
      </c>
      <c r="K10" s="22">
        <v>3.8E7</v>
      </c>
      <c r="L10" s="28"/>
      <c r="M10" s="34" t="s">
        <v>410</v>
      </c>
      <c r="N10" s="415" t="s">
        <v>527</v>
      </c>
      <c r="O10" s="31"/>
      <c r="P10" s="32">
        <v>388.0</v>
      </c>
    </row>
    <row r="11" ht="32.25" customHeight="1">
      <c r="A11" s="20" t="s">
        <v>528</v>
      </c>
      <c r="B11" s="51"/>
      <c r="C11" s="22">
        <v>280000.0</v>
      </c>
      <c r="D11" s="26">
        <v>2021.0</v>
      </c>
      <c r="E11" s="91">
        <v>44378.0</v>
      </c>
      <c r="F11" s="97" t="s">
        <v>529</v>
      </c>
      <c r="G11" s="26" t="s">
        <v>64</v>
      </c>
      <c r="H11" s="26" t="s">
        <v>23</v>
      </c>
      <c r="I11" s="26"/>
      <c r="J11" s="26">
        <v>4.0</v>
      </c>
      <c r="K11" s="22"/>
      <c r="L11" s="28"/>
      <c r="M11" s="34" t="s">
        <v>530</v>
      </c>
      <c r="N11" s="415" t="s">
        <v>531</v>
      </c>
      <c r="O11" s="31"/>
      <c r="P11" s="32">
        <v>387.0</v>
      </c>
    </row>
    <row r="12" ht="32.25" customHeight="1">
      <c r="A12" s="20" t="s">
        <v>532</v>
      </c>
      <c r="B12" s="98" t="s">
        <v>533</v>
      </c>
      <c r="C12" s="22">
        <v>111000.0</v>
      </c>
      <c r="D12" s="26">
        <v>2021.0</v>
      </c>
      <c r="E12" s="91">
        <v>44378.0</v>
      </c>
      <c r="F12" s="67" t="s">
        <v>534</v>
      </c>
      <c r="G12" s="26" t="s">
        <v>43</v>
      </c>
      <c r="H12" s="26" t="s">
        <v>23</v>
      </c>
      <c r="I12" s="26"/>
      <c r="J12" s="26">
        <v>2.0</v>
      </c>
      <c r="K12" s="22"/>
      <c r="L12" s="28"/>
      <c r="M12" s="34" t="s">
        <v>227</v>
      </c>
      <c r="N12" s="415" t="s">
        <v>535</v>
      </c>
      <c r="O12" s="31"/>
      <c r="P12" s="32">
        <v>386.0</v>
      </c>
    </row>
    <row r="13" ht="32.25" customHeight="1">
      <c r="A13" s="20" t="s">
        <v>536</v>
      </c>
      <c r="B13" s="98"/>
      <c r="C13" s="22">
        <v>7.0E8</v>
      </c>
      <c r="D13" s="26">
        <v>2021.0</v>
      </c>
      <c r="E13" s="91">
        <v>44378.0</v>
      </c>
      <c r="F13" s="67" t="s">
        <v>537</v>
      </c>
      <c r="G13" s="26" t="s">
        <v>409</v>
      </c>
      <c r="H13" s="26" t="s">
        <v>23</v>
      </c>
      <c r="I13" s="26"/>
      <c r="J13" s="26">
        <v>1.0</v>
      </c>
      <c r="K13" s="22">
        <v>7.0E8</v>
      </c>
      <c r="L13" s="28"/>
      <c r="M13" s="34" t="s">
        <v>539</v>
      </c>
      <c r="N13" s="415" t="s">
        <v>540</v>
      </c>
      <c r="O13" s="31"/>
      <c r="P13" s="32">
        <v>385.0</v>
      </c>
    </row>
    <row r="14" ht="32.25" customHeight="1">
      <c r="A14" s="20" t="s">
        <v>541</v>
      </c>
      <c r="B14" s="98"/>
      <c r="C14" s="22">
        <v>3300000.0</v>
      </c>
      <c r="D14" s="26">
        <v>2021.0</v>
      </c>
      <c r="E14" s="91">
        <v>44348.0</v>
      </c>
      <c r="F14" s="67" t="s">
        <v>542</v>
      </c>
      <c r="G14" s="26" t="s">
        <v>22</v>
      </c>
      <c r="H14" s="26" t="s">
        <v>23</v>
      </c>
      <c r="I14" s="26"/>
      <c r="J14" s="26">
        <v>2.0</v>
      </c>
      <c r="K14" s="22"/>
      <c r="L14" s="28"/>
      <c r="M14" s="34" t="s">
        <v>286</v>
      </c>
      <c r="N14" s="415" t="s">
        <v>543</v>
      </c>
      <c r="O14" s="31"/>
      <c r="P14" s="32">
        <v>384.0</v>
      </c>
    </row>
    <row r="15" ht="32.25" customHeight="1">
      <c r="A15" s="20" t="s">
        <v>544</v>
      </c>
      <c r="B15" s="98"/>
      <c r="C15" s="22">
        <v>1.0E7</v>
      </c>
      <c r="D15" s="26">
        <v>2021.0</v>
      </c>
      <c r="E15" s="91">
        <v>44348.0</v>
      </c>
      <c r="F15" s="67" t="s">
        <v>545</v>
      </c>
      <c r="G15" s="26" t="s">
        <v>43</v>
      </c>
      <c r="H15" s="26" t="s">
        <v>23</v>
      </c>
      <c r="I15" s="26"/>
      <c r="J15" s="26">
        <v>2.0</v>
      </c>
      <c r="K15" s="22" t="s">
        <v>360</v>
      </c>
      <c r="L15" s="28"/>
      <c r="M15" s="34" t="s">
        <v>546</v>
      </c>
      <c r="N15" s="415" t="s">
        <v>547</v>
      </c>
      <c r="O15" s="31"/>
      <c r="P15" s="32">
        <v>383.0</v>
      </c>
    </row>
    <row r="16" ht="32.25" customHeight="1">
      <c r="A16" s="20" t="s">
        <v>548</v>
      </c>
      <c r="B16" s="98"/>
      <c r="C16" s="22">
        <v>4500000.0</v>
      </c>
      <c r="D16" s="26">
        <v>2021.0</v>
      </c>
      <c r="E16" s="91">
        <v>44317.0</v>
      </c>
      <c r="F16" s="67" t="s">
        <v>549</v>
      </c>
      <c r="G16" s="26" t="s">
        <v>22</v>
      </c>
      <c r="H16" s="26" t="s">
        <v>23</v>
      </c>
      <c r="I16" s="26"/>
      <c r="J16" s="26">
        <v>2.0</v>
      </c>
      <c r="K16" s="22"/>
      <c r="L16" s="28"/>
      <c r="M16" s="34" t="s">
        <v>550</v>
      </c>
      <c r="N16" s="415" t="s">
        <v>551</v>
      </c>
      <c r="O16" s="31"/>
      <c r="P16" s="32">
        <v>382.0</v>
      </c>
    </row>
    <row r="17" ht="32.25" customHeight="1">
      <c r="A17" s="20" t="s">
        <v>552</v>
      </c>
      <c r="B17" s="98" t="s">
        <v>553</v>
      </c>
      <c r="C17" s="22">
        <v>1710000.0</v>
      </c>
      <c r="D17" s="26">
        <v>2021.0</v>
      </c>
      <c r="E17" s="91">
        <v>44317.0</v>
      </c>
      <c r="F17" s="417" t="s">
        <v>554</v>
      </c>
      <c r="G17" s="26" t="s">
        <v>2163</v>
      </c>
      <c r="H17" s="26" t="s">
        <v>23</v>
      </c>
      <c r="I17" s="26"/>
      <c r="J17" s="26">
        <v>2.0</v>
      </c>
      <c r="K17" s="22"/>
      <c r="L17" s="28"/>
      <c r="M17" s="34" t="s">
        <v>555</v>
      </c>
      <c r="N17" s="415" t="s">
        <v>556</v>
      </c>
      <c r="O17" s="31"/>
      <c r="P17" s="32">
        <v>381.0</v>
      </c>
    </row>
    <row r="18" ht="32.25" customHeight="1">
      <c r="A18" s="20" t="s">
        <v>557</v>
      </c>
      <c r="B18" s="98"/>
      <c r="C18" s="22">
        <v>1.3124962E7</v>
      </c>
      <c r="D18" s="26">
        <v>2021.0</v>
      </c>
      <c r="E18" s="91">
        <v>44317.0</v>
      </c>
      <c r="F18" s="417" t="s">
        <v>558</v>
      </c>
      <c r="G18" s="26" t="s">
        <v>28</v>
      </c>
      <c r="H18" s="26" t="s">
        <v>380</v>
      </c>
      <c r="I18" s="26" t="s">
        <v>29</v>
      </c>
      <c r="J18" s="26">
        <v>2.0</v>
      </c>
      <c r="K18" s="22"/>
      <c r="L18" s="28"/>
      <c r="M18" s="34" t="s">
        <v>559</v>
      </c>
      <c r="N18" s="415" t="s">
        <v>560</v>
      </c>
      <c r="O18" s="31"/>
      <c r="P18" s="32">
        <v>380.0</v>
      </c>
    </row>
    <row r="19" ht="32.25" customHeight="1">
      <c r="A19" s="20" t="s">
        <v>561</v>
      </c>
      <c r="B19" s="98"/>
      <c r="C19" s="22">
        <v>3000000.0</v>
      </c>
      <c r="D19" s="26">
        <v>2021.0</v>
      </c>
      <c r="E19" s="91">
        <v>44317.0</v>
      </c>
      <c r="F19" s="417"/>
      <c r="G19" s="26" t="s">
        <v>50</v>
      </c>
      <c r="H19" s="26" t="s">
        <v>380</v>
      </c>
      <c r="I19" s="26"/>
      <c r="J19" s="26">
        <v>2.0</v>
      </c>
      <c r="K19" s="22"/>
      <c r="L19" s="28"/>
      <c r="M19" s="34" t="s">
        <v>247</v>
      </c>
      <c r="N19" s="415" t="s">
        <v>562</v>
      </c>
      <c r="O19" s="31"/>
      <c r="P19" s="32">
        <v>379.0</v>
      </c>
    </row>
    <row r="20" ht="32.25" customHeight="1">
      <c r="A20" s="20" t="s">
        <v>563</v>
      </c>
      <c r="B20" s="98"/>
      <c r="C20" s="22">
        <v>1.0E7</v>
      </c>
      <c r="D20" s="26">
        <v>2021.0</v>
      </c>
      <c r="E20" s="91">
        <v>44287.0</v>
      </c>
      <c r="F20" s="417"/>
      <c r="G20" s="26" t="s">
        <v>50</v>
      </c>
      <c r="H20" s="26" t="s">
        <v>380</v>
      </c>
      <c r="I20" s="26"/>
      <c r="J20" s="26"/>
      <c r="K20" s="22" t="s">
        <v>360</v>
      </c>
      <c r="L20" s="28"/>
      <c r="M20" s="34" t="s">
        <v>34</v>
      </c>
      <c r="N20" s="415" t="s">
        <v>564</v>
      </c>
      <c r="O20" s="31"/>
      <c r="P20" s="32">
        <v>378.0</v>
      </c>
    </row>
    <row r="21" ht="32.25" customHeight="1">
      <c r="A21" s="20" t="s">
        <v>565</v>
      </c>
      <c r="B21" s="98" t="s">
        <v>566</v>
      </c>
      <c r="C21" s="22">
        <v>2.1E7</v>
      </c>
      <c r="D21" s="26">
        <v>2021.0</v>
      </c>
      <c r="E21" s="91">
        <v>44287.0</v>
      </c>
      <c r="F21" s="95" t="s">
        <v>567</v>
      </c>
      <c r="G21" s="26" t="s">
        <v>22</v>
      </c>
      <c r="H21" s="26" t="s">
        <v>23</v>
      </c>
      <c r="I21" s="26"/>
      <c r="J21" s="26">
        <v>2.0</v>
      </c>
      <c r="K21" s="22"/>
      <c r="L21" s="28"/>
      <c r="M21" s="34" t="s">
        <v>522</v>
      </c>
      <c r="N21" s="415" t="s">
        <v>568</v>
      </c>
      <c r="O21" s="31"/>
      <c r="P21" s="32">
        <v>377.0</v>
      </c>
    </row>
    <row r="22">
      <c r="A22" s="20"/>
      <c r="B22" s="51"/>
      <c r="C22" s="22"/>
      <c r="D22" s="26"/>
      <c r="E22" s="91"/>
      <c r="F22" s="26"/>
      <c r="G22" s="26"/>
      <c r="H22" s="26"/>
      <c r="I22" s="26"/>
      <c r="J22" s="26"/>
      <c r="K22" s="22"/>
      <c r="L22" s="28"/>
      <c r="M22" s="34"/>
      <c r="N22" s="418"/>
      <c r="O22" s="31"/>
      <c r="P22" s="32"/>
    </row>
    <row r="23">
      <c r="A23" s="20"/>
      <c r="B23" s="51"/>
      <c r="C23" s="22"/>
      <c r="D23" s="26"/>
      <c r="E23" s="91"/>
      <c r="F23" s="26"/>
      <c r="G23" s="26"/>
      <c r="H23" s="26"/>
      <c r="I23" s="26"/>
      <c r="J23" s="26"/>
      <c r="K23" s="22"/>
      <c r="L23" s="28"/>
      <c r="M23" s="34"/>
      <c r="N23" s="418"/>
      <c r="O23" s="31"/>
      <c r="P23" s="32"/>
    </row>
    <row r="24">
      <c r="A24" s="20"/>
      <c r="B24" s="51"/>
      <c r="C24" s="22"/>
      <c r="D24" s="26"/>
      <c r="E24" s="101"/>
      <c r="F24" s="26"/>
      <c r="G24" s="26"/>
      <c r="H24" s="26"/>
      <c r="I24" s="26"/>
      <c r="J24" s="26"/>
      <c r="K24" s="22"/>
      <c r="L24" s="28"/>
      <c r="M24" s="34"/>
      <c r="N24" s="418"/>
      <c r="O24" s="31"/>
      <c r="P24" s="32"/>
    </row>
    <row r="25">
      <c r="A25" s="20"/>
      <c r="B25" s="51"/>
      <c r="C25" s="22"/>
      <c r="D25" s="26"/>
      <c r="E25" s="101"/>
      <c r="F25" s="26"/>
      <c r="G25" s="26"/>
      <c r="H25" s="26"/>
      <c r="I25" s="26"/>
      <c r="J25" s="26"/>
      <c r="K25" s="22"/>
      <c r="L25" s="28"/>
      <c r="M25" s="34"/>
      <c r="N25" s="418"/>
      <c r="O25" s="31"/>
      <c r="P25" s="32"/>
    </row>
    <row r="26">
      <c r="A26" s="20"/>
      <c r="B26" s="51"/>
      <c r="C26" s="22"/>
      <c r="D26" s="26"/>
      <c r="E26" s="101"/>
      <c r="F26" s="26"/>
      <c r="G26" s="26"/>
      <c r="H26" s="26"/>
      <c r="I26" s="26"/>
      <c r="J26" s="26"/>
      <c r="K26" s="22"/>
      <c r="L26" s="28"/>
      <c r="M26" s="34"/>
      <c r="N26" s="418"/>
      <c r="O26" s="31"/>
      <c r="P26" s="32"/>
    </row>
    <row r="27">
      <c r="A27" s="20"/>
      <c r="B27" s="51"/>
      <c r="C27" s="22"/>
      <c r="D27" s="26"/>
      <c r="E27" s="101"/>
      <c r="F27" s="26"/>
      <c r="G27" s="26"/>
      <c r="H27" s="26"/>
      <c r="I27" s="26"/>
      <c r="J27" s="26"/>
      <c r="K27" s="27"/>
      <c r="L27" s="28"/>
      <c r="M27" s="34"/>
      <c r="N27" s="418"/>
      <c r="O27" s="31"/>
      <c r="P27" s="32"/>
    </row>
    <row r="28">
      <c r="A28" s="20"/>
      <c r="B28" s="51"/>
      <c r="C28" s="22"/>
      <c r="D28" s="26"/>
      <c r="E28" s="101"/>
      <c r="F28" s="26"/>
      <c r="G28" s="26"/>
      <c r="H28" s="26"/>
      <c r="I28" s="26"/>
      <c r="J28" s="26"/>
      <c r="K28" s="27"/>
      <c r="L28" s="28"/>
      <c r="M28" s="34"/>
      <c r="N28" s="418"/>
      <c r="O28" s="31"/>
      <c r="P28" s="32"/>
    </row>
    <row r="29">
      <c r="A29" s="20"/>
      <c r="B29" s="51"/>
      <c r="C29" s="22"/>
      <c r="D29" s="26"/>
      <c r="E29" s="101"/>
      <c r="F29" s="26"/>
      <c r="G29" s="26"/>
      <c r="H29" s="26"/>
      <c r="I29" s="26"/>
      <c r="J29" s="26"/>
      <c r="K29" s="27"/>
      <c r="L29" s="28"/>
      <c r="M29" s="34"/>
      <c r="N29" s="418"/>
      <c r="O29" s="31"/>
      <c r="P29" s="32"/>
    </row>
    <row r="30">
      <c r="A30" s="20"/>
      <c r="B30" s="51"/>
      <c r="C30" s="22"/>
      <c r="D30" s="26"/>
      <c r="E30" s="101"/>
      <c r="F30" s="26"/>
      <c r="G30" s="26"/>
      <c r="H30" s="26"/>
      <c r="I30" s="26"/>
      <c r="J30" s="26"/>
      <c r="K30" s="27"/>
      <c r="L30" s="28"/>
      <c r="M30" s="34"/>
      <c r="N30" s="418"/>
      <c r="O30" s="31"/>
      <c r="P30" s="32"/>
    </row>
    <row r="31">
      <c r="A31" s="20"/>
      <c r="B31" s="51"/>
      <c r="C31" s="22"/>
      <c r="D31" s="26"/>
      <c r="E31" s="101"/>
      <c r="F31" s="26"/>
      <c r="G31" s="26"/>
      <c r="H31" s="26"/>
      <c r="I31" s="26"/>
      <c r="J31" s="26"/>
      <c r="K31" s="27"/>
      <c r="L31" s="28"/>
      <c r="M31" s="34"/>
      <c r="N31" s="418"/>
      <c r="O31" s="31"/>
      <c r="P31" s="32"/>
    </row>
    <row r="32">
      <c r="A32" s="20"/>
      <c r="B32" s="51"/>
      <c r="C32" s="22"/>
      <c r="D32" s="26"/>
      <c r="E32" s="101"/>
      <c r="F32" s="26"/>
      <c r="G32" s="26"/>
      <c r="H32" s="26"/>
      <c r="I32" s="26"/>
      <c r="J32" s="26"/>
      <c r="K32" s="27"/>
      <c r="L32" s="28"/>
      <c r="M32" s="34"/>
      <c r="N32" s="418"/>
      <c r="O32" s="31"/>
      <c r="P32" s="32"/>
    </row>
    <row r="33">
      <c r="A33" s="20"/>
      <c r="B33" s="51"/>
      <c r="C33" s="22"/>
      <c r="D33" s="26"/>
      <c r="E33" s="101"/>
      <c r="F33" s="26"/>
      <c r="G33" s="26"/>
      <c r="H33" s="26"/>
      <c r="I33" s="26"/>
      <c r="J33" s="26"/>
      <c r="K33" s="27"/>
      <c r="L33" s="28"/>
      <c r="M33" s="34"/>
      <c r="N33" s="418"/>
      <c r="O33" s="31"/>
      <c r="P33" s="32"/>
    </row>
    <row r="34">
      <c r="A34" s="20"/>
      <c r="B34" s="51"/>
      <c r="C34" s="22"/>
      <c r="D34" s="26"/>
      <c r="E34" s="101"/>
      <c r="F34" s="26"/>
      <c r="G34" s="26"/>
      <c r="H34" s="26"/>
      <c r="I34" s="26"/>
      <c r="J34" s="26"/>
      <c r="K34" s="27"/>
      <c r="L34" s="28"/>
      <c r="M34" s="34"/>
      <c r="N34" s="418"/>
      <c r="O34" s="31"/>
      <c r="P34" s="32"/>
    </row>
    <row r="35">
      <c r="A35" s="20"/>
      <c r="B35" s="51"/>
      <c r="C35" s="22"/>
      <c r="D35" s="26"/>
      <c r="E35" s="101"/>
      <c r="F35" s="26"/>
      <c r="G35" s="26"/>
      <c r="H35" s="26"/>
      <c r="I35" s="26"/>
      <c r="J35" s="26"/>
      <c r="K35" s="27"/>
      <c r="L35" s="28"/>
      <c r="M35" s="34"/>
      <c r="N35" s="418"/>
      <c r="O35" s="31"/>
      <c r="P35" s="32"/>
    </row>
    <row r="36">
      <c r="A36" s="20"/>
      <c r="B36" s="51"/>
      <c r="C36" s="22"/>
      <c r="D36" s="26"/>
      <c r="E36" s="101"/>
      <c r="F36" s="26"/>
      <c r="G36" s="26"/>
      <c r="H36" s="26"/>
      <c r="I36" s="26"/>
      <c r="J36" s="26"/>
      <c r="K36" s="27"/>
      <c r="L36" s="28"/>
      <c r="M36" s="34"/>
      <c r="N36" s="418"/>
      <c r="O36" s="31"/>
      <c r="P36" s="32"/>
    </row>
    <row r="37">
      <c r="A37" s="20"/>
      <c r="B37" s="51"/>
      <c r="C37" s="22"/>
      <c r="D37" s="26"/>
      <c r="E37" s="101"/>
      <c r="F37" s="26"/>
      <c r="G37" s="26"/>
      <c r="H37" s="26"/>
      <c r="I37" s="28"/>
      <c r="J37" s="26"/>
      <c r="K37" s="27"/>
      <c r="L37" s="28"/>
      <c r="M37" s="34"/>
      <c r="N37" s="418"/>
      <c r="O37" s="31"/>
      <c r="P37" s="32"/>
    </row>
    <row r="38">
      <c r="A38" s="20"/>
      <c r="B38" s="51"/>
      <c r="C38" s="22"/>
      <c r="D38" s="26"/>
      <c r="E38" s="101"/>
      <c r="F38" s="26"/>
      <c r="G38" s="26"/>
      <c r="H38" s="26"/>
      <c r="I38" s="28"/>
      <c r="J38" s="26"/>
      <c r="K38" s="27"/>
      <c r="L38" s="28"/>
      <c r="M38" s="34"/>
      <c r="N38" s="418"/>
      <c r="O38" s="31"/>
      <c r="P38" s="32"/>
    </row>
    <row r="39">
      <c r="A39" s="20"/>
      <c r="B39" s="51"/>
      <c r="C39" s="22"/>
      <c r="D39" s="26"/>
      <c r="E39" s="101"/>
      <c r="F39" s="26"/>
      <c r="G39" s="26"/>
      <c r="H39" s="26"/>
      <c r="I39" s="28"/>
      <c r="J39" s="26"/>
      <c r="K39" s="27"/>
      <c r="L39" s="28"/>
      <c r="M39" s="34"/>
      <c r="N39" s="418"/>
      <c r="O39" s="31"/>
      <c r="P39" s="32"/>
    </row>
    <row r="40">
      <c r="A40" s="20"/>
      <c r="B40" s="51"/>
      <c r="C40" s="22"/>
      <c r="D40" s="26"/>
      <c r="E40" s="101"/>
      <c r="F40" s="26"/>
      <c r="G40" s="26"/>
      <c r="H40" s="26"/>
      <c r="I40" s="28"/>
      <c r="J40" s="26"/>
      <c r="K40" s="27"/>
      <c r="L40" s="28"/>
      <c r="M40" s="34"/>
      <c r="N40" s="418"/>
      <c r="O40" s="31"/>
      <c r="P40" s="32"/>
    </row>
    <row r="41">
      <c r="A41" s="52"/>
      <c r="B41" s="52"/>
      <c r="C41" s="22"/>
      <c r="D41" s="26"/>
      <c r="E41" s="101"/>
      <c r="F41" s="26"/>
      <c r="G41" s="26"/>
      <c r="H41" s="26"/>
      <c r="I41" s="28"/>
      <c r="J41" s="26"/>
      <c r="K41" s="27"/>
      <c r="L41" s="28"/>
      <c r="M41" s="34"/>
      <c r="N41" s="418"/>
      <c r="O41" s="31"/>
      <c r="P41" s="32"/>
    </row>
    <row r="42">
      <c r="A42" s="20"/>
      <c r="B42" s="51"/>
      <c r="C42" s="22"/>
      <c r="D42" s="26"/>
      <c r="E42" s="101"/>
      <c r="F42" s="26"/>
      <c r="G42" s="26"/>
      <c r="H42" s="26"/>
      <c r="I42" s="28"/>
      <c r="J42" s="26"/>
      <c r="K42" s="27"/>
      <c r="L42" s="28"/>
      <c r="M42" s="34"/>
      <c r="N42" s="418"/>
      <c r="O42" s="31"/>
      <c r="P42" s="32"/>
    </row>
    <row r="43">
      <c r="A43" s="20"/>
      <c r="B43" s="51"/>
      <c r="C43" s="22"/>
      <c r="D43" s="26"/>
      <c r="E43" s="101"/>
      <c r="F43" s="26"/>
      <c r="G43" s="26"/>
      <c r="H43" s="26"/>
      <c r="I43" s="28"/>
      <c r="J43" s="26"/>
      <c r="K43" s="27"/>
      <c r="L43" s="28"/>
      <c r="M43" s="34"/>
      <c r="N43" s="418"/>
      <c r="O43" s="31"/>
      <c r="P43" s="32"/>
    </row>
    <row r="44">
      <c r="A44" s="20"/>
      <c r="B44" s="51"/>
      <c r="C44" s="22"/>
      <c r="D44" s="26"/>
      <c r="E44" s="101"/>
      <c r="F44" s="26"/>
      <c r="G44" s="26"/>
      <c r="H44" s="26"/>
      <c r="I44" s="28"/>
      <c r="J44" s="26"/>
      <c r="K44" s="27"/>
      <c r="L44" s="28"/>
      <c r="M44" s="34"/>
      <c r="N44" s="418"/>
      <c r="O44" s="31"/>
      <c r="P44" s="32"/>
    </row>
    <row r="45">
      <c r="A45" s="20"/>
      <c r="B45" s="51"/>
      <c r="C45" s="22"/>
      <c r="D45" s="26"/>
      <c r="E45" s="101"/>
      <c r="F45" s="26"/>
      <c r="G45" s="26"/>
      <c r="H45" s="26"/>
      <c r="I45" s="28"/>
      <c r="J45" s="26"/>
      <c r="K45" s="27"/>
      <c r="L45" s="28"/>
      <c r="M45" s="34"/>
      <c r="N45" s="418"/>
      <c r="O45" s="31"/>
      <c r="P45" s="32"/>
    </row>
    <row r="46">
      <c r="A46" s="20"/>
      <c r="B46" s="51"/>
      <c r="C46" s="22"/>
      <c r="D46" s="26"/>
      <c r="E46" s="101"/>
      <c r="F46" s="26"/>
      <c r="G46" s="26"/>
      <c r="H46" s="26"/>
      <c r="I46" s="28"/>
      <c r="J46" s="26"/>
      <c r="K46" s="27"/>
      <c r="L46" s="28"/>
      <c r="M46" s="34"/>
      <c r="N46" s="418"/>
      <c r="O46" s="31"/>
      <c r="P46" s="32"/>
    </row>
    <row r="47">
      <c r="A47" s="20"/>
      <c r="B47" s="51"/>
      <c r="C47" s="22"/>
      <c r="D47" s="26"/>
      <c r="E47" s="101"/>
      <c r="F47" s="26"/>
      <c r="G47" s="26"/>
      <c r="H47" s="26"/>
      <c r="I47" s="28"/>
      <c r="J47" s="26"/>
      <c r="K47" s="27"/>
      <c r="L47" s="28"/>
      <c r="M47" s="34"/>
      <c r="N47" s="418"/>
      <c r="O47" s="31"/>
      <c r="P47" s="32"/>
    </row>
    <row r="48">
      <c r="A48" s="20"/>
      <c r="B48" s="51"/>
      <c r="C48" s="22"/>
      <c r="D48" s="26"/>
      <c r="E48" s="101"/>
      <c r="F48" s="26"/>
      <c r="G48" s="26"/>
      <c r="H48" s="26"/>
      <c r="I48" s="28"/>
      <c r="J48" s="26"/>
      <c r="K48" s="27"/>
      <c r="L48" s="28"/>
      <c r="M48" s="34"/>
      <c r="N48" s="418"/>
      <c r="O48" s="31"/>
      <c r="P48" s="32"/>
    </row>
    <row r="49">
      <c r="A49" s="20"/>
      <c r="B49" s="51"/>
      <c r="C49" s="22"/>
      <c r="D49" s="26"/>
      <c r="E49" s="101"/>
      <c r="F49" s="26"/>
      <c r="G49" s="26"/>
      <c r="H49" s="26"/>
      <c r="I49" s="28"/>
      <c r="J49" s="26"/>
      <c r="K49" s="27"/>
      <c r="L49" s="28"/>
      <c r="M49" s="34"/>
      <c r="N49" s="418"/>
      <c r="O49" s="31"/>
      <c r="P49" s="32"/>
    </row>
    <row r="50">
      <c r="A50" s="20"/>
      <c r="B50" s="51"/>
      <c r="C50" s="22"/>
      <c r="D50" s="26"/>
      <c r="E50" s="101"/>
      <c r="F50" s="26"/>
      <c r="G50" s="26"/>
      <c r="H50" s="26"/>
      <c r="I50" s="28"/>
      <c r="J50" s="26"/>
      <c r="K50" s="27"/>
      <c r="L50" s="28"/>
      <c r="M50" s="34"/>
      <c r="N50" s="419"/>
      <c r="O50" s="31"/>
      <c r="P50" s="32"/>
    </row>
    <row r="51">
      <c r="A51" s="20"/>
      <c r="B51" s="51"/>
      <c r="C51" s="22"/>
      <c r="D51" s="26"/>
      <c r="E51" s="101"/>
      <c r="F51" s="26"/>
      <c r="G51" s="26"/>
      <c r="H51" s="26"/>
      <c r="I51" s="28"/>
      <c r="J51" s="26"/>
      <c r="K51" s="27"/>
      <c r="L51" s="28"/>
      <c r="M51" s="34"/>
      <c r="N51" s="419"/>
      <c r="O51" s="31"/>
      <c r="P51" s="32"/>
    </row>
    <row r="52">
      <c r="A52" s="20"/>
      <c r="B52" s="51"/>
      <c r="C52" s="22"/>
      <c r="D52" s="26"/>
      <c r="E52" s="101"/>
      <c r="F52" s="26"/>
      <c r="G52" s="26"/>
      <c r="H52" s="26"/>
      <c r="I52" s="28"/>
      <c r="J52" s="26"/>
      <c r="K52" s="27"/>
      <c r="L52" s="28"/>
      <c r="M52" s="34"/>
      <c r="N52" s="419"/>
      <c r="O52" s="31"/>
      <c r="P52" s="32"/>
    </row>
    <row r="53">
      <c r="A53" s="20"/>
      <c r="B53" s="98"/>
      <c r="C53" s="22"/>
      <c r="D53" s="26"/>
      <c r="E53" s="101"/>
      <c r="F53" s="26"/>
      <c r="G53" s="26"/>
      <c r="H53" s="26"/>
      <c r="I53" s="28"/>
      <c r="J53" s="26"/>
      <c r="K53" s="27"/>
      <c r="L53" s="28"/>
      <c r="M53" s="34"/>
      <c r="N53" s="418"/>
      <c r="O53" s="31"/>
      <c r="P53" s="32"/>
    </row>
    <row r="54">
      <c r="A54" s="103"/>
      <c r="B54" s="420"/>
      <c r="C54" s="22"/>
      <c r="D54" s="26"/>
      <c r="E54" s="101"/>
      <c r="F54" s="26"/>
      <c r="G54" s="26"/>
      <c r="H54" s="26"/>
      <c r="I54" s="26"/>
      <c r="J54" s="26"/>
      <c r="K54" s="27"/>
      <c r="L54" s="28"/>
      <c r="M54" s="105"/>
      <c r="N54" s="107"/>
      <c r="O54" s="107"/>
      <c r="P54" s="32"/>
    </row>
    <row r="55">
      <c r="A55" s="103"/>
      <c r="B55" s="420"/>
      <c r="C55" s="22"/>
      <c r="D55" s="26"/>
      <c r="E55" s="101"/>
      <c r="F55" s="26"/>
      <c r="G55" s="26"/>
      <c r="H55" s="26"/>
      <c r="I55" s="26"/>
      <c r="J55" s="26"/>
      <c r="K55" s="27"/>
      <c r="L55" s="28"/>
      <c r="M55" s="105"/>
      <c r="N55" s="107"/>
      <c r="O55" s="107"/>
      <c r="P55" s="32"/>
    </row>
    <row r="56">
      <c r="A56" s="103"/>
      <c r="B56" s="420"/>
      <c r="C56" s="22"/>
      <c r="D56" s="26"/>
      <c r="E56" s="101"/>
      <c r="F56" s="26"/>
      <c r="G56" s="26"/>
      <c r="H56" s="26"/>
      <c r="I56" s="26"/>
      <c r="J56" s="26"/>
      <c r="K56" s="27"/>
      <c r="L56" s="28"/>
      <c r="M56" s="105"/>
      <c r="N56" s="107"/>
      <c r="O56" s="107"/>
      <c r="P56" s="32"/>
    </row>
    <row r="57">
      <c r="A57" s="103"/>
      <c r="B57" s="420"/>
      <c r="C57" s="22"/>
      <c r="D57" s="26"/>
      <c r="E57" s="108"/>
      <c r="F57" s="26"/>
      <c r="G57" s="26"/>
      <c r="H57" s="26"/>
      <c r="I57" s="26"/>
      <c r="J57" s="26"/>
      <c r="K57" s="27"/>
      <c r="L57" s="28"/>
      <c r="M57" s="105"/>
      <c r="N57" s="107"/>
      <c r="O57" s="107"/>
      <c r="P57" s="32"/>
    </row>
    <row r="58">
      <c r="A58" s="103"/>
      <c r="B58" s="420"/>
      <c r="C58" s="22"/>
      <c r="D58" s="26"/>
      <c r="E58" s="101"/>
      <c r="F58" s="26"/>
      <c r="G58" s="26"/>
      <c r="H58" s="26"/>
      <c r="I58" s="26"/>
      <c r="J58" s="26"/>
      <c r="K58" s="27"/>
      <c r="L58" s="28"/>
      <c r="M58" s="105"/>
      <c r="N58" s="107"/>
      <c r="O58" s="107"/>
      <c r="P58" s="32"/>
    </row>
    <row r="59">
      <c r="A59" s="103"/>
      <c r="B59" s="420"/>
      <c r="C59" s="22"/>
      <c r="D59" s="26"/>
      <c r="E59" s="101"/>
      <c r="F59" s="26"/>
      <c r="G59" s="26"/>
      <c r="H59" s="26"/>
      <c r="I59" s="26"/>
      <c r="J59" s="26"/>
      <c r="K59" s="27"/>
      <c r="L59" s="28"/>
      <c r="M59" s="105"/>
      <c r="N59" s="107"/>
      <c r="O59" s="107"/>
      <c r="P59" s="32"/>
    </row>
    <row r="60">
      <c r="A60" s="103"/>
      <c r="B60" s="420"/>
      <c r="C60" s="22"/>
      <c r="D60" s="26"/>
      <c r="E60" s="101"/>
      <c r="F60" s="26"/>
      <c r="G60" s="26"/>
      <c r="H60" s="26"/>
      <c r="I60" s="26"/>
      <c r="J60" s="26"/>
      <c r="K60" s="27"/>
      <c r="L60" s="28"/>
      <c r="M60" s="105"/>
      <c r="N60" s="107"/>
      <c r="O60" s="107"/>
      <c r="P60" s="32"/>
    </row>
    <row r="61">
      <c r="A61" s="103"/>
      <c r="B61" s="420"/>
      <c r="C61" s="22"/>
      <c r="D61" s="26"/>
      <c r="E61" s="101"/>
      <c r="F61" s="26"/>
      <c r="G61" s="26"/>
      <c r="H61" s="26"/>
      <c r="I61" s="26"/>
      <c r="J61" s="26"/>
      <c r="K61" s="27"/>
      <c r="L61" s="28"/>
      <c r="M61" s="105"/>
      <c r="N61" s="107"/>
      <c r="O61" s="107"/>
      <c r="P61" s="32"/>
    </row>
    <row r="62">
      <c r="A62" s="103"/>
      <c r="B62" s="420"/>
      <c r="C62" s="22"/>
      <c r="D62" s="26"/>
      <c r="E62" s="101"/>
      <c r="F62" s="26"/>
      <c r="G62" s="26"/>
      <c r="H62" s="26"/>
      <c r="I62" s="26"/>
      <c r="J62" s="26"/>
      <c r="K62" s="27"/>
      <c r="L62" s="28"/>
      <c r="M62" s="105"/>
      <c r="N62" s="107"/>
      <c r="O62" s="107"/>
      <c r="P62" s="32"/>
    </row>
    <row r="63">
      <c r="A63" s="103"/>
      <c r="B63" s="420"/>
      <c r="C63" s="22"/>
      <c r="D63" s="26"/>
      <c r="E63" s="101"/>
      <c r="F63" s="26"/>
      <c r="G63" s="26"/>
      <c r="H63" s="26"/>
      <c r="I63" s="26"/>
      <c r="J63" s="26"/>
      <c r="K63" s="27"/>
      <c r="L63" s="28"/>
      <c r="M63" s="105"/>
      <c r="N63" s="107"/>
      <c r="O63" s="107"/>
      <c r="P63" s="32"/>
    </row>
    <row r="64">
      <c r="A64" s="103"/>
      <c r="B64" s="420"/>
      <c r="C64" s="22"/>
      <c r="D64" s="26"/>
      <c r="E64" s="101"/>
      <c r="F64" s="26"/>
      <c r="G64" s="26"/>
      <c r="H64" s="26"/>
      <c r="I64" s="28"/>
      <c r="J64" s="26"/>
      <c r="K64" s="27"/>
      <c r="L64" s="28"/>
      <c r="M64" s="105"/>
      <c r="N64" s="107"/>
      <c r="O64" s="109"/>
      <c r="P64" s="32"/>
    </row>
    <row r="65">
      <c r="A65" s="103"/>
      <c r="B65" s="420"/>
      <c r="C65" s="22"/>
      <c r="D65" s="26"/>
      <c r="E65" s="101"/>
      <c r="F65" s="26"/>
      <c r="G65" s="26"/>
      <c r="H65" s="26"/>
      <c r="I65" s="28"/>
      <c r="J65" s="26"/>
      <c r="K65" s="27"/>
      <c r="L65" s="28"/>
      <c r="M65" s="105"/>
      <c r="N65" s="107"/>
      <c r="O65" s="109"/>
      <c r="P65" s="32"/>
    </row>
    <row r="66">
      <c r="A66" s="103"/>
      <c r="B66" s="420"/>
      <c r="C66" s="22"/>
      <c r="D66" s="26"/>
      <c r="E66" s="101"/>
      <c r="F66" s="26"/>
      <c r="G66" s="26"/>
      <c r="H66" s="26"/>
      <c r="I66" s="28"/>
      <c r="J66" s="26"/>
      <c r="K66" s="27"/>
      <c r="L66" s="28"/>
      <c r="M66" s="105"/>
      <c r="N66" s="107"/>
      <c r="O66" s="109"/>
      <c r="P66" s="32"/>
    </row>
    <row r="67">
      <c r="A67" s="103"/>
      <c r="B67" s="420"/>
      <c r="C67" s="22"/>
      <c r="D67" s="26"/>
      <c r="E67" s="101"/>
      <c r="F67" s="26"/>
      <c r="G67" s="26"/>
      <c r="H67" s="26"/>
      <c r="I67" s="28"/>
      <c r="J67" s="26"/>
      <c r="K67" s="27"/>
      <c r="L67" s="28"/>
      <c r="M67" s="105"/>
      <c r="N67" s="107"/>
      <c r="O67" s="109"/>
      <c r="P67" s="32"/>
    </row>
    <row r="68">
      <c r="A68" s="103"/>
      <c r="B68" s="420"/>
      <c r="C68" s="22"/>
      <c r="D68" s="26"/>
      <c r="E68" s="101"/>
      <c r="F68" s="26"/>
      <c r="G68" s="26"/>
      <c r="H68" s="26"/>
      <c r="I68" s="28"/>
      <c r="J68" s="26"/>
      <c r="K68" s="27"/>
      <c r="L68" s="28"/>
      <c r="M68" s="105"/>
      <c r="N68" s="107"/>
      <c r="O68" s="109"/>
      <c r="P68" s="32"/>
    </row>
    <row r="69">
      <c r="A69" s="103"/>
      <c r="B69" s="420"/>
      <c r="C69" s="22"/>
      <c r="D69" s="26"/>
      <c r="E69" s="101"/>
      <c r="F69" s="26"/>
      <c r="G69" s="26"/>
      <c r="H69" s="26"/>
      <c r="I69" s="28"/>
      <c r="J69" s="26"/>
      <c r="K69" s="27"/>
      <c r="L69" s="28"/>
      <c r="M69" s="105"/>
      <c r="N69" s="107"/>
      <c r="O69" s="109"/>
      <c r="P69" s="32"/>
    </row>
    <row r="70">
      <c r="A70" s="103"/>
      <c r="B70" s="420"/>
      <c r="C70" s="22"/>
      <c r="D70" s="26"/>
      <c r="E70" s="101"/>
      <c r="F70" s="26"/>
      <c r="G70" s="26"/>
      <c r="H70" s="26"/>
      <c r="I70" s="28"/>
      <c r="J70" s="26"/>
      <c r="K70" s="27"/>
      <c r="L70" s="28"/>
      <c r="M70" s="105"/>
      <c r="N70" s="107"/>
      <c r="O70" s="109"/>
      <c r="P70" s="32"/>
    </row>
    <row r="71">
      <c r="A71" s="103"/>
      <c r="B71" s="420"/>
      <c r="C71" s="22"/>
      <c r="D71" s="26"/>
      <c r="E71" s="101"/>
      <c r="F71" s="26"/>
      <c r="G71" s="26"/>
      <c r="H71" s="26"/>
      <c r="I71" s="28"/>
      <c r="J71" s="26"/>
      <c r="K71" s="27"/>
      <c r="L71" s="28"/>
      <c r="M71" s="105"/>
      <c r="N71" s="107"/>
      <c r="O71" s="109"/>
      <c r="P71" s="32"/>
    </row>
    <row r="72">
      <c r="A72" s="103"/>
      <c r="B72" s="420"/>
      <c r="C72" s="22"/>
      <c r="D72" s="26"/>
      <c r="E72" s="101"/>
      <c r="F72" s="26"/>
      <c r="G72" s="26"/>
      <c r="H72" s="26"/>
      <c r="I72" s="28"/>
      <c r="J72" s="26"/>
      <c r="K72" s="27"/>
      <c r="L72" s="28"/>
      <c r="M72" s="105"/>
      <c r="N72" s="107"/>
      <c r="O72" s="109"/>
      <c r="P72" s="32"/>
    </row>
    <row r="73">
      <c r="A73" s="103"/>
      <c r="B73" s="420"/>
      <c r="C73" s="22"/>
      <c r="D73" s="26"/>
      <c r="E73" s="101"/>
      <c r="F73" s="26"/>
      <c r="G73" s="26"/>
      <c r="H73" s="26"/>
      <c r="I73" s="28"/>
      <c r="J73" s="26"/>
      <c r="K73" s="27"/>
      <c r="L73" s="28"/>
      <c r="M73" s="105"/>
      <c r="N73" s="107"/>
      <c r="O73" s="109"/>
      <c r="P73" s="32"/>
    </row>
    <row r="74">
      <c r="A74" s="103"/>
      <c r="B74" s="420"/>
      <c r="C74" s="22"/>
      <c r="D74" s="26"/>
      <c r="E74" s="101"/>
      <c r="F74" s="26"/>
      <c r="G74" s="26"/>
      <c r="H74" s="26"/>
      <c r="I74" s="28"/>
      <c r="J74" s="26"/>
      <c r="K74" s="27"/>
      <c r="L74" s="28"/>
      <c r="M74" s="105"/>
      <c r="N74" s="107"/>
      <c r="O74" s="109"/>
      <c r="P74" s="32"/>
    </row>
    <row r="75">
      <c r="A75" s="103"/>
      <c r="B75" s="420"/>
      <c r="C75" s="22"/>
      <c r="D75" s="26"/>
      <c r="E75" s="101"/>
      <c r="F75" s="26"/>
      <c r="G75" s="26"/>
      <c r="H75" s="26"/>
      <c r="I75" s="28"/>
      <c r="J75" s="26"/>
      <c r="K75" s="27"/>
      <c r="L75" s="28"/>
      <c r="M75" s="105"/>
      <c r="N75" s="107"/>
      <c r="O75" s="109"/>
      <c r="P75" s="32"/>
    </row>
    <row r="76">
      <c r="A76" s="103"/>
      <c r="B76" s="420"/>
      <c r="C76" s="22"/>
      <c r="D76" s="26"/>
      <c r="E76" s="101"/>
      <c r="F76" s="26"/>
      <c r="G76" s="26"/>
      <c r="H76" s="26"/>
      <c r="I76" s="28"/>
      <c r="J76" s="26"/>
      <c r="K76" s="27"/>
      <c r="L76" s="28"/>
      <c r="M76" s="105"/>
      <c r="N76" s="107"/>
      <c r="O76" s="109"/>
      <c r="P76" s="32"/>
    </row>
    <row r="77">
      <c r="A77" s="103"/>
      <c r="B77" s="420"/>
      <c r="C77" s="22"/>
      <c r="D77" s="26"/>
      <c r="E77" s="101"/>
      <c r="F77" s="26"/>
      <c r="G77" s="26"/>
      <c r="H77" s="26"/>
      <c r="I77" s="28"/>
      <c r="J77" s="26"/>
      <c r="K77" s="27"/>
      <c r="L77" s="28"/>
      <c r="M77" s="105"/>
      <c r="N77" s="107"/>
      <c r="O77" s="109"/>
      <c r="P77" s="32"/>
    </row>
    <row r="78">
      <c r="A78" s="103"/>
      <c r="B78" s="420"/>
      <c r="C78" s="22"/>
      <c r="D78" s="26"/>
      <c r="E78" s="101"/>
      <c r="F78" s="26"/>
      <c r="G78" s="26"/>
      <c r="H78" s="26"/>
      <c r="I78" s="28"/>
      <c r="J78" s="26"/>
      <c r="K78" s="27"/>
      <c r="L78" s="28"/>
      <c r="M78" s="105"/>
      <c r="N78" s="107"/>
      <c r="O78" s="109"/>
      <c r="P78" s="32"/>
    </row>
    <row r="79">
      <c r="A79" s="103"/>
      <c r="B79" s="420"/>
      <c r="C79" s="22"/>
      <c r="D79" s="26"/>
      <c r="E79" s="101"/>
      <c r="F79" s="26"/>
      <c r="G79" s="26"/>
      <c r="H79" s="26"/>
      <c r="I79" s="28"/>
      <c r="J79" s="26"/>
      <c r="K79" s="27"/>
      <c r="L79" s="28"/>
      <c r="M79" s="105"/>
      <c r="N79" s="107"/>
      <c r="O79" s="109"/>
      <c r="P79" s="32"/>
    </row>
    <row r="80">
      <c r="A80" s="103"/>
      <c r="B80" s="420"/>
      <c r="C80" s="22"/>
      <c r="D80" s="26"/>
      <c r="E80" s="101"/>
      <c r="F80" s="26"/>
      <c r="G80" s="26"/>
      <c r="H80" s="26"/>
      <c r="I80" s="28"/>
      <c r="J80" s="26"/>
      <c r="K80" s="27"/>
      <c r="L80" s="28"/>
      <c r="M80" s="105"/>
      <c r="N80" s="107"/>
      <c r="O80" s="109"/>
      <c r="P80" s="32"/>
    </row>
    <row r="81">
      <c r="A81" s="103"/>
      <c r="B81" s="420"/>
      <c r="C81" s="22"/>
      <c r="D81" s="26"/>
      <c r="E81" s="101"/>
      <c r="F81" s="26"/>
      <c r="G81" s="26"/>
      <c r="H81" s="26"/>
      <c r="I81" s="28"/>
      <c r="J81" s="26"/>
      <c r="K81" s="27"/>
      <c r="L81" s="28"/>
      <c r="M81" s="105"/>
      <c r="N81" s="107"/>
      <c r="O81" s="109"/>
      <c r="P81" s="32"/>
    </row>
    <row r="82">
      <c r="A82" s="103"/>
      <c r="B82" s="420"/>
      <c r="C82" s="22"/>
      <c r="D82" s="26"/>
      <c r="E82" s="101"/>
      <c r="F82" s="26"/>
      <c r="G82" s="26"/>
      <c r="H82" s="26"/>
      <c r="I82" s="28"/>
      <c r="J82" s="26"/>
      <c r="K82" s="27"/>
      <c r="L82" s="28"/>
      <c r="M82" s="105"/>
      <c r="N82" s="107"/>
      <c r="O82" s="109"/>
      <c r="P82" s="32"/>
    </row>
    <row r="83">
      <c r="A83" s="103"/>
      <c r="B83" s="420"/>
      <c r="C83" s="22"/>
      <c r="D83" s="26"/>
      <c r="E83" s="101"/>
      <c r="F83" s="26"/>
      <c r="G83" s="26"/>
      <c r="H83" s="26"/>
      <c r="I83" s="28"/>
      <c r="J83" s="26"/>
      <c r="K83" s="27"/>
      <c r="L83" s="28"/>
      <c r="M83" s="105"/>
      <c r="N83" s="107"/>
      <c r="O83" s="109"/>
      <c r="P83" s="32"/>
    </row>
    <row r="84">
      <c r="A84" s="103"/>
      <c r="B84" s="420"/>
      <c r="C84" s="22"/>
      <c r="D84" s="26"/>
      <c r="E84" s="101"/>
      <c r="F84" s="26"/>
      <c r="G84" s="26"/>
      <c r="H84" s="26"/>
      <c r="I84" s="28"/>
      <c r="J84" s="26"/>
      <c r="K84" s="27"/>
      <c r="L84" s="28"/>
      <c r="M84" s="105"/>
      <c r="N84" s="107"/>
      <c r="O84" s="109"/>
      <c r="P84" s="32"/>
    </row>
    <row r="85">
      <c r="A85" s="103"/>
      <c r="B85" s="420"/>
      <c r="C85" s="22"/>
      <c r="D85" s="26"/>
      <c r="E85" s="101"/>
      <c r="F85" s="26"/>
      <c r="G85" s="26"/>
      <c r="H85" s="26"/>
      <c r="I85" s="28"/>
      <c r="J85" s="26"/>
      <c r="K85" s="27"/>
      <c r="L85" s="28"/>
      <c r="M85" s="105"/>
      <c r="N85" s="107"/>
      <c r="O85" s="109"/>
      <c r="P85" s="32"/>
    </row>
    <row r="86">
      <c r="A86" s="421"/>
      <c r="B86" s="422"/>
      <c r="C86" s="423"/>
      <c r="D86" s="422"/>
      <c r="E86" s="424"/>
      <c r="F86" s="422"/>
      <c r="G86" s="26"/>
      <c r="H86" s="425"/>
      <c r="I86" s="426"/>
      <c r="J86" s="422"/>
      <c r="K86" s="27"/>
      <c r="L86" s="110"/>
      <c r="M86" s="26"/>
      <c r="N86" s="427"/>
      <c r="O86" s="427"/>
      <c r="P86" s="32"/>
    </row>
    <row r="87">
      <c r="A87" s="421"/>
      <c r="B87" s="422"/>
      <c r="C87" s="423"/>
      <c r="D87" s="422"/>
      <c r="E87" s="424"/>
      <c r="F87" s="422"/>
      <c r="G87" s="26"/>
      <c r="H87" s="425"/>
      <c r="I87" s="426"/>
      <c r="J87" s="422"/>
      <c r="K87" s="27"/>
      <c r="L87" s="110"/>
      <c r="M87" s="26"/>
      <c r="N87" s="427"/>
      <c r="O87" s="427"/>
      <c r="P87" s="32"/>
    </row>
    <row r="88">
      <c r="A88" s="52"/>
      <c r="B88" s="428"/>
      <c r="C88" s="22"/>
      <c r="D88" s="422"/>
      <c r="E88" s="424"/>
      <c r="F88" s="425"/>
      <c r="G88" s="425"/>
      <c r="H88" s="425"/>
      <c r="I88" s="428"/>
      <c r="J88" s="422"/>
      <c r="K88" s="429"/>
      <c r="L88" s="428"/>
      <c r="M88" s="425"/>
      <c r="N88" s="419"/>
      <c r="O88" s="428"/>
      <c r="P88" s="32"/>
    </row>
    <row r="89">
      <c r="A89" s="20"/>
      <c r="B89" s="111"/>
      <c r="C89" s="22"/>
      <c r="D89" s="26"/>
      <c r="E89" s="101"/>
      <c r="F89" s="26"/>
      <c r="G89" s="26"/>
      <c r="H89" s="26"/>
      <c r="I89" s="28"/>
      <c r="J89" s="26"/>
      <c r="K89" s="27"/>
      <c r="L89" s="28"/>
      <c r="M89" s="34"/>
      <c r="N89" s="419"/>
      <c r="O89" s="31"/>
      <c r="P89" s="32"/>
    </row>
    <row r="90">
      <c r="A90" s="20"/>
      <c r="B90" s="111"/>
      <c r="C90" s="22"/>
      <c r="D90" s="26"/>
      <c r="E90" s="101"/>
      <c r="F90" s="26"/>
      <c r="G90" s="26"/>
      <c r="H90" s="26"/>
      <c r="I90" s="28"/>
      <c r="J90" s="26"/>
      <c r="K90" s="27"/>
      <c r="L90" s="28"/>
      <c r="M90" s="34"/>
      <c r="N90" s="419"/>
      <c r="O90" s="31"/>
      <c r="P90" s="32"/>
    </row>
    <row r="91">
      <c r="A91" s="20"/>
      <c r="B91" s="111"/>
      <c r="C91" s="22"/>
      <c r="D91" s="26"/>
      <c r="E91" s="101"/>
      <c r="F91" s="26"/>
      <c r="G91" s="26"/>
      <c r="H91" s="26"/>
      <c r="I91" s="28"/>
      <c r="J91" s="26"/>
      <c r="K91" s="27"/>
      <c r="L91" s="28"/>
      <c r="M91" s="34"/>
      <c r="N91" s="419"/>
      <c r="O91" s="31"/>
      <c r="P91" s="32"/>
    </row>
    <row r="92">
      <c r="A92" s="20"/>
      <c r="B92" s="111"/>
      <c r="C92" s="22"/>
      <c r="D92" s="26"/>
      <c r="E92" s="101"/>
      <c r="F92" s="26"/>
      <c r="G92" s="26"/>
      <c r="H92" s="26"/>
      <c r="I92" s="28"/>
      <c r="J92" s="26"/>
      <c r="K92" s="27"/>
      <c r="L92" s="28"/>
      <c r="M92" s="34"/>
      <c r="N92" s="32"/>
      <c r="O92" s="31"/>
      <c r="P92" s="32"/>
    </row>
    <row r="93">
      <c r="A93" s="20"/>
      <c r="B93" s="98"/>
      <c r="C93" s="22"/>
      <c r="D93" s="26"/>
      <c r="E93" s="101"/>
      <c r="F93" s="26"/>
      <c r="G93" s="26"/>
      <c r="H93" s="26"/>
      <c r="I93" s="28"/>
      <c r="J93" s="26"/>
      <c r="K93" s="27"/>
      <c r="L93" s="28"/>
      <c r="M93" s="34"/>
      <c r="N93" s="419"/>
      <c r="O93" s="31"/>
      <c r="P93" s="32"/>
    </row>
    <row r="94">
      <c r="A94" s="20"/>
      <c r="B94" s="98"/>
      <c r="C94" s="22"/>
      <c r="D94" s="26"/>
      <c r="E94" s="101"/>
      <c r="F94" s="26"/>
      <c r="G94" s="26"/>
      <c r="H94" s="26"/>
      <c r="I94" s="28"/>
      <c r="J94" s="26"/>
      <c r="K94" s="27"/>
      <c r="L94" s="28"/>
      <c r="M94" s="34"/>
      <c r="N94" s="419"/>
      <c r="O94" s="31"/>
      <c r="P94" s="32"/>
    </row>
    <row r="95">
      <c r="A95" s="20"/>
      <c r="B95" s="51"/>
      <c r="C95" s="22"/>
      <c r="D95" s="26"/>
      <c r="E95" s="101"/>
      <c r="F95" s="26"/>
      <c r="G95" s="26"/>
      <c r="H95" s="26"/>
      <c r="I95" s="28"/>
      <c r="J95" s="26"/>
      <c r="K95" s="27"/>
      <c r="L95" s="28"/>
      <c r="M95" s="34"/>
      <c r="N95" s="419"/>
      <c r="O95" s="31"/>
      <c r="P95" s="32"/>
    </row>
    <row r="96">
      <c r="A96" s="103"/>
      <c r="B96" s="420"/>
      <c r="C96" s="22"/>
      <c r="D96" s="26"/>
      <c r="E96" s="101"/>
      <c r="F96" s="26"/>
      <c r="G96" s="26"/>
      <c r="H96" s="26"/>
      <c r="I96" s="26"/>
      <c r="J96" s="26"/>
      <c r="K96" s="27"/>
      <c r="L96" s="28"/>
      <c r="M96" s="105"/>
      <c r="N96" s="107"/>
      <c r="O96" s="107"/>
      <c r="P96" s="32"/>
    </row>
    <row r="97">
      <c r="A97" s="103"/>
      <c r="B97" s="420"/>
      <c r="C97" s="22"/>
      <c r="D97" s="26"/>
      <c r="E97" s="101"/>
      <c r="F97" s="26"/>
      <c r="G97" s="26"/>
      <c r="H97" s="26"/>
      <c r="I97" s="26"/>
      <c r="J97" s="26"/>
      <c r="K97" s="27"/>
      <c r="L97" s="28"/>
      <c r="M97" s="105"/>
      <c r="N97" s="107"/>
      <c r="O97" s="107"/>
      <c r="P97" s="32"/>
    </row>
    <row r="98">
      <c r="A98" s="103"/>
      <c r="B98" s="420"/>
      <c r="C98" s="22"/>
      <c r="D98" s="26"/>
      <c r="E98" s="101"/>
      <c r="F98" s="26"/>
      <c r="G98" s="26"/>
      <c r="H98" s="26"/>
      <c r="I98" s="28"/>
      <c r="J98" s="26"/>
      <c r="K98" s="27"/>
      <c r="L98" s="28"/>
      <c r="M98" s="105"/>
      <c r="N98" s="107"/>
      <c r="O98" s="109"/>
      <c r="P98" s="32"/>
    </row>
    <row r="99">
      <c r="A99" s="421"/>
      <c r="B99" s="422"/>
      <c r="C99" s="423"/>
      <c r="D99" s="422"/>
      <c r="E99" s="424"/>
      <c r="F99" s="422"/>
      <c r="G99" s="26"/>
      <c r="H99" s="425"/>
      <c r="I99" s="426"/>
      <c r="J99" s="422"/>
      <c r="K99" s="27"/>
      <c r="L99" s="110"/>
      <c r="M99" s="26"/>
      <c r="N99" s="427"/>
      <c r="O99" s="427"/>
      <c r="P99" s="32"/>
    </row>
    <row r="100">
      <c r="A100" s="421"/>
      <c r="B100" s="422"/>
      <c r="C100" s="423"/>
      <c r="D100" s="422"/>
      <c r="E100" s="424"/>
      <c r="F100" s="422"/>
      <c r="G100" s="26"/>
      <c r="H100" s="430"/>
      <c r="I100" s="426"/>
      <c r="J100" s="422"/>
      <c r="K100" s="27"/>
      <c r="L100" s="110"/>
      <c r="M100" s="26"/>
      <c r="N100" s="427"/>
      <c r="O100" s="427"/>
      <c r="P100" s="32"/>
    </row>
    <row r="101">
      <c r="A101" s="421"/>
      <c r="B101" s="422"/>
      <c r="C101" s="423"/>
      <c r="D101" s="422"/>
      <c r="E101" s="424"/>
      <c r="F101" s="422"/>
      <c r="G101" s="422"/>
      <c r="H101" s="430"/>
      <c r="I101" s="426"/>
      <c r="J101" s="422"/>
      <c r="K101" s="27"/>
      <c r="L101" s="110"/>
      <c r="M101" s="26"/>
      <c r="N101" s="427"/>
      <c r="O101" s="431"/>
      <c r="P101" s="32"/>
    </row>
    <row r="102">
      <c r="A102" s="421"/>
      <c r="B102" s="422"/>
      <c r="C102" s="423"/>
      <c r="D102" s="422"/>
      <c r="E102" s="424"/>
      <c r="F102" s="422"/>
      <c r="G102" s="422"/>
      <c r="H102" s="419"/>
      <c r="I102" s="426"/>
      <c r="J102" s="422"/>
      <c r="K102" s="429"/>
      <c r="L102" s="110"/>
      <c r="M102" s="26"/>
      <c r="N102" s="427"/>
      <c r="O102" s="431"/>
      <c r="P102" s="32"/>
    </row>
    <row r="103">
      <c r="A103" s="421"/>
      <c r="B103" s="422"/>
      <c r="C103" s="423"/>
      <c r="D103" s="422"/>
      <c r="E103" s="424"/>
      <c r="F103" s="422"/>
      <c r="G103" s="422"/>
      <c r="H103" s="419"/>
      <c r="I103" s="426"/>
      <c r="J103" s="422"/>
      <c r="K103" s="429"/>
      <c r="L103" s="110"/>
      <c r="M103" s="26"/>
      <c r="N103" s="427"/>
      <c r="O103" s="427"/>
      <c r="P103" s="32"/>
    </row>
    <row r="104">
      <c r="A104" s="114"/>
      <c r="B104" s="115"/>
      <c r="C104" s="22"/>
      <c r="D104" s="26"/>
      <c r="E104" s="101"/>
      <c r="F104" s="34"/>
      <c r="G104" s="115"/>
      <c r="H104" s="419"/>
      <c r="I104" s="34"/>
      <c r="J104" s="26"/>
      <c r="K104" s="57"/>
      <c r="L104" s="53"/>
      <c r="M104" s="105"/>
      <c r="N104" s="136"/>
      <c r="O104" s="432"/>
      <c r="P104" s="32"/>
    </row>
    <row r="105">
      <c r="A105" s="421"/>
      <c r="B105" s="422"/>
      <c r="C105" s="423"/>
      <c r="D105" s="422"/>
      <c r="E105" s="424"/>
      <c r="F105" s="422"/>
      <c r="G105" s="422"/>
      <c r="H105" s="422"/>
      <c r="I105" s="422"/>
      <c r="J105" s="422"/>
      <c r="K105" s="27"/>
      <c r="L105" s="110"/>
      <c r="M105" s="26"/>
      <c r="N105" s="427"/>
      <c r="O105" s="431"/>
      <c r="P105" s="32"/>
    </row>
    <row r="106">
      <c r="A106" s="433"/>
      <c r="B106" s="430"/>
      <c r="C106" s="434"/>
      <c r="D106" s="422"/>
      <c r="E106" s="424"/>
      <c r="F106" s="425"/>
      <c r="G106" s="430"/>
      <c r="H106" s="430"/>
      <c r="I106" s="435"/>
      <c r="J106" s="422"/>
      <c r="K106" s="57"/>
      <c r="L106" s="120"/>
      <c r="M106" s="112"/>
      <c r="N106" s="436"/>
      <c r="O106" s="437"/>
      <c r="P106" s="32"/>
    </row>
    <row r="107">
      <c r="A107" s="421"/>
      <c r="B107" s="422"/>
      <c r="C107" s="423"/>
      <c r="D107" s="422"/>
      <c r="E107" s="424"/>
      <c r="F107" s="422"/>
      <c r="G107" s="422"/>
      <c r="H107" s="422"/>
      <c r="I107" s="426"/>
      <c r="J107" s="422"/>
      <c r="K107" s="57"/>
      <c r="L107" s="110"/>
      <c r="M107" s="26"/>
      <c r="N107" s="427"/>
      <c r="O107" s="431"/>
      <c r="P107" s="32"/>
    </row>
    <row r="108">
      <c r="A108" s="421"/>
      <c r="B108" s="422"/>
      <c r="C108" s="423"/>
      <c r="D108" s="422"/>
      <c r="E108" s="424"/>
      <c r="F108" s="422"/>
      <c r="G108" s="422"/>
      <c r="H108" s="419"/>
      <c r="I108" s="426"/>
      <c r="J108" s="422"/>
      <c r="K108" s="57"/>
      <c r="L108" s="123"/>
      <c r="M108" s="26"/>
      <c r="N108" s="427"/>
      <c r="O108" s="431"/>
      <c r="P108" s="32"/>
    </row>
    <row r="109">
      <c r="A109" s="433"/>
      <c r="B109" s="430"/>
      <c r="C109" s="434"/>
      <c r="D109" s="438"/>
      <c r="E109" s="424"/>
      <c r="F109" s="425"/>
      <c r="G109" s="430"/>
      <c r="H109" s="430"/>
      <c r="I109" s="419"/>
      <c r="J109" s="422"/>
      <c r="K109" s="57"/>
      <c r="L109" s="120"/>
      <c r="M109" s="112"/>
      <c r="N109" s="436"/>
      <c r="O109" s="432"/>
      <c r="P109" s="32"/>
    </row>
    <row r="110">
      <c r="A110" s="421"/>
      <c r="B110" s="422"/>
      <c r="C110" s="423"/>
      <c r="D110" s="422"/>
      <c r="E110" s="424"/>
      <c r="F110" s="422"/>
      <c r="G110" s="422"/>
      <c r="H110" s="422"/>
      <c r="I110" s="426"/>
      <c r="J110" s="422"/>
      <c r="K110" s="57"/>
      <c r="L110" s="110"/>
      <c r="M110" s="26"/>
      <c r="N110" s="427"/>
      <c r="O110" s="431"/>
      <c r="P110" s="32"/>
    </row>
    <row r="111">
      <c r="A111" s="421"/>
      <c r="B111" s="422"/>
      <c r="C111" s="423"/>
      <c r="D111" s="422"/>
      <c r="E111" s="424"/>
      <c r="F111" s="422"/>
      <c r="G111" s="422"/>
      <c r="H111" s="422"/>
      <c r="I111" s="426"/>
      <c r="J111" s="422"/>
      <c r="K111" s="57"/>
      <c r="L111" s="110"/>
      <c r="M111" s="26"/>
      <c r="N111" s="427"/>
      <c r="O111" s="431"/>
      <c r="P111" s="32"/>
    </row>
    <row r="112">
      <c r="A112" s="421"/>
      <c r="B112" s="422"/>
      <c r="C112" s="423"/>
      <c r="D112" s="422"/>
      <c r="E112" s="424"/>
      <c r="F112" s="422"/>
      <c r="G112" s="422"/>
      <c r="H112" s="422"/>
      <c r="I112" s="426"/>
      <c r="J112" s="422"/>
      <c r="K112" s="57"/>
      <c r="L112" s="110"/>
      <c r="M112" s="26"/>
      <c r="N112" s="427"/>
      <c r="O112" s="431"/>
      <c r="P112" s="32"/>
    </row>
    <row r="113">
      <c r="A113" s="421"/>
      <c r="B113" s="422"/>
      <c r="C113" s="423"/>
      <c r="D113" s="422"/>
      <c r="E113" s="424"/>
      <c r="F113" s="422"/>
      <c r="G113" s="422"/>
      <c r="H113" s="422"/>
      <c r="I113" s="426"/>
      <c r="J113" s="422"/>
      <c r="K113" s="57"/>
      <c r="L113" s="110"/>
      <c r="M113" s="26"/>
      <c r="N113" s="427"/>
      <c r="O113" s="431"/>
      <c r="P113" s="32"/>
    </row>
    <row r="114">
      <c r="A114" s="433"/>
      <c r="B114" s="430"/>
      <c r="C114" s="434"/>
      <c r="D114" s="438"/>
      <c r="E114" s="424"/>
      <c r="F114" s="425"/>
      <c r="G114" s="430"/>
      <c r="H114" s="430"/>
      <c r="I114" s="435"/>
      <c r="J114" s="438"/>
      <c r="K114" s="27"/>
      <c r="L114" s="120"/>
      <c r="M114" s="112"/>
      <c r="N114" s="436"/>
      <c r="O114" s="432"/>
      <c r="P114" s="32"/>
    </row>
    <row r="115">
      <c r="A115" s="421"/>
      <c r="B115" s="422"/>
      <c r="C115" s="423"/>
      <c r="D115" s="422"/>
      <c r="E115" s="424"/>
      <c r="F115" s="422"/>
      <c r="G115" s="26"/>
      <c r="H115" s="422"/>
      <c r="I115" s="426"/>
      <c r="J115" s="422"/>
      <c r="K115" s="57"/>
      <c r="L115" s="110"/>
      <c r="M115" s="26"/>
      <c r="N115" s="427"/>
      <c r="O115" s="431"/>
      <c r="P115" s="32"/>
    </row>
    <row r="116">
      <c r="A116" s="421"/>
      <c r="B116" s="422"/>
      <c r="C116" s="423"/>
      <c r="D116" s="422"/>
      <c r="E116" s="424"/>
      <c r="F116" s="422"/>
      <c r="G116" s="422"/>
      <c r="H116" s="422"/>
      <c r="I116" s="422"/>
      <c r="J116" s="422"/>
      <c r="K116" s="27"/>
      <c r="L116" s="110"/>
      <c r="M116" s="26"/>
      <c r="N116" s="427"/>
      <c r="O116" s="431"/>
      <c r="P116" s="32"/>
    </row>
    <row r="117">
      <c r="A117" s="421"/>
      <c r="B117" s="422"/>
      <c r="C117" s="423"/>
      <c r="D117" s="422"/>
      <c r="E117" s="424"/>
      <c r="F117" s="422"/>
      <c r="G117" s="422"/>
      <c r="H117" s="422"/>
      <c r="I117" s="426"/>
      <c r="J117" s="422"/>
      <c r="K117" s="57"/>
      <c r="L117" s="110"/>
      <c r="M117" s="53"/>
      <c r="N117" s="439"/>
      <c r="O117" s="432"/>
      <c r="P117" s="32"/>
    </row>
    <row r="118">
      <c r="A118" s="421"/>
      <c r="B118" s="126"/>
      <c r="C118" s="423"/>
      <c r="D118" s="422"/>
      <c r="E118" s="424"/>
      <c r="F118" s="422"/>
      <c r="G118" s="422"/>
      <c r="H118" s="422"/>
      <c r="I118" s="426"/>
      <c r="J118" s="422"/>
      <c r="K118" s="27"/>
      <c r="L118" s="110"/>
      <c r="M118" s="26"/>
      <c r="N118" s="427"/>
      <c r="O118" s="431"/>
      <c r="P118" s="32"/>
    </row>
    <row r="119">
      <c r="A119" s="421"/>
      <c r="B119" s="422"/>
      <c r="C119" s="22"/>
      <c r="D119" s="422"/>
      <c r="E119" s="424"/>
      <c r="F119" s="422"/>
      <c r="G119" s="422"/>
      <c r="H119" s="440"/>
      <c r="I119" s="426"/>
      <c r="J119" s="422"/>
      <c r="K119" s="429"/>
      <c r="L119" s="110"/>
      <c r="M119" s="26"/>
      <c r="N119" s="427"/>
      <c r="O119" s="431"/>
      <c r="P119" s="32"/>
    </row>
    <row r="120">
      <c r="A120" s="421"/>
      <c r="B120" s="422"/>
      <c r="C120" s="423"/>
      <c r="D120" s="422"/>
      <c r="E120" s="424"/>
      <c r="F120" s="422"/>
      <c r="G120" s="422"/>
      <c r="H120" s="422"/>
      <c r="I120" s="426"/>
      <c r="J120" s="422"/>
      <c r="K120" s="57"/>
      <c r="L120" s="110"/>
      <c r="M120" s="26"/>
      <c r="N120" s="427"/>
      <c r="O120" s="431"/>
      <c r="P120" s="32"/>
    </row>
    <row r="121">
      <c r="A121" s="421"/>
      <c r="B121" s="422"/>
      <c r="C121" s="423"/>
      <c r="D121" s="422"/>
      <c r="E121" s="424"/>
      <c r="F121" s="422"/>
      <c r="G121" s="422"/>
      <c r="H121" s="422"/>
      <c r="I121" s="426"/>
      <c r="J121" s="422"/>
      <c r="K121" s="57"/>
      <c r="L121" s="110"/>
      <c r="M121" s="26"/>
      <c r="N121" s="427"/>
      <c r="O121" s="431"/>
      <c r="P121" s="32"/>
    </row>
    <row r="122">
      <c r="A122" s="421"/>
      <c r="B122" s="422"/>
      <c r="C122" s="423"/>
      <c r="D122" s="422"/>
      <c r="E122" s="424"/>
      <c r="F122" s="422"/>
      <c r="G122" s="422"/>
      <c r="H122" s="440"/>
      <c r="I122" s="426"/>
      <c r="J122" s="422"/>
      <c r="K122" s="57"/>
      <c r="L122" s="123"/>
      <c r="M122" s="26"/>
      <c r="N122" s="427"/>
      <c r="O122" s="431"/>
      <c r="P122" s="32"/>
    </row>
    <row r="123">
      <c r="A123" s="421"/>
      <c r="B123" s="422"/>
      <c r="C123" s="423"/>
      <c r="D123" s="422"/>
      <c r="E123" s="424"/>
      <c r="F123" s="422"/>
      <c r="G123" s="422"/>
      <c r="H123" s="422"/>
      <c r="I123" s="426"/>
      <c r="J123" s="422"/>
      <c r="K123" s="57"/>
      <c r="L123" s="110"/>
      <c r="M123" s="26"/>
      <c r="N123" s="427"/>
      <c r="O123" s="431"/>
      <c r="P123" s="32"/>
    </row>
    <row r="124">
      <c r="A124" s="421"/>
      <c r="B124" s="422"/>
      <c r="C124" s="423"/>
      <c r="D124" s="422"/>
      <c r="E124" s="424"/>
      <c r="F124" s="422"/>
      <c r="G124" s="422"/>
      <c r="H124" s="422"/>
      <c r="I124" s="426"/>
      <c r="J124" s="422"/>
      <c r="K124" s="429"/>
      <c r="L124" s="110"/>
      <c r="M124" s="26"/>
      <c r="N124" s="427"/>
      <c r="O124" s="431"/>
      <c r="P124" s="32"/>
    </row>
    <row r="125">
      <c r="A125" s="433"/>
      <c r="B125" s="430"/>
      <c r="C125" s="434"/>
      <c r="D125" s="438"/>
      <c r="E125" s="424"/>
      <c r="F125" s="425"/>
      <c r="G125" s="440"/>
      <c r="H125" s="419"/>
      <c r="I125" s="441"/>
      <c r="J125" s="150"/>
      <c r="K125" s="57"/>
      <c r="L125" s="120"/>
      <c r="M125" s="53"/>
      <c r="N125" s="436"/>
      <c r="O125" s="432"/>
      <c r="P125" s="32"/>
    </row>
    <row r="126">
      <c r="A126" s="421"/>
      <c r="B126" s="422"/>
      <c r="C126" s="423"/>
      <c r="D126" s="422"/>
      <c r="E126" s="424"/>
      <c r="F126" s="422"/>
      <c r="G126" s="422"/>
      <c r="H126" s="422"/>
      <c r="I126" s="426"/>
      <c r="J126" s="422"/>
      <c r="K126" s="57"/>
      <c r="L126" s="110"/>
      <c r="M126" s="26"/>
      <c r="N126" s="427"/>
      <c r="O126" s="431"/>
      <c r="P126" s="32"/>
    </row>
    <row r="127">
      <c r="A127" s="442"/>
      <c r="B127" s="443"/>
      <c r="C127" s="444"/>
      <c r="D127" s="445"/>
      <c r="E127" s="446"/>
      <c r="F127" s="445"/>
      <c r="G127" s="445"/>
      <c r="H127" s="447"/>
      <c r="I127" s="448"/>
      <c r="J127" s="445"/>
      <c r="K127" s="449"/>
      <c r="L127" s="448"/>
      <c r="M127" s="447"/>
      <c r="N127" s="450"/>
      <c r="O127" s="451"/>
      <c r="P127" s="32"/>
    </row>
    <row r="128">
      <c r="A128" s="421"/>
      <c r="B128" s="422"/>
      <c r="C128" s="423"/>
      <c r="D128" s="422"/>
      <c r="E128" s="424"/>
      <c r="F128" s="422"/>
      <c r="G128" s="422"/>
      <c r="H128" s="419"/>
      <c r="I128" s="426"/>
      <c r="J128" s="422"/>
      <c r="K128" s="429"/>
      <c r="L128" s="110"/>
      <c r="M128" s="26"/>
      <c r="N128" s="427"/>
      <c r="O128" s="431"/>
      <c r="P128" s="32"/>
    </row>
    <row r="129">
      <c r="A129" s="442"/>
      <c r="B129" s="445"/>
      <c r="C129" s="444"/>
      <c r="D129" s="445"/>
      <c r="E129" s="446"/>
      <c r="F129" s="445"/>
      <c r="G129" s="445"/>
      <c r="H129" s="447"/>
      <c r="I129" s="448"/>
      <c r="J129" s="445"/>
      <c r="K129" s="449"/>
      <c r="L129" s="452"/>
      <c r="M129" s="445"/>
      <c r="N129" s="450"/>
      <c r="O129" s="453"/>
      <c r="P129" s="32"/>
    </row>
    <row r="130">
      <c r="A130" s="20"/>
      <c r="B130" s="111"/>
      <c r="C130" s="22"/>
      <c r="D130" s="26"/>
      <c r="E130" s="101"/>
      <c r="F130" s="26"/>
      <c r="G130" s="130"/>
      <c r="H130" s="26"/>
      <c r="I130" s="28"/>
      <c r="J130" s="26"/>
      <c r="K130" s="27"/>
      <c r="L130" s="28"/>
      <c r="M130" s="105"/>
      <c r="N130" s="107"/>
      <c r="O130" s="109"/>
      <c r="P130" s="32"/>
    </row>
    <row r="131">
      <c r="A131" s="421"/>
      <c r="B131" s="422"/>
      <c r="C131" s="423"/>
      <c r="D131" s="422"/>
      <c r="E131" s="424"/>
      <c r="F131" s="422"/>
      <c r="G131" s="422"/>
      <c r="H131" s="419"/>
      <c r="I131" s="426"/>
      <c r="J131" s="422"/>
      <c r="K131" s="429"/>
      <c r="L131" s="110"/>
      <c r="M131" s="26"/>
      <c r="N131" s="427"/>
      <c r="O131" s="431"/>
      <c r="P131" s="32"/>
    </row>
    <row r="132">
      <c r="A132" s="421"/>
      <c r="B132" s="422"/>
      <c r="C132" s="423"/>
      <c r="D132" s="422"/>
      <c r="E132" s="424"/>
      <c r="F132" s="422"/>
      <c r="G132" s="422"/>
      <c r="H132" s="419"/>
      <c r="I132" s="426"/>
      <c r="J132" s="422"/>
      <c r="K132" s="429"/>
      <c r="L132" s="110"/>
      <c r="M132" s="26"/>
      <c r="N132" s="427"/>
      <c r="O132" s="431"/>
      <c r="P132" s="32"/>
    </row>
    <row r="133">
      <c r="A133" s="20"/>
      <c r="B133" s="111"/>
      <c r="C133" s="22"/>
      <c r="D133" s="26"/>
      <c r="E133" s="101"/>
      <c r="F133" s="26"/>
      <c r="G133" s="26"/>
      <c r="H133" s="26"/>
      <c r="I133" s="28"/>
      <c r="J133" s="26"/>
      <c r="K133" s="27"/>
      <c r="L133" s="28"/>
      <c r="M133" s="105"/>
      <c r="N133" s="107"/>
      <c r="O133" s="109"/>
      <c r="P133" s="32"/>
    </row>
    <row r="134">
      <c r="A134" s="421"/>
      <c r="B134" s="422"/>
      <c r="C134" s="423"/>
      <c r="D134" s="422"/>
      <c r="E134" s="424"/>
      <c r="F134" s="422"/>
      <c r="G134" s="422"/>
      <c r="H134" s="422"/>
      <c r="I134" s="426"/>
      <c r="J134" s="422"/>
      <c r="K134" s="57"/>
      <c r="L134" s="110"/>
      <c r="M134" s="26"/>
      <c r="N134" s="427"/>
      <c r="O134" s="427"/>
      <c r="P134" s="32"/>
    </row>
    <row r="135">
      <c r="A135" s="442"/>
      <c r="B135" s="445"/>
      <c r="C135" s="444"/>
      <c r="D135" s="445"/>
      <c r="E135" s="446"/>
      <c r="F135" s="445"/>
      <c r="G135" s="445"/>
      <c r="H135" s="445"/>
      <c r="I135" s="445"/>
      <c r="J135" s="445"/>
      <c r="K135" s="454"/>
      <c r="L135" s="452"/>
      <c r="M135" s="445"/>
      <c r="N135" s="450"/>
      <c r="O135" s="453"/>
      <c r="P135" s="32"/>
    </row>
    <row r="136">
      <c r="A136" s="20"/>
      <c r="B136" s="98"/>
      <c r="C136" s="22"/>
      <c r="D136" s="26"/>
      <c r="E136" s="101"/>
      <c r="F136" s="26"/>
      <c r="G136" s="26"/>
      <c r="H136" s="26"/>
      <c r="I136" s="28"/>
      <c r="J136" s="26"/>
      <c r="K136" s="27"/>
      <c r="L136" s="28"/>
      <c r="M136" s="34"/>
      <c r="N136" s="419"/>
      <c r="O136" s="31"/>
      <c r="P136" s="32"/>
    </row>
    <row r="137">
      <c r="A137" s="20"/>
      <c r="B137" s="98"/>
      <c r="C137" s="22"/>
      <c r="D137" s="26"/>
      <c r="E137" s="101"/>
      <c r="F137" s="26"/>
      <c r="G137" s="26"/>
      <c r="H137" s="26"/>
      <c r="I137" s="28"/>
      <c r="J137" s="26"/>
      <c r="K137" s="27"/>
      <c r="L137" s="28"/>
      <c r="M137" s="34"/>
      <c r="N137" s="419"/>
      <c r="O137" s="31"/>
      <c r="P137" s="32"/>
    </row>
    <row r="138">
      <c r="A138" s="131"/>
      <c r="B138" s="132"/>
      <c r="C138" s="133"/>
      <c r="D138" s="26"/>
      <c r="E138" s="134"/>
      <c r="F138" s="105"/>
      <c r="G138" s="120"/>
      <c r="H138" s="120"/>
      <c r="I138" s="120"/>
      <c r="J138" s="150"/>
      <c r="K138" s="57"/>
      <c r="L138" s="120"/>
      <c r="M138" s="120"/>
      <c r="N138" s="122"/>
      <c r="O138" s="117"/>
      <c r="P138" s="32"/>
    </row>
    <row r="139">
      <c r="A139" s="20"/>
      <c r="B139" s="26"/>
      <c r="C139" s="22"/>
      <c r="D139" s="26"/>
      <c r="E139" s="101"/>
      <c r="F139" s="26"/>
      <c r="G139" s="26"/>
      <c r="H139" s="130"/>
      <c r="I139" s="26"/>
      <c r="J139" s="26"/>
      <c r="K139" s="57"/>
      <c r="L139" s="110"/>
      <c r="M139" s="26"/>
      <c r="N139" s="107"/>
      <c r="O139" s="113"/>
      <c r="P139" s="32"/>
    </row>
    <row r="140">
      <c r="A140" s="20"/>
      <c r="B140" s="26"/>
      <c r="C140" s="22"/>
      <c r="D140" s="26"/>
      <c r="E140" s="101"/>
      <c r="F140" s="26"/>
      <c r="G140" s="26"/>
      <c r="H140" s="26"/>
      <c r="I140" s="28"/>
      <c r="J140" s="26"/>
      <c r="K140" s="57"/>
      <c r="L140" s="28"/>
      <c r="M140" s="53"/>
      <c r="N140" s="107"/>
      <c r="O140" s="113"/>
      <c r="P140" s="32"/>
    </row>
    <row r="141">
      <c r="A141" s="20"/>
      <c r="B141" s="26"/>
      <c r="C141" s="22"/>
      <c r="D141" s="150"/>
      <c r="E141" s="101"/>
      <c r="F141" s="26"/>
      <c r="G141" s="26"/>
      <c r="H141" s="26"/>
      <c r="I141" s="26"/>
      <c r="J141" s="26"/>
      <c r="K141" s="27"/>
      <c r="L141" s="120"/>
      <c r="M141" s="105"/>
      <c r="N141" s="107"/>
      <c r="O141" s="113"/>
      <c r="P141" s="32"/>
    </row>
    <row r="142">
      <c r="A142" s="20"/>
      <c r="B142" s="26"/>
      <c r="C142" s="22"/>
      <c r="D142" s="26"/>
      <c r="E142" s="101"/>
      <c r="F142" s="26"/>
      <c r="G142" s="26"/>
      <c r="H142" s="26"/>
      <c r="I142" s="28"/>
      <c r="J142" s="26"/>
      <c r="K142" s="57"/>
      <c r="L142" s="28"/>
      <c r="M142" s="53"/>
      <c r="N142" s="107"/>
      <c r="O142" s="113"/>
      <c r="P142" s="32"/>
    </row>
    <row r="143">
      <c r="A143" s="20"/>
      <c r="B143" s="26"/>
      <c r="C143" s="22"/>
      <c r="D143" s="26"/>
      <c r="E143" s="101"/>
      <c r="F143" s="26"/>
      <c r="G143" s="26"/>
      <c r="H143" s="26"/>
      <c r="I143" s="26"/>
      <c r="J143" s="26"/>
      <c r="K143" s="57"/>
      <c r="L143" s="28"/>
      <c r="M143" s="53"/>
      <c r="N143" s="107"/>
      <c r="O143" s="113"/>
      <c r="P143" s="32"/>
    </row>
    <row r="144">
      <c r="A144" s="52"/>
      <c r="B144" s="53"/>
      <c r="C144" s="22"/>
      <c r="D144" s="26"/>
      <c r="E144" s="101"/>
      <c r="F144" s="34"/>
      <c r="G144" s="26"/>
      <c r="H144" s="26"/>
      <c r="I144" s="34"/>
      <c r="J144" s="26"/>
      <c r="K144" s="27"/>
      <c r="L144" s="53"/>
      <c r="M144" s="53"/>
      <c r="N144" s="155"/>
      <c r="O144" s="136"/>
      <c r="P144" s="32"/>
    </row>
    <row r="145">
      <c r="A145" s="52"/>
      <c r="B145" s="53"/>
      <c r="C145" s="22"/>
      <c r="D145" s="26"/>
      <c r="E145" s="101"/>
      <c r="F145" s="34"/>
      <c r="G145" s="26"/>
      <c r="H145" s="419"/>
      <c r="I145" s="115"/>
      <c r="J145" s="26"/>
      <c r="K145" s="57"/>
      <c r="L145" s="53"/>
      <c r="M145" s="34"/>
      <c r="N145" s="155"/>
      <c r="O145" s="136"/>
      <c r="P145" s="32"/>
    </row>
    <row r="146">
      <c r="A146" s="20"/>
      <c r="B146" s="26"/>
      <c r="C146" s="22"/>
      <c r="D146" s="150"/>
      <c r="E146" s="101"/>
      <c r="F146" s="26"/>
      <c r="G146" s="26"/>
      <c r="H146" s="127"/>
      <c r="I146" s="28"/>
      <c r="J146" s="26"/>
      <c r="K146" s="57"/>
      <c r="L146" s="110"/>
      <c r="M146" s="26"/>
      <c r="N146" s="107"/>
      <c r="O146" s="113"/>
      <c r="P146" s="32"/>
    </row>
    <row r="147">
      <c r="A147" s="20"/>
      <c r="B147" s="26"/>
      <c r="C147" s="22"/>
      <c r="D147" s="26"/>
      <c r="E147" s="101"/>
      <c r="F147" s="26"/>
      <c r="G147" s="26"/>
      <c r="H147" s="26"/>
      <c r="I147" s="26"/>
      <c r="J147" s="26"/>
      <c r="K147" s="57"/>
      <c r="L147" s="28"/>
      <c r="M147" s="34"/>
      <c r="N147" s="107"/>
      <c r="O147" s="113"/>
      <c r="P147" s="32"/>
    </row>
    <row r="148">
      <c r="A148" s="20"/>
      <c r="B148" s="26"/>
      <c r="C148" s="22"/>
      <c r="D148" s="26"/>
      <c r="E148" s="101"/>
      <c r="F148" s="26"/>
      <c r="G148" s="26"/>
      <c r="H148" s="26"/>
      <c r="I148" s="28"/>
      <c r="J148" s="26"/>
      <c r="K148" s="57"/>
      <c r="L148" s="28"/>
      <c r="M148" s="53"/>
      <c r="N148" s="107"/>
      <c r="O148" s="113"/>
      <c r="P148" s="32"/>
    </row>
    <row r="149">
      <c r="A149" s="52"/>
      <c r="B149" s="34"/>
      <c r="C149" s="22"/>
      <c r="D149" s="26"/>
      <c r="E149" s="101"/>
      <c r="F149" s="34"/>
      <c r="G149" s="26"/>
      <c r="H149" s="26"/>
      <c r="I149" s="34"/>
      <c r="J149" s="26"/>
      <c r="K149" s="57"/>
      <c r="L149" s="53"/>
      <c r="M149" s="53"/>
      <c r="N149" s="155"/>
      <c r="O149" s="136"/>
      <c r="P149" s="32"/>
    </row>
    <row r="150">
      <c r="A150" s="20"/>
      <c r="B150" s="130"/>
      <c r="C150" s="22"/>
      <c r="D150" s="26"/>
      <c r="E150" s="101"/>
      <c r="F150" s="26"/>
      <c r="G150" s="26"/>
      <c r="H150" s="26"/>
      <c r="I150" s="130"/>
      <c r="J150" s="26"/>
      <c r="K150" s="57"/>
      <c r="L150" s="110"/>
      <c r="M150" s="53"/>
      <c r="N150" s="107"/>
      <c r="O150" s="113"/>
      <c r="P150" s="32"/>
    </row>
    <row r="151">
      <c r="A151" s="137"/>
      <c r="B151" s="138"/>
      <c r="C151" s="22"/>
      <c r="D151" s="26"/>
      <c r="E151" s="101"/>
      <c r="F151" s="26"/>
      <c r="G151" s="139"/>
      <c r="H151" s="419"/>
      <c r="I151" s="53"/>
      <c r="J151" s="26"/>
      <c r="K151" s="27"/>
      <c r="L151" s="53"/>
      <c r="M151" s="34"/>
      <c r="N151" s="106"/>
      <c r="O151" s="117"/>
      <c r="P151" s="32"/>
    </row>
    <row r="152">
      <c r="A152" s="20"/>
      <c r="B152" s="26"/>
      <c r="C152" s="22"/>
      <c r="D152" s="26"/>
      <c r="E152" s="101"/>
      <c r="F152" s="26"/>
      <c r="G152" s="26"/>
      <c r="H152" s="26"/>
      <c r="I152" s="28"/>
      <c r="J152" s="26"/>
      <c r="K152" s="57"/>
      <c r="L152" s="28"/>
      <c r="M152" s="53"/>
      <c r="N152" s="107"/>
      <c r="O152" s="113"/>
      <c r="P152" s="32"/>
    </row>
    <row r="153">
      <c r="A153" s="20"/>
      <c r="B153" s="26"/>
      <c r="C153" s="22"/>
      <c r="D153" s="26"/>
      <c r="E153" s="101"/>
      <c r="F153" s="26"/>
      <c r="G153" s="26"/>
      <c r="H153" s="26"/>
      <c r="I153" s="28"/>
      <c r="J153" s="26"/>
      <c r="K153" s="57"/>
      <c r="L153" s="28"/>
      <c r="M153" s="53"/>
      <c r="N153" s="107"/>
      <c r="O153" s="113"/>
      <c r="P153" s="32"/>
    </row>
    <row r="154">
      <c r="A154" s="20"/>
      <c r="B154" s="26"/>
      <c r="C154" s="22"/>
      <c r="D154" s="26"/>
      <c r="E154" s="101"/>
      <c r="F154" s="26"/>
      <c r="G154" s="26"/>
      <c r="H154" s="26"/>
      <c r="I154" s="28"/>
      <c r="J154" s="26"/>
      <c r="K154" s="57"/>
      <c r="L154" s="28"/>
      <c r="M154" s="53"/>
      <c r="N154" s="107"/>
      <c r="O154" s="113"/>
      <c r="P154" s="32"/>
    </row>
    <row r="155">
      <c r="A155" s="118"/>
      <c r="B155" s="127"/>
      <c r="C155" s="133"/>
      <c r="D155" s="150"/>
      <c r="E155" s="134"/>
      <c r="F155" s="105"/>
      <c r="G155" s="128"/>
      <c r="H155" s="127"/>
      <c r="I155" s="127"/>
      <c r="J155" s="150"/>
      <c r="K155" s="57"/>
      <c r="L155" s="120"/>
      <c r="M155" s="53"/>
      <c r="N155" s="122"/>
      <c r="O155" s="140"/>
      <c r="P155" s="32"/>
    </row>
    <row r="156">
      <c r="A156" s="118"/>
      <c r="B156" s="127"/>
      <c r="C156" s="133"/>
      <c r="D156" s="150"/>
      <c r="E156" s="134"/>
      <c r="F156" s="105"/>
      <c r="G156" s="26"/>
      <c r="H156" s="127"/>
      <c r="I156" s="127"/>
      <c r="J156" s="150"/>
      <c r="K156" s="57"/>
      <c r="L156" s="120"/>
      <c r="M156" s="105"/>
      <c r="N156" s="122"/>
      <c r="O156" s="140"/>
      <c r="P156" s="32"/>
    </row>
    <row r="157">
      <c r="A157" s="20"/>
      <c r="B157" s="26"/>
      <c r="C157" s="22"/>
      <c r="D157" s="150"/>
      <c r="E157" s="101"/>
      <c r="F157" s="26"/>
      <c r="G157" s="26"/>
      <c r="H157" s="26"/>
      <c r="I157" s="28"/>
      <c r="J157" s="26"/>
      <c r="K157" s="57"/>
      <c r="L157" s="110"/>
      <c r="M157" s="26"/>
      <c r="N157" s="107"/>
      <c r="O157" s="113"/>
      <c r="P157" s="32"/>
    </row>
    <row r="158">
      <c r="A158" s="20"/>
      <c r="B158" s="26"/>
      <c r="C158" s="22"/>
      <c r="D158" s="150"/>
      <c r="E158" s="101"/>
      <c r="F158" s="26"/>
      <c r="G158" s="26"/>
      <c r="H158" s="26"/>
      <c r="I158" s="28"/>
      <c r="J158" s="26"/>
      <c r="K158" s="57"/>
      <c r="L158" s="110"/>
      <c r="M158" s="26"/>
      <c r="N158" s="107"/>
      <c r="O158" s="113"/>
      <c r="P158" s="32"/>
    </row>
    <row r="159">
      <c r="A159" s="52"/>
      <c r="B159" s="53"/>
      <c r="C159" s="22"/>
      <c r="D159" s="26"/>
      <c r="E159" s="101"/>
      <c r="F159" s="34"/>
      <c r="G159" s="26"/>
      <c r="H159" s="26"/>
      <c r="I159" s="115"/>
      <c r="J159" s="26"/>
      <c r="K159" s="57"/>
      <c r="L159" s="53"/>
      <c r="M159" s="53"/>
      <c r="N159" s="155"/>
      <c r="O159" s="136"/>
      <c r="P159" s="32"/>
    </row>
    <row r="160">
      <c r="A160" s="141"/>
      <c r="B160" s="120"/>
      <c r="C160" s="133"/>
      <c r="D160" s="26"/>
      <c r="E160" s="134"/>
      <c r="F160" s="105"/>
      <c r="G160" s="120"/>
      <c r="H160" s="120"/>
      <c r="I160" s="120"/>
      <c r="J160" s="150"/>
      <c r="K160" s="57"/>
      <c r="L160" s="120"/>
      <c r="M160" s="120"/>
      <c r="N160" s="122"/>
      <c r="O160" s="117"/>
      <c r="P160" s="32"/>
    </row>
    <row r="161">
      <c r="A161" s="52"/>
      <c r="B161" s="53"/>
      <c r="C161" s="22"/>
      <c r="D161" s="26"/>
      <c r="E161" s="101"/>
      <c r="F161" s="34"/>
      <c r="G161" s="26"/>
      <c r="H161" s="26"/>
      <c r="I161" s="115"/>
      <c r="J161" s="26"/>
      <c r="K161" s="27"/>
      <c r="L161" s="53"/>
      <c r="M161" s="53"/>
      <c r="N161" s="155"/>
      <c r="O161" s="136"/>
      <c r="P161" s="32"/>
    </row>
    <row r="162">
      <c r="A162" s="118"/>
      <c r="B162" s="142"/>
      <c r="C162" s="119"/>
      <c r="D162" s="26"/>
      <c r="E162" s="101"/>
      <c r="F162" s="34"/>
      <c r="G162" s="112"/>
      <c r="H162" s="127"/>
      <c r="I162" s="120"/>
      <c r="J162" s="26"/>
      <c r="K162" s="57"/>
      <c r="L162" s="120"/>
      <c r="M162" s="120"/>
      <c r="N162" s="121"/>
      <c r="O162" s="117"/>
      <c r="P162" s="32"/>
    </row>
    <row r="163">
      <c r="A163" s="20"/>
      <c r="B163" s="138"/>
      <c r="C163" s="22"/>
      <c r="D163" s="26"/>
      <c r="E163" s="101"/>
      <c r="F163" s="26"/>
      <c r="G163" s="26"/>
      <c r="H163" s="26"/>
      <c r="I163" s="28"/>
      <c r="J163" s="26"/>
      <c r="K163" s="27"/>
      <c r="L163" s="28"/>
      <c r="M163" s="53"/>
      <c r="N163" s="107"/>
      <c r="O163" s="107"/>
      <c r="P163" s="32"/>
    </row>
    <row r="164">
      <c r="A164" s="20"/>
      <c r="B164" s="138"/>
      <c r="C164" s="22"/>
      <c r="D164" s="26"/>
      <c r="E164" s="101"/>
      <c r="F164" s="26"/>
      <c r="G164" s="26"/>
      <c r="H164" s="26"/>
      <c r="I164" s="28"/>
      <c r="J164" s="26"/>
      <c r="K164" s="57"/>
      <c r="L164" s="28"/>
      <c r="M164" s="34"/>
      <c r="N164" s="107"/>
      <c r="O164" s="113"/>
      <c r="P164" s="32"/>
    </row>
    <row r="165">
      <c r="A165" s="20"/>
      <c r="B165" s="111"/>
      <c r="C165" s="22"/>
      <c r="D165" s="26"/>
      <c r="E165" s="101"/>
      <c r="F165" s="26"/>
      <c r="G165" s="26"/>
      <c r="H165" s="26"/>
      <c r="I165" s="28"/>
      <c r="J165" s="26"/>
      <c r="K165" s="27"/>
      <c r="L165" s="28"/>
      <c r="M165" s="34"/>
      <c r="N165" s="107"/>
      <c r="O165" s="109"/>
      <c r="P165" s="32"/>
    </row>
    <row r="166">
      <c r="A166" s="20"/>
      <c r="B166" s="111"/>
      <c r="C166" s="22"/>
      <c r="D166" s="26"/>
      <c r="E166" s="101"/>
      <c r="F166" s="26"/>
      <c r="G166" s="26"/>
      <c r="H166" s="26"/>
      <c r="I166" s="26"/>
      <c r="J166" s="26"/>
      <c r="K166" s="57"/>
      <c r="L166" s="28"/>
      <c r="M166" s="53"/>
      <c r="N166" s="107"/>
      <c r="O166" s="113"/>
      <c r="P166" s="32"/>
    </row>
    <row r="167">
      <c r="A167" s="52"/>
      <c r="B167" s="111"/>
      <c r="C167" s="22"/>
      <c r="D167" s="26"/>
      <c r="E167" s="101"/>
      <c r="F167" s="26"/>
      <c r="G167" s="26"/>
      <c r="H167" s="26"/>
      <c r="I167" s="28"/>
      <c r="J167" s="26"/>
      <c r="K167" s="57"/>
      <c r="L167" s="28"/>
      <c r="M167" s="53"/>
      <c r="N167" s="107"/>
      <c r="O167" s="113"/>
      <c r="P167" s="32"/>
    </row>
    <row r="168">
      <c r="A168" s="20"/>
      <c r="B168" s="138"/>
      <c r="C168" s="22"/>
      <c r="D168" s="26"/>
      <c r="E168" s="101"/>
      <c r="F168" s="26"/>
      <c r="G168" s="26"/>
      <c r="H168" s="26"/>
      <c r="I168" s="28"/>
      <c r="J168" s="26"/>
      <c r="K168" s="57"/>
      <c r="L168" s="28"/>
      <c r="M168" s="53"/>
      <c r="N168" s="107"/>
      <c r="O168" s="113"/>
      <c r="P168" s="32"/>
    </row>
    <row r="169">
      <c r="A169" s="20"/>
      <c r="B169" s="26"/>
      <c r="C169" s="22"/>
      <c r="D169" s="26"/>
      <c r="E169" s="101"/>
      <c r="F169" s="26"/>
      <c r="G169" s="26"/>
      <c r="H169" s="26"/>
      <c r="I169" s="28"/>
      <c r="J169" s="26"/>
      <c r="K169" s="57"/>
      <c r="L169" s="28"/>
      <c r="M169" s="34"/>
      <c r="N169" s="107"/>
      <c r="O169" s="113"/>
      <c r="P169" s="32"/>
    </row>
    <row r="170">
      <c r="A170" s="20"/>
      <c r="B170" s="138"/>
      <c r="C170" s="22"/>
      <c r="D170" s="26"/>
      <c r="E170" s="101"/>
      <c r="F170" s="34"/>
      <c r="G170" s="26"/>
      <c r="H170" s="26"/>
      <c r="I170" s="28"/>
      <c r="J170" s="26"/>
      <c r="K170" s="57"/>
      <c r="L170" s="28"/>
      <c r="M170" s="53"/>
      <c r="N170" s="107"/>
      <c r="O170" s="113"/>
      <c r="P170" s="32"/>
    </row>
    <row r="171">
      <c r="A171" s="144"/>
      <c r="B171" s="142"/>
      <c r="C171" s="119"/>
      <c r="D171" s="26"/>
      <c r="E171" s="101"/>
      <c r="F171" s="50"/>
      <c r="G171" s="26"/>
      <c r="H171" s="28"/>
      <c r="I171" s="53"/>
      <c r="J171" s="26"/>
      <c r="K171" s="57"/>
      <c r="L171" s="53"/>
      <c r="M171" s="34"/>
      <c r="N171" s="106"/>
      <c r="O171" s="117"/>
      <c r="P171" s="32"/>
    </row>
    <row r="172">
      <c r="A172" s="20"/>
      <c r="B172" s="26"/>
      <c r="C172" s="22"/>
      <c r="D172" s="26"/>
      <c r="E172" s="101"/>
      <c r="F172" s="26"/>
      <c r="G172" s="26"/>
      <c r="H172" s="26"/>
      <c r="I172" s="28"/>
      <c r="J172" s="26"/>
      <c r="K172" s="57"/>
      <c r="L172" s="28"/>
      <c r="M172" s="53"/>
      <c r="N172" s="107"/>
      <c r="O172" s="113"/>
      <c r="P172" s="32"/>
    </row>
    <row r="173">
      <c r="A173" s="20"/>
      <c r="B173" s="26"/>
      <c r="C173" s="22"/>
      <c r="D173" s="26"/>
      <c r="E173" s="101"/>
      <c r="F173" s="26"/>
      <c r="G173" s="26"/>
      <c r="H173" s="130"/>
      <c r="I173" s="28"/>
      <c r="J173" s="26"/>
      <c r="K173" s="57"/>
      <c r="L173" s="28"/>
      <c r="M173" s="53"/>
      <c r="N173" s="107"/>
      <c r="O173" s="113"/>
      <c r="P173" s="32"/>
    </row>
    <row r="174">
      <c r="A174" s="20"/>
      <c r="B174" s="26"/>
      <c r="C174" s="22"/>
      <c r="D174" s="26"/>
      <c r="E174" s="101"/>
      <c r="F174" s="26"/>
      <c r="G174" s="26"/>
      <c r="H174" s="26"/>
      <c r="I174" s="28"/>
      <c r="J174" s="26"/>
      <c r="K174" s="57"/>
      <c r="L174" s="28"/>
      <c r="M174" s="53"/>
      <c r="N174" s="107"/>
      <c r="O174" s="113"/>
      <c r="P174" s="32"/>
    </row>
    <row r="175">
      <c r="A175" s="144"/>
      <c r="B175" s="142"/>
      <c r="C175" s="119"/>
      <c r="D175" s="26"/>
      <c r="E175" s="101"/>
      <c r="F175" s="34"/>
      <c r="G175" s="28"/>
      <c r="H175" s="28"/>
      <c r="I175" s="53"/>
      <c r="J175" s="28"/>
      <c r="K175" s="57"/>
      <c r="L175" s="53"/>
      <c r="M175" s="34"/>
      <c r="N175" s="106"/>
      <c r="O175" s="117"/>
      <c r="P175" s="32"/>
    </row>
    <row r="176">
      <c r="A176" s="20"/>
      <c r="B176" s="111"/>
      <c r="C176" s="22"/>
      <c r="D176" s="26"/>
      <c r="E176" s="101"/>
      <c r="F176" s="26"/>
      <c r="G176" s="26"/>
      <c r="H176" s="26"/>
      <c r="I176" s="26"/>
      <c r="J176" s="26"/>
      <c r="K176" s="57"/>
      <c r="L176" s="28"/>
      <c r="M176" s="34"/>
      <c r="N176" s="107"/>
      <c r="O176" s="113"/>
      <c r="P176" s="32"/>
    </row>
    <row r="177">
      <c r="A177" s="144"/>
      <c r="B177" s="142"/>
      <c r="C177" s="22"/>
      <c r="D177" s="26"/>
      <c r="E177" s="101"/>
      <c r="F177" s="34"/>
      <c r="G177" s="28"/>
      <c r="H177" s="28"/>
      <c r="I177" s="53"/>
      <c r="J177" s="26"/>
      <c r="K177" s="57"/>
      <c r="L177" s="53"/>
      <c r="M177" s="34"/>
      <c r="N177" s="106"/>
      <c r="O177" s="117"/>
      <c r="P177" s="32"/>
    </row>
    <row r="178">
      <c r="A178" s="145"/>
      <c r="B178" s="142"/>
      <c r="C178" s="22"/>
      <c r="D178" s="26"/>
      <c r="E178" s="101"/>
      <c r="F178" s="26"/>
      <c r="G178" s="28"/>
      <c r="H178" s="28"/>
      <c r="I178" s="53"/>
      <c r="J178" s="28"/>
      <c r="K178" s="57"/>
      <c r="L178" s="53"/>
      <c r="M178" s="53"/>
      <c r="N178" s="455"/>
      <c r="O178" s="117"/>
      <c r="P178" s="32"/>
    </row>
    <row r="179">
      <c r="A179" s="20"/>
      <c r="B179" s="111"/>
      <c r="C179" s="22"/>
      <c r="D179" s="26"/>
      <c r="E179" s="101"/>
      <c r="F179" s="26"/>
      <c r="G179" s="26"/>
      <c r="H179" s="26"/>
      <c r="I179" s="28"/>
      <c r="J179" s="26"/>
      <c r="K179" s="57"/>
      <c r="L179" s="28"/>
      <c r="M179" s="53"/>
      <c r="N179" s="107"/>
      <c r="O179" s="113"/>
      <c r="P179" s="32"/>
    </row>
    <row r="180">
      <c r="A180" s="20"/>
      <c r="B180" s="111"/>
      <c r="C180" s="22"/>
      <c r="D180" s="26"/>
      <c r="E180" s="101"/>
      <c r="F180" s="26"/>
      <c r="G180" s="26"/>
      <c r="H180" s="26"/>
      <c r="I180" s="28"/>
      <c r="J180" s="26"/>
      <c r="K180" s="57"/>
      <c r="L180" s="28"/>
      <c r="M180" s="53"/>
      <c r="N180" s="107"/>
      <c r="O180" s="113"/>
      <c r="P180" s="32"/>
    </row>
    <row r="181">
      <c r="A181" s="20"/>
      <c r="B181" s="111"/>
      <c r="C181" s="22"/>
      <c r="D181" s="26"/>
      <c r="E181" s="101"/>
      <c r="F181" s="26"/>
      <c r="G181" s="26"/>
      <c r="H181" s="26"/>
      <c r="I181" s="28"/>
      <c r="J181" s="26"/>
      <c r="K181" s="27"/>
      <c r="L181" s="28"/>
      <c r="M181" s="53"/>
      <c r="N181" s="107"/>
      <c r="O181" s="113"/>
      <c r="P181" s="32"/>
    </row>
    <row r="182">
      <c r="A182" s="147"/>
      <c r="B182" s="148"/>
      <c r="C182" s="149"/>
      <c r="D182" s="26"/>
      <c r="E182" s="134"/>
      <c r="F182" s="150"/>
      <c r="G182" s="150"/>
      <c r="H182" s="150"/>
      <c r="I182" s="151"/>
      <c r="J182" s="150"/>
      <c r="K182" s="57"/>
      <c r="L182" s="151"/>
      <c r="M182" s="53"/>
      <c r="N182" s="107"/>
      <c r="O182" s="113"/>
      <c r="P182" s="32"/>
    </row>
    <row r="183">
      <c r="A183" s="20"/>
      <c r="B183" s="26"/>
      <c r="C183" s="22"/>
      <c r="D183" s="26"/>
      <c r="E183" s="101"/>
      <c r="F183" s="26"/>
      <c r="G183" s="26"/>
      <c r="H183" s="26"/>
      <c r="I183" s="28"/>
      <c r="J183" s="26"/>
      <c r="K183" s="57"/>
      <c r="L183" s="28"/>
      <c r="M183" s="34"/>
      <c r="N183" s="455"/>
      <c r="O183" s="113"/>
      <c r="P183" s="32"/>
    </row>
    <row r="184">
      <c r="A184" s="20"/>
      <c r="B184" s="138"/>
      <c r="C184" s="22"/>
      <c r="D184" s="26"/>
      <c r="E184" s="101"/>
      <c r="F184" s="26"/>
      <c r="G184" s="26"/>
      <c r="H184" s="26"/>
      <c r="I184" s="28"/>
      <c r="J184" s="26"/>
      <c r="K184" s="27"/>
      <c r="L184" s="28"/>
      <c r="M184" s="34"/>
      <c r="N184" s="107"/>
      <c r="O184" s="113"/>
      <c r="P184" s="32"/>
    </row>
    <row r="185">
      <c r="A185" s="137"/>
      <c r="B185" s="139"/>
      <c r="C185" s="22"/>
      <c r="D185" s="26"/>
      <c r="E185" s="101"/>
      <c r="F185" s="26"/>
      <c r="G185" s="139"/>
      <c r="H185" s="26"/>
      <c r="I185" s="53"/>
      <c r="J185" s="26"/>
      <c r="K185" s="57"/>
      <c r="L185" s="53"/>
      <c r="M185" s="53"/>
      <c r="N185" s="152"/>
      <c r="O185" s="117"/>
      <c r="P185" s="32"/>
    </row>
    <row r="186">
      <c r="A186" s="20"/>
      <c r="B186" s="26"/>
      <c r="C186" s="22"/>
      <c r="D186" s="26"/>
      <c r="E186" s="101"/>
      <c r="F186" s="26"/>
      <c r="G186" s="26"/>
      <c r="H186" s="419"/>
      <c r="I186" s="28"/>
      <c r="J186" s="26"/>
      <c r="K186" s="57"/>
      <c r="L186" s="28"/>
      <c r="M186" s="53"/>
      <c r="N186" s="107"/>
      <c r="O186" s="113"/>
      <c r="P186" s="32"/>
    </row>
    <row r="187">
      <c r="A187" s="144"/>
      <c r="B187" s="138"/>
      <c r="C187" s="119"/>
      <c r="D187" s="26"/>
      <c r="E187" s="101"/>
      <c r="F187" s="50"/>
      <c r="G187" s="26"/>
      <c r="H187" s="28"/>
      <c r="I187" s="53"/>
      <c r="J187" s="28"/>
      <c r="K187" s="57"/>
      <c r="L187" s="53"/>
      <c r="M187" s="53"/>
      <c r="N187" s="153"/>
      <c r="O187" s="117"/>
      <c r="P187" s="32"/>
    </row>
    <row r="188">
      <c r="A188" s="20"/>
      <c r="B188" s="26"/>
      <c r="C188" s="22"/>
      <c r="D188" s="26"/>
      <c r="E188" s="101"/>
      <c r="F188" s="26"/>
      <c r="G188" s="26"/>
      <c r="H188" s="130"/>
      <c r="I188" s="28"/>
      <c r="J188" s="26"/>
      <c r="K188" s="57"/>
      <c r="L188" s="28"/>
      <c r="M188" s="53"/>
      <c r="N188" s="107"/>
      <c r="O188" s="113"/>
      <c r="P188" s="32"/>
    </row>
    <row r="189">
      <c r="A189" s="20"/>
      <c r="B189" s="26"/>
      <c r="C189" s="22"/>
      <c r="D189" s="26"/>
      <c r="E189" s="101"/>
      <c r="F189" s="26"/>
      <c r="G189" s="26"/>
      <c r="H189" s="26"/>
      <c r="I189" s="28"/>
      <c r="J189" s="26"/>
      <c r="K189" s="57"/>
      <c r="L189" s="28"/>
      <c r="M189" s="53"/>
      <c r="N189" s="107"/>
      <c r="O189" s="113"/>
      <c r="P189" s="32"/>
    </row>
    <row r="190">
      <c r="A190" s="20"/>
      <c r="B190" s="26"/>
      <c r="C190" s="22"/>
      <c r="D190" s="26"/>
      <c r="E190" s="101"/>
      <c r="F190" s="34"/>
      <c r="G190" s="26"/>
      <c r="H190" s="26"/>
      <c r="I190" s="28"/>
      <c r="J190" s="26"/>
      <c r="K190" s="57"/>
      <c r="L190" s="28"/>
      <c r="M190" s="53"/>
      <c r="N190" s="107"/>
      <c r="O190" s="113"/>
      <c r="P190" s="32"/>
    </row>
    <row r="191">
      <c r="A191" s="20"/>
      <c r="B191" s="26"/>
      <c r="C191" s="22"/>
      <c r="D191" s="26"/>
      <c r="E191" s="101"/>
      <c r="F191" s="26"/>
      <c r="G191" s="26"/>
      <c r="H191" s="130"/>
      <c r="I191" s="28"/>
      <c r="J191" s="26"/>
      <c r="K191" s="57"/>
      <c r="L191" s="28"/>
      <c r="M191" s="53"/>
      <c r="N191" s="107"/>
      <c r="O191" s="113"/>
      <c r="P191" s="32"/>
    </row>
    <row r="192">
      <c r="A192" s="52"/>
      <c r="B192" s="34"/>
      <c r="C192" s="22"/>
      <c r="D192" s="26"/>
      <c r="E192" s="101"/>
      <c r="F192" s="34"/>
      <c r="G192" s="115"/>
      <c r="H192" s="115"/>
      <c r="I192" s="53"/>
      <c r="J192" s="130"/>
      <c r="K192" s="27"/>
      <c r="L192" s="28"/>
      <c r="M192" s="34"/>
      <c r="N192" s="455"/>
      <c r="O192" s="155"/>
      <c r="P192" s="32"/>
    </row>
    <row r="193">
      <c r="A193" s="20"/>
      <c r="B193" s="26"/>
      <c r="C193" s="22"/>
      <c r="D193" s="26"/>
      <c r="E193" s="101"/>
      <c r="F193" s="34"/>
      <c r="G193" s="26"/>
      <c r="H193" s="26"/>
      <c r="I193" s="28"/>
      <c r="J193" s="26"/>
      <c r="K193" s="23"/>
      <c r="L193" s="26"/>
      <c r="M193" s="34"/>
      <c r="N193" s="107"/>
      <c r="O193" s="113"/>
      <c r="P193" s="32"/>
    </row>
    <row r="194">
      <c r="A194" s="20"/>
      <c r="B194" s="26"/>
      <c r="C194" s="22"/>
      <c r="D194" s="26"/>
      <c r="E194" s="101"/>
      <c r="F194" s="26"/>
      <c r="G194" s="26"/>
      <c r="H194" s="26"/>
      <c r="I194" s="28"/>
      <c r="J194" s="26"/>
      <c r="K194" s="57"/>
      <c r="L194" s="28"/>
      <c r="M194" s="53"/>
      <c r="N194" s="107"/>
      <c r="O194" s="113"/>
      <c r="P194" s="32"/>
    </row>
    <row r="195">
      <c r="A195" s="114"/>
      <c r="B195" s="115"/>
      <c r="C195" s="22"/>
      <c r="D195" s="26"/>
      <c r="E195" s="101"/>
      <c r="F195" s="34"/>
      <c r="G195" s="26"/>
      <c r="H195" s="115"/>
      <c r="I195" s="53"/>
      <c r="J195" s="130"/>
      <c r="K195" s="57"/>
      <c r="L195" s="53"/>
      <c r="M195" s="34"/>
      <c r="N195" s="455"/>
      <c r="O195" s="19"/>
      <c r="P195" s="32"/>
    </row>
    <row r="196">
      <c r="A196" s="156"/>
      <c r="B196" s="115"/>
      <c r="C196" s="22"/>
      <c r="D196" s="26"/>
      <c r="E196" s="101"/>
      <c r="F196" s="34"/>
      <c r="G196" s="26"/>
      <c r="H196" s="115"/>
      <c r="I196" s="53"/>
      <c r="J196" s="130"/>
      <c r="K196" s="57"/>
      <c r="L196" s="53"/>
      <c r="M196" s="53"/>
      <c r="N196" s="456"/>
      <c r="O196" s="19"/>
      <c r="P196" s="32"/>
    </row>
    <row r="197">
      <c r="A197" s="114"/>
      <c r="B197" s="115"/>
      <c r="C197" s="22"/>
      <c r="D197" s="26"/>
      <c r="E197" s="101"/>
      <c r="F197" s="34"/>
      <c r="G197" s="26"/>
      <c r="H197" s="115"/>
      <c r="I197" s="53"/>
      <c r="J197" s="26"/>
      <c r="K197" s="57"/>
      <c r="L197" s="53"/>
      <c r="M197" s="34"/>
      <c r="N197" s="456"/>
      <c r="O197" s="19"/>
      <c r="P197" s="32"/>
    </row>
    <row r="198">
      <c r="A198" s="114"/>
      <c r="B198" s="53"/>
      <c r="C198" s="22"/>
      <c r="D198" s="26"/>
      <c r="E198" s="101"/>
      <c r="F198" s="34"/>
      <c r="G198" s="26"/>
      <c r="H198" s="115"/>
      <c r="I198" s="53"/>
      <c r="J198" s="130"/>
      <c r="K198" s="57"/>
      <c r="L198" s="53"/>
      <c r="M198" s="34"/>
      <c r="N198" s="456"/>
      <c r="O198" s="19"/>
      <c r="P198" s="32"/>
    </row>
    <row r="199">
      <c r="A199" s="137"/>
      <c r="B199" s="142"/>
      <c r="C199" s="119"/>
      <c r="D199" s="26"/>
      <c r="E199" s="101"/>
      <c r="F199" s="26"/>
      <c r="G199" s="53"/>
      <c r="H199" s="26"/>
      <c r="I199" s="53"/>
      <c r="J199" s="26"/>
      <c r="K199" s="27"/>
      <c r="L199" s="53"/>
      <c r="M199" s="53"/>
      <c r="N199" s="152"/>
      <c r="O199" s="158"/>
      <c r="P199" s="32"/>
    </row>
    <row r="200">
      <c r="A200" s="20"/>
      <c r="B200" s="26"/>
      <c r="C200" s="22"/>
      <c r="D200" s="26"/>
      <c r="E200" s="101"/>
      <c r="F200" s="26"/>
      <c r="G200" s="26"/>
      <c r="H200" s="26"/>
      <c r="I200" s="28"/>
      <c r="J200" s="26"/>
      <c r="K200" s="57"/>
      <c r="L200" s="28"/>
      <c r="M200" s="34"/>
      <c r="N200" s="107"/>
      <c r="O200" s="107"/>
      <c r="P200" s="32"/>
    </row>
    <row r="201">
      <c r="A201" s="20"/>
      <c r="B201" s="111"/>
      <c r="C201" s="22"/>
      <c r="D201" s="26"/>
      <c r="E201" s="101"/>
      <c r="F201" s="26"/>
      <c r="G201" s="26"/>
      <c r="H201" s="26"/>
      <c r="I201" s="28"/>
      <c r="J201" s="26"/>
      <c r="K201" s="57"/>
      <c r="L201" s="28"/>
      <c r="M201" s="53"/>
      <c r="N201" s="107"/>
      <c r="O201" s="113"/>
      <c r="P201" s="32"/>
    </row>
    <row r="202">
      <c r="A202" s="20"/>
      <c r="B202" s="111"/>
      <c r="C202" s="22"/>
      <c r="D202" s="26"/>
      <c r="E202" s="101"/>
      <c r="F202" s="26"/>
      <c r="G202" s="26"/>
      <c r="H202" s="26"/>
      <c r="I202" s="28"/>
      <c r="J202" s="26"/>
      <c r="K202" s="57"/>
      <c r="L202" s="28"/>
      <c r="M202" s="53"/>
      <c r="N202" s="107"/>
      <c r="O202" s="113"/>
      <c r="P202" s="32"/>
    </row>
    <row r="203">
      <c r="A203" s="20"/>
      <c r="B203" s="26"/>
      <c r="C203" s="22"/>
      <c r="D203" s="26"/>
      <c r="E203" s="101"/>
      <c r="F203" s="26"/>
      <c r="G203" s="26"/>
      <c r="H203" s="26"/>
      <c r="I203" s="28"/>
      <c r="J203" s="26"/>
      <c r="K203" s="57"/>
      <c r="L203" s="28"/>
      <c r="M203" s="53"/>
      <c r="N203" s="107"/>
      <c r="O203" s="107"/>
      <c r="P203" s="32"/>
    </row>
    <row r="204">
      <c r="A204" s="114"/>
      <c r="B204" s="53"/>
      <c r="C204" s="22"/>
      <c r="D204" s="26"/>
      <c r="E204" s="101"/>
      <c r="F204" s="34"/>
      <c r="G204" s="115"/>
      <c r="H204" s="115"/>
      <c r="I204" s="115"/>
      <c r="J204" s="26"/>
      <c r="K204" s="57"/>
      <c r="L204" s="53"/>
      <c r="M204" s="53"/>
      <c r="N204" s="136"/>
      <c r="O204" s="19"/>
      <c r="P204" s="32"/>
    </row>
    <row r="205">
      <c r="A205" s="114"/>
      <c r="B205" s="115"/>
      <c r="C205" s="22"/>
      <c r="D205" s="26"/>
      <c r="E205" s="101"/>
      <c r="F205" s="34"/>
      <c r="G205" s="115"/>
      <c r="H205" s="115"/>
      <c r="I205" s="53"/>
      <c r="J205" s="26"/>
      <c r="K205" s="57"/>
      <c r="L205" s="53"/>
      <c r="M205" s="53"/>
      <c r="N205" s="457"/>
      <c r="O205" s="19"/>
      <c r="P205" s="32"/>
    </row>
    <row r="206">
      <c r="A206" s="114"/>
      <c r="B206" s="53"/>
      <c r="C206" s="22"/>
      <c r="D206" s="26"/>
      <c r="E206" s="101"/>
      <c r="F206" s="34"/>
      <c r="G206" s="115"/>
      <c r="H206" s="115"/>
      <c r="I206" s="53"/>
      <c r="J206" s="26"/>
      <c r="K206" s="57"/>
      <c r="L206" s="53"/>
      <c r="M206" s="53"/>
      <c r="N206" s="457"/>
      <c r="O206" s="136"/>
      <c r="P206" s="32"/>
    </row>
    <row r="207">
      <c r="A207" s="114"/>
      <c r="B207" s="53"/>
      <c r="C207" s="22"/>
      <c r="D207" s="26"/>
      <c r="E207" s="101"/>
      <c r="F207" s="34"/>
      <c r="G207" s="115"/>
      <c r="H207" s="115"/>
      <c r="I207" s="53"/>
      <c r="J207" s="26"/>
      <c r="K207" s="57"/>
      <c r="L207" s="53"/>
      <c r="M207" s="53"/>
      <c r="N207" s="457"/>
      <c r="O207" s="19"/>
      <c r="P207" s="32"/>
    </row>
    <row r="208">
      <c r="A208" s="161"/>
      <c r="B208" s="53"/>
      <c r="C208" s="22"/>
      <c r="D208" s="26"/>
      <c r="E208" s="101"/>
      <c r="F208" s="34"/>
      <c r="G208" s="130"/>
      <c r="H208" s="419"/>
      <c r="I208" s="34"/>
      <c r="J208" s="26"/>
      <c r="K208" s="57"/>
      <c r="L208" s="53"/>
      <c r="M208" s="53"/>
      <c r="N208" s="456"/>
      <c r="O208" s="19"/>
      <c r="P208" s="32"/>
    </row>
    <row r="209">
      <c r="A209" s="161"/>
      <c r="B209" s="115"/>
      <c r="C209" s="22"/>
      <c r="D209" s="26"/>
      <c r="E209" s="101"/>
      <c r="F209" s="34"/>
      <c r="G209" s="115"/>
      <c r="H209" s="34"/>
      <c r="I209" s="53"/>
      <c r="J209" s="130"/>
      <c r="K209" s="57"/>
      <c r="L209" s="53"/>
      <c r="M209" s="53"/>
      <c r="N209" s="457"/>
      <c r="O209" s="19"/>
      <c r="P209" s="32"/>
    </row>
    <row r="210">
      <c r="A210" s="161"/>
      <c r="B210" s="115"/>
      <c r="C210" s="22"/>
      <c r="D210" s="26"/>
      <c r="E210" s="101"/>
      <c r="F210" s="34"/>
      <c r="G210" s="26"/>
      <c r="H210" s="115"/>
      <c r="I210" s="53"/>
      <c r="J210" s="26"/>
      <c r="K210" s="57"/>
      <c r="L210" s="53"/>
      <c r="M210" s="53"/>
      <c r="N210" s="458"/>
      <c r="O210" s="19"/>
      <c r="P210" s="32"/>
    </row>
    <row r="211">
      <c r="A211" s="161"/>
      <c r="B211" s="115"/>
      <c r="C211" s="22"/>
      <c r="D211" s="26"/>
      <c r="E211" s="101"/>
      <c r="F211" s="34"/>
      <c r="G211" s="115"/>
      <c r="H211" s="115"/>
      <c r="I211" s="53"/>
      <c r="J211" s="130"/>
      <c r="K211" s="57"/>
      <c r="L211" s="53"/>
      <c r="M211" s="53"/>
      <c r="N211" s="457"/>
      <c r="O211" s="19"/>
      <c r="P211" s="32"/>
    </row>
    <row r="212">
      <c r="A212" s="163"/>
      <c r="B212" s="111"/>
      <c r="C212" s="22"/>
      <c r="D212" s="26"/>
      <c r="E212" s="101"/>
      <c r="F212" s="26"/>
      <c r="G212" s="26"/>
      <c r="H212" s="26"/>
      <c r="I212" s="26"/>
      <c r="J212" s="26"/>
      <c r="K212" s="27"/>
      <c r="L212" s="28"/>
      <c r="M212" s="53"/>
      <c r="N212" s="107"/>
      <c r="O212" s="113"/>
      <c r="P212" s="32"/>
    </row>
    <row r="213">
      <c r="A213" s="163"/>
      <c r="B213" s="34"/>
      <c r="C213" s="22"/>
      <c r="D213" s="26"/>
      <c r="E213" s="101"/>
      <c r="F213" s="26"/>
      <c r="G213" s="26"/>
      <c r="H213" s="26"/>
      <c r="I213" s="28"/>
      <c r="J213" s="26"/>
      <c r="K213" s="57"/>
      <c r="L213" s="28"/>
      <c r="M213" s="53"/>
      <c r="N213" s="439"/>
      <c r="O213" s="107"/>
      <c r="P213" s="32"/>
    </row>
    <row r="214">
      <c r="A214" s="164"/>
      <c r="B214" s="115"/>
      <c r="C214" s="22"/>
      <c r="D214" s="26"/>
      <c r="E214" s="101"/>
      <c r="F214" s="34"/>
      <c r="G214" s="34"/>
      <c r="H214" s="115"/>
      <c r="I214" s="53"/>
      <c r="J214" s="26"/>
      <c r="K214" s="57"/>
      <c r="L214" s="53"/>
      <c r="M214" s="53"/>
      <c r="N214" s="455"/>
      <c r="O214" s="19"/>
      <c r="P214" s="32"/>
    </row>
    <row r="215">
      <c r="A215" s="114"/>
      <c r="B215" s="115"/>
      <c r="C215" s="22"/>
      <c r="D215" s="26"/>
      <c r="E215" s="101"/>
      <c r="F215" s="34"/>
      <c r="G215" s="26"/>
      <c r="H215" s="34"/>
      <c r="I215" s="53"/>
      <c r="J215" s="130"/>
      <c r="K215" s="57"/>
      <c r="L215" s="53"/>
      <c r="M215" s="53"/>
      <c r="N215" s="456"/>
      <c r="O215" s="19"/>
      <c r="P215" s="32"/>
    </row>
    <row r="216">
      <c r="A216" s="114"/>
      <c r="B216" s="115"/>
      <c r="C216" s="22"/>
      <c r="D216" s="26"/>
      <c r="E216" s="101"/>
      <c r="F216" s="34"/>
      <c r="G216" s="34"/>
      <c r="H216" s="115"/>
      <c r="I216" s="53"/>
      <c r="J216" s="26"/>
      <c r="K216" s="57"/>
      <c r="L216" s="53"/>
      <c r="M216" s="53"/>
      <c r="N216" s="457"/>
      <c r="O216" s="19"/>
      <c r="P216" s="32"/>
    </row>
    <row r="217">
      <c r="A217" s="114"/>
      <c r="B217" s="115"/>
      <c r="C217" s="22"/>
      <c r="D217" s="26"/>
      <c r="E217" s="101"/>
      <c r="F217" s="34"/>
      <c r="G217" s="422"/>
      <c r="H217" s="130"/>
      <c r="I217" s="53"/>
      <c r="J217" s="130"/>
      <c r="K217" s="57"/>
      <c r="L217" s="53"/>
      <c r="M217" s="53"/>
      <c r="N217" s="457"/>
      <c r="O217" s="117"/>
      <c r="P217" s="32"/>
    </row>
    <row r="218">
      <c r="A218" s="114"/>
      <c r="B218" s="115"/>
      <c r="C218" s="22"/>
      <c r="D218" s="26"/>
      <c r="E218" s="101"/>
      <c r="F218" s="34"/>
      <c r="G218" s="26"/>
      <c r="H218" s="115"/>
      <c r="I218" s="115"/>
      <c r="J218" s="26"/>
      <c r="K218" s="27"/>
      <c r="L218" s="53"/>
      <c r="M218" s="34"/>
      <c r="N218" s="155"/>
      <c r="O218" s="19"/>
      <c r="P218" s="32"/>
    </row>
    <row r="219">
      <c r="A219" s="163"/>
      <c r="B219" s="111"/>
      <c r="C219" s="22"/>
      <c r="D219" s="26"/>
      <c r="E219" s="101"/>
      <c r="F219" s="26"/>
      <c r="G219" s="26"/>
      <c r="H219" s="26"/>
      <c r="I219" s="28"/>
      <c r="J219" s="26"/>
      <c r="K219" s="27"/>
      <c r="L219" s="28"/>
      <c r="M219" s="34"/>
      <c r="N219" s="419"/>
      <c r="O219" s="31"/>
      <c r="P219" s="32"/>
    </row>
    <row r="220">
      <c r="A220" s="165"/>
      <c r="B220" s="130"/>
      <c r="C220" s="22"/>
      <c r="D220" s="26"/>
      <c r="E220" s="101"/>
      <c r="F220" s="111"/>
      <c r="G220" s="130"/>
      <c r="H220" s="130"/>
      <c r="I220" s="28"/>
      <c r="J220" s="26"/>
      <c r="K220" s="57"/>
      <c r="L220" s="28"/>
      <c r="M220" s="53"/>
      <c r="N220" s="109"/>
      <c r="O220" s="109"/>
      <c r="P220" s="32"/>
    </row>
    <row r="221">
      <c r="A221" s="165"/>
      <c r="B221" s="28"/>
      <c r="C221" s="22"/>
      <c r="D221" s="26"/>
      <c r="E221" s="101"/>
      <c r="F221" s="111"/>
      <c r="G221" s="130"/>
      <c r="H221" s="130"/>
      <c r="I221" s="28"/>
      <c r="J221" s="130"/>
      <c r="K221" s="57"/>
      <c r="L221" s="28"/>
      <c r="M221" s="34"/>
      <c r="N221" s="107"/>
      <c r="O221" s="113"/>
      <c r="P221" s="32"/>
    </row>
    <row r="222">
      <c r="A222" s="20"/>
      <c r="B222" s="28"/>
      <c r="C222" s="22"/>
      <c r="D222" s="26"/>
      <c r="E222" s="101"/>
      <c r="F222" s="26"/>
      <c r="G222" s="26"/>
      <c r="H222" s="130"/>
      <c r="I222" s="130"/>
      <c r="J222" s="26"/>
      <c r="K222" s="57"/>
      <c r="L222" s="28"/>
      <c r="M222" s="53"/>
      <c r="N222" s="109"/>
      <c r="O222" s="113"/>
      <c r="P222" s="32"/>
    </row>
    <row r="223">
      <c r="A223" s="20"/>
      <c r="B223" s="138"/>
      <c r="C223" s="22"/>
      <c r="D223" s="26"/>
      <c r="E223" s="101"/>
      <c r="F223" s="26"/>
      <c r="G223" s="26"/>
      <c r="H223" s="419"/>
      <c r="I223" s="28"/>
      <c r="J223" s="26"/>
      <c r="K223" s="57"/>
      <c r="L223" s="28"/>
      <c r="M223" s="34"/>
      <c r="N223" s="107"/>
      <c r="O223" s="113"/>
      <c r="P223" s="32"/>
    </row>
    <row r="224">
      <c r="A224" s="114"/>
      <c r="B224" s="53"/>
      <c r="C224" s="22"/>
      <c r="D224" s="26"/>
      <c r="E224" s="101"/>
      <c r="F224" s="34"/>
      <c r="G224" s="34"/>
      <c r="H224" s="115"/>
      <c r="I224" s="53"/>
      <c r="J224" s="26"/>
      <c r="K224" s="57"/>
      <c r="L224" s="53"/>
      <c r="M224" s="53"/>
      <c r="N224" s="136"/>
      <c r="O224" s="19"/>
      <c r="P224" s="32"/>
    </row>
    <row r="225">
      <c r="A225" s="165"/>
      <c r="B225" s="53"/>
      <c r="C225" s="22"/>
      <c r="D225" s="26"/>
      <c r="E225" s="101"/>
      <c r="F225" s="26"/>
      <c r="G225" s="26"/>
      <c r="H225" s="130"/>
      <c r="I225" s="28"/>
      <c r="J225" s="26"/>
      <c r="K225" s="57"/>
      <c r="L225" s="28"/>
      <c r="M225" s="53"/>
      <c r="N225" s="109"/>
      <c r="O225" s="109"/>
      <c r="P225" s="32"/>
    </row>
    <row r="226">
      <c r="A226" s="167"/>
      <c r="B226" s="28"/>
      <c r="C226" s="22"/>
      <c r="D226" s="26"/>
      <c r="E226" s="101"/>
      <c r="F226" s="26"/>
      <c r="G226" s="130"/>
      <c r="H226" s="130"/>
      <c r="I226" s="130"/>
      <c r="J226" s="130"/>
      <c r="K226" s="27"/>
      <c r="L226" s="28"/>
      <c r="M226" s="34"/>
      <c r="N226" s="107"/>
      <c r="O226" s="113"/>
      <c r="P226" s="32"/>
    </row>
    <row r="227">
      <c r="A227" s="161"/>
      <c r="B227" s="53"/>
      <c r="C227" s="22"/>
      <c r="D227" s="26"/>
      <c r="E227" s="101"/>
      <c r="F227" s="34"/>
      <c r="G227" s="115"/>
      <c r="H227" s="115"/>
      <c r="I227" s="53"/>
      <c r="J227" s="26"/>
      <c r="K227" s="57"/>
      <c r="L227" s="53"/>
      <c r="M227" s="53"/>
      <c r="N227" s="136"/>
      <c r="O227" s="19"/>
      <c r="P227" s="32"/>
    </row>
    <row r="228">
      <c r="A228" s="167"/>
      <c r="B228" s="28"/>
      <c r="C228" s="22"/>
      <c r="D228" s="26"/>
      <c r="E228" s="101"/>
      <c r="F228" s="26"/>
      <c r="G228" s="26"/>
      <c r="H228" s="130"/>
      <c r="I228" s="28"/>
      <c r="J228" s="130"/>
      <c r="K228" s="57"/>
      <c r="L228" s="28"/>
      <c r="M228" s="53"/>
      <c r="N228" s="109"/>
      <c r="O228" s="113"/>
      <c r="P228" s="32"/>
    </row>
    <row r="229">
      <c r="A229" s="114"/>
      <c r="B229" s="53"/>
      <c r="C229" s="22"/>
      <c r="D229" s="26"/>
      <c r="E229" s="101"/>
      <c r="F229" s="34"/>
      <c r="G229" s="26"/>
      <c r="H229" s="115"/>
      <c r="I229" s="115"/>
      <c r="J229" s="26"/>
      <c r="K229" s="27"/>
      <c r="L229" s="53"/>
      <c r="M229" s="53"/>
      <c r="N229" s="136"/>
      <c r="O229" s="19"/>
      <c r="P229" s="32"/>
    </row>
    <row r="230">
      <c r="A230" s="165"/>
      <c r="B230" s="28"/>
      <c r="C230" s="22"/>
      <c r="D230" s="26"/>
      <c r="E230" s="101"/>
      <c r="F230" s="26"/>
      <c r="G230" s="130"/>
      <c r="H230" s="130"/>
      <c r="I230" s="130"/>
      <c r="J230" s="130"/>
      <c r="K230" s="57"/>
      <c r="L230" s="28"/>
      <c r="M230" s="53"/>
      <c r="N230" s="109"/>
      <c r="O230" s="113"/>
      <c r="P230" s="32"/>
    </row>
    <row r="231">
      <c r="A231" s="20"/>
      <c r="B231" s="26"/>
      <c r="C231" s="22"/>
      <c r="D231" s="26"/>
      <c r="E231" s="101"/>
      <c r="F231" s="26"/>
      <c r="G231" s="26"/>
      <c r="H231" s="150"/>
      <c r="I231" s="28"/>
      <c r="J231" s="26"/>
      <c r="K231" s="57"/>
      <c r="L231" s="110"/>
      <c r="M231" s="53"/>
      <c r="N231" s="107"/>
      <c r="O231" s="113"/>
      <c r="P231" s="32"/>
    </row>
    <row r="232">
      <c r="A232" s="165"/>
      <c r="B232" s="53"/>
      <c r="C232" s="22"/>
      <c r="D232" s="26"/>
      <c r="E232" s="101"/>
      <c r="F232" s="26"/>
      <c r="G232" s="130"/>
      <c r="H232" s="130"/>
      <c r="I232" s="28"/>
      <c r="J232" s="26"/>
      <c r="K232" s="57"/>
      <c r="L232" s="28"/>
      <c r="M232" s="34"/>
      <c r="N232" s="109"/>
      <c r="O232" s="109"/>
      <c r="P232" s="32"/>
    </row>
    <row r="233">
      <c r="A233" s="165"/>
      <c r="B233" s="53"/>
      <c r="C233" s="22"/>
      <c r="D233" s="26"/>
      <c r="E233" s="101"/>
      <c r="F233" s="26"/>
      <c r="G233" s="26"/>
      <c r="H233" s="130"/>
      <c r="I233" s="28"/>
      <c r="J233" s="26"/>
      <c r="K233" s="57"/>
      <c r="L233" s="28"/>
      <c r="M233" s="53"/>
      <c r="N233" s="109"/>
      <c r="O233" s="113"/>
      <c r="P233" s="32"/>
    </row>
    <row r="234">
      <c r="A234" s="52"/>
      <c r="B234" s="53"/>
      <c r="C234" s="22"/>
      <c r="D234" s="26"/>
      <c r="E234" s="101"/>
      <c r="F234" s="34"/>
      <c r="G234" s="115"/>
      <c r="H234" s="115"/>
      <c r="I234" s="115"/>
      <c r="J234" s="130"/>
      <c r="K234" s="57"/>
      <c r="L234" s="53"/>
      <c r="M234" s="53"/>
      <c r="N234" s="136"/>
      <c r="O234" s="19"/>
      <c r="P234" s="32"/>
    </row>
    <row r="235">
      <c r="A235" s="114"/>
      <c r="B235" s="53"/>
      <c r="C235" s="22"/>
      <c r="D235" s="26"/>
      <c r="E235" s="101"/>
      <c r="F235" s="34"/>
      <c r="G235" s="115"/>
      <c r="H235" s="115"/>
      <c r="I235" s="115"/>
      <c r="J235" s="26"/>
      <c r="K235" s="57"/>
      <c r="L235" s="53"/>
      <c r="M235" s="53"/>
      <c r="N235" s="136"/>
      <c r="O235" s="19"/>
      <c r="P235" s="32"/>
    </row>
    <row r="236">
      <c r="A236" s="114"/>
      <c r="B236" s="53"/>
      <c r="C236" s="22"/>
      <c r="D236" s="26"/>
      <c r="E236" s="101"/>
      <c r="F236" s="34"/>
      <c r="G236" s="26"/>
      <c r="H236" s="115"/>
      <c r="I236" s="53"/>
      <c r="J236" s="26"/>
      <c r="K236" s="57"/>
      <c r="L236" s="53"/>
      <c r="M236" s="53"/>
      <c r="N236" s="136"/>
      <c r="O236" s="19"/>
      <c r="P236" s="32"/>
    </row>
    <row r="237">
      <c r="A237" s="165"/>
      <c r="B237" s="28"/>
      <c r="C237" s="22"/>
      <c r="D237" s="26"/>
      <c r="E237" s="101"/>
      <c r="F237" s="26"/>
      <c r="G237" s="26"/>
      <c r="H237" s="130"/>
      <c r="I237" s="28"/>
      <c r="J237" s="130"/>
      <c r="K237" s="57"/>
      <c r="L237" s="28"/>
      <c r="M237" s="53"/>
      <c r="N237" s="109"/>
      <c r="O237" s="113"/>
      <c r="P237" s="32"/>
    </row>
    <row r="238">
      <c r="A238" s="165"/>
      <c r="B238" s="28"/>
      <c r="C238" s="22"/>
      <c r="D238" s="26"/>
      <c r="E238" s="101"/>
      <c r="F238" s="26"/>
      <c r="G238" s="130"/>
      <c r="H238" s="130"/>
      <c r="I238" s="28"/>
      <c r="J238" s="26"/>
      <c r="K238" s="57"/>
      <c r="L238" s="28"/>
      <c r="M238" s="53"/>
      <c r="N238" s="109"/>
      <c r="O238" s="113"/>
      <c r="P238" s="32"/>
    </row>
    <row r="239">
      <c r="A239" s="165"/>
      <c r="B239" s="130"/>
      <c r="C239" s="22"/>
      <c r="D239" s="26"/>
      <c r="E239" s="101"/>
      <c r="F239" s="26"/>
      <c r="G239" s="26"/>
      <c r="H239" s="130"/>
      <c r="I239" s="130"/>
      <c r="J239" s="26"/>
      <c r="K239" s="27"/>
      <c r="L239" s="28"/>
      <c r="M239" s="34"/>
      <c r="N239" s="107"/>
      <c r="O239" s="113"/>
      <c r="P239" s="32"/>
    </row>
    <row r="240">
      <c r="A240" s="114"/>
      <c r="B240" s="28"/>
      <c r="C240" s="22"/>
      <c r="D240" s="26"/>
      <c r="E240" s="101"/>
      <c r="F240" s="26"/>
      <c r="G240" s="26"/>
      <c r="H240" s="26"/>
      <c r="I240" s="130"/>
      <c r="J240" s="26"/>
      <c r="K240" s="57"/>
      <c r="L240" s="53"/>
      <c r="M240" s="34"/>
      <c r="N240" s="155"/>
      <c r="O240" s="136"/>
      <c r="P240" s="32"/>
    </row>
    <row r="241">
      <c r="A241" s="168"/>
      <c r="B241" s="169"/>
      <c r="C241" s="170"/>
      <c r="D241" s="173"/>
      <c r="E241" s="172"/>
      <c r="F241" s="173"/>
      <c r="G241" s="173"/>
      <c r="H241" s="459"/>
      <c r="I241" s="175"/>
      <c r="J241" s="173"/>
      <c r="K241" s="176"/>
      <c r="L241" s="177"/>
      <c r="M241" s="169"/>
      <c r="N241" s="460"/>
      <c r="O241" s="179"/>
      <c r="P241" s="32"/>
    </row>
    <row r="242">
      <c r="A242" s="165"/>
      <c r="B242" s="130"/>
      <c r="C242" s="22"/>
      <c r="D242" s="26"/>
      <c r="E242" s="101"/>
      <c r="F242" s="111"/>
      <c r="G242" s="130"/>
      <c r="H242" s="130"/>
      <c r="I242" s="28"/>
      <c r="J242" s="130"/>
      <c r="K242" s="57"/>
      <c r="L242" s="28"/>
      <c r="M242" s="105"/>
      <c r="N242" s="109"/>
      <c r="O242" s="107"/>
      <c r="P242" s="32"/>
    </row>
    <row r="243">
      <c r="A243" s="165"/>
      <c r="B243" s="130"/>
      <c r="C243" s="119"/>
      <c r="D243" s="26"/>
      <c r="E243" s="101"/>
      <c r="F243" s="26"/>
      <c r="G243" s="130"/>
      <c r="H243" s="130"/>
      <c r="I243" s="28"/>
      <c r="J243" s="130"/>
      <c r="K243" s="57"/>
      <c r="L243" s="28"/>
      <c r="M243" s="105"/>
      <c r="N243" s="109"/>
      <c r="O243" s="109"/>
      <c r="P243" s="32"/>
    </row>
    <row r="244">
      <c r="A244" s="165"/>
      <c r="B244" s="130"/>
      <c r="C244" s="22"/>
      <c r="D244" s="26"/>
      <c r="E244" s="101"/>
      <c r="F244" s="26"/>
      <c r="G244" s="130"/>
      <c r="H244" s="130"/>
      <c r="I244" s="28"/>
      <c r="J244" s="26"/>
      <c r="K244" s="57"/>
      <c r="L244" s="28"/>
      <c r="M244" s="34"/>
      <c r="N244" s="136"/>
      <c r="O244" s="109"/>
      <c r="P244" s="32"/>
    </row>
    <row r="245">
      <c r="A245" s="20"/>
      <c r="B245" s="26"/>
      <c r="C245" s="22"/>
      <c r="D245" s="26"/>
      <c r="E245" s="101"/>
      <c r="F245" s="26"/>
      <c r="G245" s="26"/>
      <c r="H245" s="26"/>
      <c r="I245" s="28"/>
      <c r="J245" s="26"/>
      <c r="K245" s="27"/>
      <c r="L245" s="28"/>
      <c r="M245" s="34"/>
      <c r="N245" s="107"/>
      <c r="O245" s="461"/>
      <c r="P245" s="32"/>
    </row>
    <row r="246">
      <c r="A246" s="165"/>
      <c r="B246" s="28"/>
      <c r="C246" s="22"/>
      <c r="D246" s="26"/>
      <c r="E246" s="101"/>
      <c r="F246" s="111"/>
      <c r="G246" s="130"/>
      <c r="H246" s="130"/>
      <c r="I246" s="28"/>
      <c r="J246" s="26"/>
      <c r="K246" s="57"/>
      <c r="L246" s="28"/>
      <c r="M246" s="34"/>
      <c r="N246" s="107"/>
      <c r="O246" s="113"/>
      <c r="P246" s="32"/>
    </row>
    <row r="247">
      <c r="A247" s="20"/>
      <c r="B247" s="28"/>
      <c r="C247" s="22"/>
      <c r="D247" s="26"/>
      <c r="E247" s="101"/>
      <c r="F247" s="26"/>
      <c r="G247" s="26"/>
      <c r="H247" s="26"/>
      <c r="I247" s="28"/>
      <c r="J247" s="26"/>
      <c r="K247" s="57"/>
      <c r="L247" s="28"/>
      <c r="M247" s="105"/>
      <c r="N247" s="107"/>
      <c r="O247" s="113"/>
      <c r="P247" s="32"/>
    </row>
    <row r="248">
      <c r="A248" s="165"/>
      <c r="B248" s="28"/>
      <c r="C248" s="22"/>
      <c r="D248" s="26"/>
      <c r="E248" s="101"/>
      <c r="F248" s="26"/>
      <c r="G248" s="26"/>
      <c r="H248" s="130"/>
      <c r="I248" s="28"/>
      <c r="J248" s="26"/>
      <c r="K248" s="57"/>
      <c r="L248" s="28"/>
      <c r="M248" s="105"/>
      <c r="N248" s="107"/>
      <c r="O248" s="113"/>
      <c r="P248" s="32"/>
    </row>
    <row r="249">
      <c r="A249" s="165"/>
      <c r="B249" s="28"/>
      <c r="C249" s="22"/>
      <c r="D249" s="26"/>
      <c r="E249" s="101"/>
      <c r="F249" s="26"/>
      <c r="G249" s="130"/>
      <c r="H249" s="26"/>
      <c r="I249" s="28"/>
      <c r="J249" s="130"/>
      <c r="K249" s="57"/>
      <c r="L249" s="28"/>
      <c r="M249" s="105"/>
      <c r="N249" s="107"/>
      <c r="O249" s="113"/>
      <c r="P249" s="32"/>
    </row>
    <row r="250">
      <c r="A250" s="165"/>
      <c r="B250" s="28"/>
      <c r="C250" s="22"/>
      <c r="D250" s="26"/>
      <c r="E250" s="101"/>
      <c r="F250" s="26"/>
      <c r="G250" s="26"/>
      <c r="H250" s="26"/>
      <c r="I250" s="28"/>
      <c r="J250" s="26"/>
      <c r="K250" s="57"/>
      <c r="L250" s="28"/>
      <c r="M250" s="34"/>
      <c r="N250" s="107"/>
      <c r="O250" s="113"/>
      <c r="P250" s="32"/>
    </row>
    <row r="251">
      <c r="A251" s="165"/>
      <c r="B251" s="130"/>
      <c r="C251" s="22"/>
      <c r="D251" s="26"/>
      <c r="E251" s="101"/>
      <c r="F251" s="26"/>
      <c r="G251" s="130"/>
      <c r="H251" s="26"/>
      <c r="I251" s="28"/>
      <c r="J251" s="26"/>
      <c r="K251" s="57"/>
      <c r="L251" s="28"/>
      <c r="M251" s="34"/>
      <c r="N251" s="107"/>
      <c r="O251" s="113"/>
      <c r="P251" s="32"/>
    </row>
    <row r="252">
      <c r="A252" s="165"/>
      <c r="B252" s="53"/>
      <c r="C252" s="22"/>
      <c r="D252" s="26"/>
      <c r="E252" s="101"/>
      <c r="F252" s="26"/>
      <c r="G252" s="26"/>
      <c r="H252" s="26"/>
      <c r="I252" s="130"/>
      <c r="J252" s="26"/>
      <c r="K252" s="57"/>
      <c r="L252" s="28"/>
      <c r="M252" s="53"/>
      <c r="N252" s="109"/>
      <c r="O252" s="109"/>
      <c r="P252" s="32"/>
    </row>
    <row r="253">
      <c r="A253" s="165"/>
      <c r="B253" s="111"/>
      <c r="C253" s="22"/>
      <c r="D253" s="26"/>
      <c r="E253" s="101"/>
      <c r="F253" s="34"/>
      <c r="G253" s="130"/>
      <c r="H253" s="130"/>
      <c r="I253" s="28"/>
      <c r="J253" s="26"/>
      <c r="K253" s="57"/>
      <c r="L253" s="28"/>
      <c r="M253" s="53"/>
      <c r="N253" s="109"/>
      <c r="O253" s="113"/>
      <c r="P253" s="32"/>
    </row>
    <row r="254">
      <c r="A254" s="114"/>
      <c r="B254" s="28"/>
      <c r="C254" s="22"/>
      <c r="D254" s="26"/>
      <c r="E254" s="101"/>
      <c r="F254" s="26"/>
      <c r="G254" s="26"/>
      <c r="H254" s="130"/>
      <c r="I254" s="28"/>
      <c r="J254" s="130"/>
      <c r="K254" s="57"/>
      <c r="L254" s="28"/>
      <c r="M254" s="53"/>
      <c r="N254" s="109"/>
      <c r="O254" s="19"/>
      <c r="P254" s="32"/>
    </row>
    <row r="255">
      <c r="A255" s="165"/>
      <c r="B255" s="111"/>
      <c r="C255" s="22"/>
      <c r="D255" s="26"/>
      <c r="E255" s="101"/>
      <c r="F255" s="26"/>
      <c r="G255" s="26"/>
      <c r="H255" s="130"/>
      <c r="I255" s="130"/>
      <c r="J255" s="130"/>
      <c r="K255" s="57"/>
      <c r="L255" s="28"/>
      <c r="M255" s="53"/>
      <c r="N255" s="107"/>
      <c r="O255" s="113"/>
      <c r="P255" s="32"/>
    </row>
    <row r="256">
      <c r="A256" s="114"/>
      <c r="B256" s="115"/>
      <c r="C256" s="22"/>
      <c r="D256" s="26"/>
      <c r="E256" s="101"/>
      <c r="F256" s="34"/>
      <c r="G256" s="115"/>
      <c r="H256" s="115"/>
      <c r="I256" s="53"/>
      <c r="J256" s="26"/>
      <c r="K256" s="57"/>
      <c r="L256" s="53"/>
      <c r="M256" s="34"/>
      <c r="N256" s="107"/>
      <c r="O256" s="19"/>
      <c r="P256" s="32"/>
    </row>
    <row r="257">
      <c r="A257" s="165"/>
      <c r="B257" s="130"/>
      <c r="C257" s="22"/>
      <c r="D257" s="26"/>
      <c r="E257" s="101"/>
      <c r="F257" s="26"/>
      <c r="G257" s="26"/>
      <c r="H257" s="130"/>
      <c r="I257" s="130"/>
      <c r="J257" s="26"/>
      <c r="K257" s="57"/>
      <c r="L257" s="28"/>
      <c r="M257" s="105"/>
      <c r="N257" s="107"/>
      <c r="O257" s="113"/>
      <c r="P257" s="32"/>
    </row>
    <row r="258">
      <c r="A258" s="114"/>
      <c r="B258" s="115"/>
      <c r="C258" s="22"/>
      <c r="D258" s="26"/>
      <c r="E258" s="101"/>
      <c r="F258" s="34"/>
      <c r="G258" s="115"/>
      <c r="H258" s="115"/>
      <c r="I258" s="57"/>
      <c r="J258" s="26"/>
      <c r="K258" s="57"/>
      <c r="L258" s="53"/>
      <c r="M258" s="34"/>
      <c r="N258" s="155"/>
      <c r="O258" s="19"/>
      <c r="P258" s="32"/>
    </row>
    <row r="259">
      <c r="A259" s="20"/>
      <c r="B259" s="26"/>
      <c r="C259" s="22"/>
      <c r="D259" s="26"/>
      <c r="E259" s="101"/>
      <c r="F259" s="34"/>
      <c r="G259" s="26"/>
      <c r="H259" s="26"/>
      <c r="I259" s="26"/>
      <c r="J259" s="26"/>
      <c r="K259" s="57"/>
      <c r="L259" s="28"/>
      <c r="M259" s="53"/>
      <c r="N259" s="107"/>
      <c r="O259" s="113"/>
      <c r="P259" s="32"/>
    </row>
    <row r="260">
      <c r="A260" s="114"/>
      <c r="B260" s="53"/>
      <c r="C260" s="22"/>
      <c r="D260" s="26"/>
      <c r="E260" s="101"/>
      <c r="F260" s="34"/>
      <c r="G260" s="130"/>
      <c r="H260" s="419"/>
      <c r="I260" s="53"/>
      <c r="J260" s="130"/>
      <c r="K260" s="57"/>
      <c r="L260" s="53"/>
      <c r="M260" s="53"/>
      <c r="N260" s="155"/>
      <c r="O260" s="19"/>
      <c r="P260" s="32"/>
    </row>
    <row r="261">
      <c r="A261" s="165"/>
      <c r="B261" s="130"/>
      <c r="C261" s="22"/>
      <c r="D261" s="26"/>
      <c r="E261" s="101"/>
      <c r="F261" s="26"/>
      <c r="G261" s="130"/>
      <c r="H261" s="130"/>
      <c r="I261" s="28"/>
      <c r="J261" s="130"/>
      <c r="K261" s="57"/>
      <c r="L261" s="28"/>
      <c r="M261" s="105"/>
      <c r="N261" s="107"/>
      <c r="O261" s="109"/>
      <c r="P261" s="32"/>
    </row>
    <row r="262">
      <c r="A262" s="165"/>
      <c r="B262" s="130"/>
      <c r="C262" s="22"/>
      <c r="D262" s="26"/>
      <c r="E262" s="101"/>
      <c r="F262" s="26"/>
      <c r="G262" s="26"/>
      <c r="H262" s="130"/>
      <c r="I262" s="28"/>
      <c r="J262" s="26"/>
      <c r="K262" s="57"/>
      <c r="L262" s="28"/>
      <c r="M262" s="105"/>
      <c r="N262" s="107"/>
      <c r="O262" s="109"/>
      <c r="P262" s="32"/>
    </row>
    <row r="263">
      <c r="A263" s="165"/>
      <c r="B263" s="28"/>
      <c r="C263" s="22"/>
      <c r="D263" s="26"/>
      <c r="E263" s="101"/>
      <c r="F263" s="26"/>
      <c r="G263" s="130"/>
      <c r="H263" s="130"/>
      <c r="I263" s="28"/>
      <c r="J263" s="130"/>
      <c r="K263" s="57"/>
      <c r="L263" s="28"/>
      <c r="M263" s="53"/>
      <c r="N263" s="107"/>
      <c r="O263" s="113"/>
      <c r="P263" s="32"/>
    </row>
    <row r="264">
      <c r="A264" s="165"/>
      <c r="B264" s="130"/>
      <c r="C264" s="22"/>
      <c r="D264" s="26"/>
      <c r="E264" s="101"/>
      <c r="F264" s="26"/>
      <c r="G264" s="130"/>
      <c r="H264" s="130"/>
      <c r="I264" s="28"/>
      <c r="J264" s="130"/>
      <c r="K264" s="57"/>
      <c r="L264" s="28"/>
      <c r="M264" s="53"/>
      <c r="N264" s="107"/>
      <c r="O264" s="113"/>
      <c r="P264" s="32"/>
    </row>
    <row r="265">
      <c r="A265" s="165"/>
      <c r="B265" s="28"/>
      <c r="C265" s="22"/>
      <c r="D265" s="26"/>
      <c r="E265" s="101"/>
      <c r="F265" s="26"/>
      <c r="G265" s="130"/>
      <c r="H265" s="419"/>
      <c r="I265" s="130"/>
      <c r="J265" s="26"/>
      <c r="K265" s="57"/>
      <c r="L265" s="28"/>
      <c r="M265" s="105"/>
      <c r="N265" s="107"/>
      <c r="O265" s="109"/>
      <c r="P265" s="32"/>
    </row>
    <row r="266">
      <c r="A266" s="165"/>
      <c r="B266" s="130"/>
      <c r="C266" s="22"/>
      <c r="D266" s="26"/>
      <c r="E266" s="101"/>
      <c r="F266" s="26"/>
      <c r="G266" s="130"/>
      <c r="H266" s="130"/>
      <c r="I266" s="28"/>
      <c r="J266" s="26"/>
      <c r="K266" s="57"/>
      <c r="L266" s="28"/>
      <c r="M266" s="34"/>
      <c r="N266" s="107"/>
      <c r="O266" s="109"/>
      <c r="P266" s="32"/>
    </row>
    <row r="267">
      <c r="A267" s="165"/>
      <c r="B267" s="28"/>
      <c r="C267" s="22"/>
      <c r="D267" s="26"/>
      <c r="E267" s="424"/>
      <c r="F267" s="462"/>
      <c r="G267" s="130"/>
      <c r="H267" s="130"/>
      <c r="I267" s="28"/>
      <c r="J267" s="130"/>
      <c r="K267" s="57"/>
      <c r="L267" s="28"/>
      <c r="M267" s="53"/>
      <c r="N267" s="107"/>
      <c r="O267" s="113"/>
      <c r="P267" s="32"/>
    </row>
    <row r="268">
      <c r="A268" s="114"/>
      <c r="B268" s="115"/>
      <c r="C268" s="22"/>
      <c r="D268" s="26"/>
      <c r="E268" s="101"/>
      <c r="F268" s="34"/>
      <c r="G268" s="26"/>
      <c r="H268" s="130"/>
      <c r="I268" s="28"/>
      <c r="J268" s="26"/>
      <c r="K268" s="27"/>
      <c r="L268" s="28"/>
      <c r="M268" s="34"/>
      <c r="N268" s="107"/>
      <c r="O268" s="107"/>
      <c r="P268" s="32"/>
    </row>
    <row r="269">
      <c r="A269" s="114"/>
      <c r="B269" s="53"/>
      <c r="C269" s="22"/>
      <c r="D269" s="26"/>
      <c r="E269" s="101"/>
      <c r="F269" s="34"/>
      <c r="G269" s="115"/>
      <c r="H269" s="115"/>
      <c r="I269" s="115"/>
      <c r="J269" s="26"/>
      <c r="K269" s="57"/>
      <c r="L269" s="53"/>
      <c r="M269" s="120"/>
      <c r="N269" s="155"/>
      <c r="O269" s="19"/>
      <c r="P269" s="32"/>
    </row>
    <row r="270">
      <c r="A270" s="114"/>
      <c r="B270" s="53"/>
      <c r="C270" s="22"/>
      <c r="D270" s="26"/>
      <c r="E270" s="101"/>
      <c r="F270" s="34"/>
      <c r="G270" s="115"/>
      <c r="H270" s="115"/>
      <c r="I270" s="115"/>
      <c r="J270" s="26"/>
      <c r="K270" s="27"/>
      <c r="L270" s="53"/>
      <c r="M270" s="53"/>
      <c r="N270" s="155"/>
      <c r="O270" s="136"/>
      <c r="P270" s="32"/>
    </row>
    <row r="271">
      <c r="A271" s="114"/>
      <c r="B271" s="53"/>
      <c r="C271" s="22"/>
      <c r="D271" s="26"/>
      <c r="E271" s="101"/>
      <c r="F271" s="34"/>
      <c r="G271" s="115"/>
      <c r="H271" s="115"/>
      <c r="I271" s="53"/>
      <c r="J271" s="26"/>
      <c r="K271" s="57"/>
      <c r="L271" s="53"/>
      <c r="M271" s="34"/>
      <c r="N271" s="155"/>
      <c r="O271" s="136"/>
      <c r="P271" s="32"/>
    </row>
    <row r="272">
      <c r="A272" s="165"/>
      <c r="B272" s="28"/>
      <c r="C272" s="22"/>
      <c r="D272" s="26"/>
      <c r="E272" s="101"/>
      <c r="F272" s="26"/>
      <c r="G272" s="130"/>
      <c r="H272" s="115"/>
      <c r="I272" s="130"/>
      <c r="J272" s="26"/>
      <c r="K272" s="57"/>
      <c r="L272" s="28"/>
      <c r="M272" s="120"/>
      <c r="N272" s="107"/>
      <c r="O272" s="113"/>
      <c r="P272" s="32"/>
    </row>
    <row r="273">
      <c r="A273" s="165"/>
      <c r="B273" s="28"/>
      <c r="C273" s="22"/>
      <c r="D273" s="26"/>
      <c r="E273" s="101"/>
      <c r="F273" s="26"/>
      <c r="G273" s="130"/>
      <c r="H273" s="130"/>
      <c r="I273" s="130"/>
      <c r="J273" s="26"/>
      <c r="K273" s="57"/>
      <c r="L273" s="28"/>
      <c r="M273" s="34"/>
      <c r="N273" s="107"/>
      <c r="O273" s="432"/>
      <c r="P273" s="32"/>
    </row>
    <row r="274">
      <c r="A274" s="165"/>
      <c r="B274" s="28"/>
      <c r="C274" s="22"/>
      <c r="D274" s="26"/>
      <c r="E274" s="101"/>
      <c r="F274" s="26"/>
      <c r="G274" s="130"/>
      <c r="H274" s="130"/>
      <c r="I274" s="28"/>
      <c r="J274" s="130"/>
      <c r="K274" s="57"/>
      <c r="L274" s="28"/>
      <c r="M274" s="105"/>
      <c r="N274" s="107"/>
      <c r="O274" s="113"/>
      <c r="P274" s="32"/>
    </row>
    <row r="275">
      <c r="A275" s="165"/>
      <c r="B275" s="130"/>
      <c r="C275" s="22"/>
      <c r="D275" s="26"/>
      <c r="E275" s="101"/>
      <c r="F275" s="26"/>
      <c r="G275" s="26"/>
      <c r="H275" s="130"/>
      <c r="I275" s="28"/>
      <c r="J275" s="26"/>
      <c r="K275" s="57"/>
      <c r="L275" s="28"/>
      <c r="M275" s="34"/>
      <c r="N275" s="107"/>
      <c r="O275" s="113"/>
      <c r="P275" s="32"/>
    </row>
    <row r="276">
      <c r="A276" s="114"/>
      <c r="B276" s="115"/>
      <c r="C276" s="22"/>
      <c r="D276" s="26"/>
      <c r="E276" s="101"/>
      <c r="F276" s="26"/>
      <c r="G276" s="26"/>
      <c r="H276" s="130"/>
      <c r="I276" s="28"/>
      <c r="J276" s="26"/>
      <c r="K276" s="57"/>
      <c r="L276" s="53"/>
      <c r="M276" s="34"/>
      <c r="N276" s="155"/>
      <c r="O276" s="136"/>
      <c r="P276" s="32"/>
    </row>
    <row r="277">
      <c r="A277" s="165"/>
      <c r="B277" s="130"/>
      <c r="C277" s="22"/>
      <c r="D277" s="26"/>
      <c r="E277" s="101"/>
      <c r="F277" s="26"/>
      <c r="G277" s="26"/>
      <c r="H277" s="130"/>
      <c r="I277" s="130"/>
      <c r="J277" s="26"/>
      <c r="K277" s="57"/>
      <c r="L277" s="28"/>
      <c r="M277" s="53"/>
      <c r="N277" s="107"/>
      <c r="O277" s="113"/>
      <c r="P277" s="32"/>
    </row>
    <row r="278">
      <c r="A278" s="165"/>
      <c r="B278" s="28"/>
      <c r="C278" s="22"/>
      <c r="D278" s="26"/>
      <c r="E278" s="101"/>
      <c r="F278" s="26"/>
      <c r="G278" s="130"/>
      <c r="H278" s="26"/>
      <c r="I278" s="28"/>
      <c r="J278" s="26"/>
      <c r="K278" s="57"/>
      <c r="L278" s="28"/>
      <c r="M278" s="105"/>
      <c r="N278" s="107"/>
      <c r="O278" s="432"/>
      <c r="P278" s="32"/>
    </row>
    <row r="279">
      <c r="A279" s="114"/>
      <c r="B279" s="130"/>
      <c r="C279" s="22"/>
      <c r="D279" s="26"/>
      <c r="E279" s="101"/>
      <c r="F279" s="26"/>
      <c r="G279" s="26"/>
      <c r="H279" s="26"/>
      <c r="I279" s="28"/>
      <c r="J279" s="26"/>
      <c r="K279" s="57"/>
      <c r="L279" s="53"/>
      <c r="M279" s="34"/>
      <c r="N279" s="155"/>
      <c r="O279" s="19"/>
      <c r="P279" s="32"/>
    </row>
    <row r="280">
      <c r="A280" s="165"/>
      <c r="B280" s="53"/>
      <c r="C280" s="22"/>
      <c r="D280" s="26"/>
      <c r="E280" s="101"/>
      <c r="F280" s="26"/>
      <c r="G280" s="115"/>
      <c r="H280" s="419"/>
      <c r="I280" s="28"/>
      <c r="J280" s="26"/>
      <c r="K280" s="57"/>
      <c r="L280" s="28"/>
      <c r="M280" s="53"/>
      <c r="N280" s="107"/>
      <c r="O280" s="113"/>
      <c r="P280" s="32"/>
    </row>
    <row r="281">
      <c r="A281" s="165"/>
      <c r="B281" s="130"/>
      <c r="C281" s="22"/>
      <c r="D281" s="26"/>
      <c r="E281" s="101"/>
      <c r="F281" s="26"/>
      <c r="G281" s="26"/>
      <c r="H281" s="130"/>
      <c r="I281" s="130"/>
      <c r="J281" s="225"/>
      <c r="K281" s="57"/>
      <c r="L281" s="28"/>
      <c r="M281" s="105"/>
      <c r="N281" s="107"/>
      <c r="O281" s="113"/>
      <c r="P281" s="32"/>
    </row>
    <row r="282">
      <c r="A282" s="114"/>
      <c r="B282" s="115"/>
      <c r="C282" s="22"/>
      <c r="D282" s="26"/>
      <c r="E282" s="101"/>
      <c r="F282" s="34"/>
      <c r="G282" s="115"/>
      <c r="H282" s="115"/>
      <c r="I282" s="53"/>
      <c r="J282" s="26"/>
      <c r="K282" s="57"/>
      <c r="L282" s="53"/>
      <c r="M282" s="34"/>
      <c r="N282" s="155"/>
      <c r="O282" s="19"/>
      <c r="P282" s="32"/>
    </row>
    <row r="283">
      <c r="A283" s="165"/>
      <c r="B283" s="28"/>
      <c r="C283" s="22"/>
      <c r="D283" s="26"/>
      <c r="E283" s="101"/>
      <c r="F283" s="26"/>
      <c r="G283" s="26"/>
      <c r="H283" s="130"/>
      <c r="I283" s="28"/>
      <c r="J283" s="26"/>
      <c r="K283" s="57"/>
      <c r="L283" s="28"/>
      <c r="M283" s="419"/>
      <c r="N283" s="463"/>
      <c r="O283" s="113"/>
      <c r="P283" s="32"/>
    </row>
    <row r="284">
      <c r="A284" s="114"/>
      <c r="B284" s="130"/>
      <c r="C284" s="22"/>
      <c r="D284" s="26"/>
      <c r="E284" s="101"/>
      <c r="F284" s="26"/>
      <c r="G284" s="26"/>
      <c r="H284" s="26"/>
      <c r="I284" s="28"/>
      <c r="J284" s="26"/>
      <c r="K284" s="57"/>
      <c r="L284" s="28"/>
      <c r="M284" s="34"/>
      <c r="N284" s="155"/>
      <c r="O284" s="136"/>
      <c r="P284" s="32"/>
    </row>
    <row r="285">
      <c r="A285" s="165"/>
      <c r="B285" s="28"/>
      <c r="C285" s="22"/>
      <c r="D285" s="26"/>
      <c r="E285" s="101"/>
      <c r="F285" s="111"/>
      <c r="G285" s="130"/>
      <c r="H285" s="130"/>
      <c r="I285" s="28"/>
      <c r="J285" s="26"/>
      <c r="K285" s="57"/>
      <c r="L285" s="28"/>
      <c r="M285" s="53"/>
      <c r="N285" s="107"/>
      <c r="O285" s="113"/>
      <c r="P285" s="32"/>
    </row>
    <row r="286">
      <c r="A286" s="114"/>
      <c r="B286" s="115"/>
      <c r="C286" s="22"/>
      <c r="D286" s="26"/>
      <c r="E286" s="101"/>
      <c r="F286" s="34"/>
      <c r="G286" s="115"/>
      <c r="H286" s="26"/>
      <c r="I286" s="154"/>
      <c r="J286" s="26"/>
      <c r="K286" s="57"/>
      <c r="L286" s="53"/>
      <c r="M286" s="53"/>
      <c r="N286" s="155"/>
      <c r="O286" s="19"/>
      <c r="P286" s="32"/>
    </row>
    <row r="287">
      <c r="A287" s="114"/>
      <c r="B287" s="115"/>
      <c r="C287" s="22"/>
      <c r="D287" s="26"/>
      <c r="E287" s="101"/>
      <c r="F287" s="34"/>
      <c r="G287" s="130"/>
      <c r="H287" s="115"/>
      <c r="I287" s="53"/>
      <c r="J287" s="26"/>
      <c r="K287" s="57"/>
      <c r="L287" s="53"/>
      <c r="M287" s="34"/>
      <c r="N287" s="155"/>
      <c r="O287" s="136"/>
      <c r="P287" s="32"/>
    </row>
    <row r="288">
      <c r="A288" s="165"/>
      <c r="B288" s="28"/>
      <c r="C288" s="22"/>
      <c r="D288" s="26"/>
      <c r="E288" s="101"/>
      <c r="F288" s="26"/>
      <c r="G288" s="130"/>
      <c r="H288" s="130"/>
      <c r="I288" s="28"/>
      <c r="J288" s="130"/>
      <c r="K288" s="57"/>
      <c r="L288" s="28"/>
      <c r="M288" s="53"/>
      <c r="N288" s="107"/>
      <c r="O288" s="109"/>
      <c r="P288" s="32"/>
    </row>
    <row r="289">
      <c r="A289" s="20"/>
      <c r="B289" s="26"/>
      <c r="C289" s="22"/>
      <c r="D289" s="26"/>
      <c r="E289" s="101"/>
      <c r="F289" s="26"/>
      <c r="G289" s="26"/>
      <c r="H289" s="26"/>
      <c r="I289" s="28"/>
      <c r="J289" s="26"/>
      <c r="K289" s="57"/>
      <c r="L289" s="28"/>
      <c r="M289" s="53"/>
      <c r="N289" s="107"/>
      <c r="O289" s="107"/>
      <c r="P289" s="32"/>
    </row>
    <row r="290">
      <c r="A290" s="114"/>
      <c r="B290" s="53"/>
      <c r="C290" s="22"/>
      <c r="D290" s="26"/>
      <c r="E290" s="101"/>
      <c r="F290" s="34"/>
      <c r="G290" s="130"/>
      <c r="H290" s="26"/>
      <c r="I290" s="53"/>
      <c r="J290" s="26"/>
      <c r="K290" s="57"/>
      <c r="L290" s="53"/>
      <c r="M290" s="53"/>
      <c r="N290" s="155"/>
      <c r="O290" s="136"/>
      <c r="P290" s="32"/>
    </row>
    <row r="291">
      <c r="A291" s="165"/>
      <c r="B291" s="28"/>
      <c r="C291" s="22"/>
      <c r="D291" s="26"/>
      <c r="E291" s="101"/>
      <c r="F291" s="26"/>
      <c r="G291" s="130"/>
      <c r="H291" s="130"/>
      <c r="I291" s="28"/>
      <c r="J291" s="130"/>
      <c r="K291" s="57"/>
      <c r="L291" s="28"/>
      <c r="M291" s="53"/>
      <c r="N291" s="107"/>
      <c r="O291" s="113"/>
      <c r="P291" s="32"/>
    </row>
    <row r="292">
      <c r="A292" s="165"/>
      <c r="B292" s="130"/>
      <c r="C292" s="22"/>
      <c r="D292" s="26"/>
      <c r="E292" s="101"/>
      <c r="F292" s="26"/>
      <c r="G292" s="130"/>
      <c r="H292" s="26"/>
      <c r="I292" s="28"/>
      <c r="J292" s="26"/>
      <c r="K292" s="57"/>
      <c r="L292" s="28"/>
      <c r="M292" s="53"/>
      <c r="N292" s="107"/>
      <c r="O292" s="113"/>
      <c r="P292" s="32"/>
    </row>
    <row r="293">
      <c r="A293" s="114"/>
      <c r="B293" s="53"/>
      <c r="C293" s="22"/>
      <c r="D293" s="26"/>
      <c r="E293" s="101"/>
      <c r="F293" s="34"/>
      <c r="G293" s="130"/>
      <c r="H293" s="419"/>
      <c r="I293" s="115"/>
      <c r="J293" s="26"/>
      <c r="K293" s="57"/>
      <c r="L293" s="53"/>
      <c r="M293" s="53"/>
      <c r="N293" s="155"/>
      <c r="O293" s="136"/>
      <c r="P293" s="32"/>
    </row>
    <row r="294">
      <c r="A294" s="165"/>
      <c r="B294" s="53"/>
      <c r="C294" s="22"/>
      <c r="D294" s="26"/>
      <c r="E294" s="101"/>
      <c r="F294" s="26"/>
      <c r="G294" s="130"/>
      <c r="H294" s="130"/>
      <c r="I294" s="28"/>
      <c r="J294" s="26"/>
      <c r="K294" s="57"/>
      <c r="L294" s="28"/>
      <c r="M294" s="53"/>
      <c r="N294" s="107"/>
      <c r="O294" s="113"/>
      <c r="P294" s="32"/>
    </row>
    <row r="295">
      <c r="A295" s="20"/>
      <c r="B295" s="138"/>
      <c r="C295" s="22"/>
      <c r="D295" s="26"/>
      <c r="E295" s="101"/>
      <c r="F295" s="26"/>
      <c r="G295" s="26"/>
      <c r="H295" s="26"/>
      <c r="I295" s="28"/>
      <c r="J295" s="26"/>
      <c r="K295" s="57"/>
      <c r="L295" s="28"/>
      <c r="M295" s="53"/>
      <c r="N295" s="107"/>
      <c r="O295" s="113"/>
      <c r="P295" s="32"/>
    </row>
    <row r="296">
      <c r="A296" s="20"/>
      <c r="B296" s="28"/>
      <c r="C296" s="22"/>
      <c r="D296" s="26"/>
      <c r="E296" s="101"/>
      <c r="F296" s="26"/>
      <c r="G296" s="26"/>
      <c r="H296" s="26"/>
      <c r="I296" s="28"/>
      <c r="J296" s="26"/>
      <c r="K296" s="27"/>
      <c r="L296" s="28"/>
      <c r="M296" s="53"/>
      <c r="N296" s="107"/>
      <c r="O296" s="113"/>
      <c r="P296" s="32"/>
    </row>
    <row r="297">
      <c r="A297" s="114"/>
      <c r="B297" s="130"/>
      <c r="C297" s="22"/>
      <c r="D297" s="26"/>
      <c r="E297" s="101"/>
      <c r="F297" s="26"/>
      <c r="G297" s="26"/>
      <c r="H297" s="26"/>
      <c r="I297" s="28"/>
      <c r="J297" s="26"/>
      <c r="K297" s="57"/>
      <c r="L297" s="53"/>
      <c r="M297" s="34"/>
      <c r="N297" s="155"/>
      <c r="O297" s="19"/>
      <c r="P297" s="32"/>
    </row>
    <row r="298">
      <c r="A298" s="114"/>
      <c r="B298" s="28"/>
      <c r="C298" s="22"/>
      <c r="D298" s="26"/>
      <c r="E298" s="101"/>
      <c r="F298" s="111"/>
      <c r="G298" s="26"/>
      <c r="H298" s="130"/>
      <c r="I298" s="130"/>
      <c r="J298" s="26"/>
      <c r="K298" s="57"/>
      <c r="L298" s="53"/>
      <c r="M298" s="34"/>
      <c r="N298" s="155"/>
      <c r="O298" s="136"/>
      <c r="P298" s="32"/>
    </row>
    <row r="299">
      <c r="A299" s="165"/>
      <c r="B299" s="28"/>
      <c r="C299" s="22"/>
      <c r="D299" s="26"/>
      <c r="E299" s="101"/>
      <c r="F299" s="26"/>
      <c r="G299" s="26"/>
      <c r="H299" s="26"/>
      <c r="I299" s="28"/>
      <c r="J299" s="26"/>
      <c r="K299" s="57"/>
      <c r="L299" s="28"/>
      <c r="M299" s="105"/>
      <c r="N299" s="107"/>
      <c r="O299" s="113"/>
      <c r="P299" s="32"/>
    </row>
    <row r="300">
      <c r="A300" s="165"/>
      <c r="B300" s="130"/>
      <c r="C300" s="22"/>
      <c r="D300" s="26"/>
      <c r="E300" s="101"/>
      <c r="F300" s="26"/>
      <c r="G300" s="130"/>
      <c r="H300" s="130"/>
      <c r="I300" s="28"/>
      <c r="J300" s="26"/>
      <c r="K300" s="57"/>
      <c r="L300" s="28"/>
      <c r="M300" s="34"/>
      <c r="N300" s="107"/>
      <c r="O300" s="113"/>
      <c r="P300" s="32"/>
    </row>
    <row r="301">
      <c r="A301" s="114"/>
      <c r="B301" s="28"/>
      <c r="C301" s="22"/>
      <c r="D301" s="26"/>
      <c r="E301" s="101"/>
      <c r="F301" s="26"/>
      <c r="G301" s="26"/>
      <c r="H301" s="130"/>
      <c r="I301" s="28"/>
      <c r="J301" s="26"/>
      <c r="K301" s="57"/>
      <c r="L301" s="28"/>
      <c r="M301" s="34"/>
      <c r="N301" s="155"/>
      <c r="O301" s="136"/>
      <c r="P301" s="32"/>
    </row>
    <row r="302">
      <c r="A302" s="165"/>
      <c r="B302" s="28"/>
      <c r="C302" s="22"/>
      <c r="D302" s="26"/>
      <c r="E302" s="101"/>
      <c r="F302" s="26"/>
      <c r="G302" s="130"/>
      <c r="H302" s="419"/>
      <c r="I302" s="28"/>
      <c r="J302" s="26"/>
      <c r="K302" s="57"/>
      <c r="L302" s="28"/>
      <c r="M302" s="34"/>
      <c r="N302" s="107"/>
      <c r="O302" s="113"/>
      <c r="P302" s="32"/>
    </row>
    <row r="303">
      <c r="A303" s="165"/>
      <c r="B303" s="28"/>
      <c r="C303" s="22"/>
      <c r="D303" s="26"/>
      <c r="E303" s="101"/>
      <c r="F303" s="26"/>
      <c r="G303" s="26"/>
      <c r="H303" s="26"/>
      <c r="I303" s="130"/>
      <c r="J303" s="26"/>
      <c r="K303" s="57"/>
      <c r="L303" s="28"/>
      <c r="M303" s="34"/>
      <c r="N303" s="107"/>
      <c r="O303" s="113"/>
      <c r="P303" s="32"/>
    </row>
    <row r="304">
      <c r="A304" s="165"/>
      <c r="B304" s="28"/>
      <c r="C304" s="22"/>
      <c r="D304" s="26"/>
      <c r="E304" s="101"/>
      <c r="F304" s="26"/>
      <c r="G304" s="130"/>
      <c r="H304" s="419"/>
      <c r="I304" s="28"/>
      <c r="J304" s="26"/>
      <c r="K304" s="57"/>
      <c r="L304" s="28"/>
      <c r="M304" s="34"/>
      <c r="N304" s="107"/>
      <c r="O304" s="113"/>
      <c r="P304" s="32"/>
    </row>
    <row r="305">
      <c r="A305" s="20"/>
      <c r="B305" s="26"/>
      <c r="C305" s="22"/>
      <c r="D305" s="26"/>
      <c r="E305" s="101"/>
      <c r="F305" s="26"/>
      <c r="G305" s="26"/>
      <c r="H305" s="26"/>
      <c r="I305" s="28"/>
      <c r="J305" s="26"/>
      <c r="K305" s="57"/>
      <c r="L305" s="110"/>
      <c r="M305" s="34"/>
      <c r="N305" s="107"/>
      <c r="O305" s="113"/>
      <c r="P305" s="32"/>
    </row>
    <row r="306">
      <c r="A306" s="165"/>
      <c r="B306" s="28"/>
      <c r="C306" s="22"/>
      <c r="D306" s="26"/>
      <c r="E306" s="101"/>
      <c r="F306" s="26"/>
      <c r="G306" s="130"/>
      <c r="H306" s="130"/>
      <c r="I306" s="130"/>
      <c r="J306" s="130"/>
      <c r="K306" s="57"/>
      <c r="L306" s="28"/>
      <c r="M306" s="34"/>
      <c r="N306" s="107"/>
      <c r="O306" s="113"/>
      <c r="P306" s="32"/>
    </row>
    <row r="307">
      <c r="A307" s="165"/>
      <c r="B307" s="28"/>
      <c r="C307" s="22"/>
      <c r="D307" s="26"/>
      <c r="E307" s="101"/>
      <c r="F307" s="26"/>
      <c r="G307" s="130"/>
      <c r="H307" s="26"/>
      <c r="I307" s="28"/>
      <c r="J307" s="26"/>
      <c r="K307" s="57"/>
      <c r="L307" s="28"/>
      <c r="M307" s="53"/>
      <c r="N307" s="107"/>
      <c r="O307" s="113"/>
      <c r="P307" s="32"/>
    </row>
    <row r="308">
      <c r="A308" s="114"/>
      <c r="B308" s="28"/>
      <c r="C308" s="22"/>
      <c r="D308" s="26"/>
      <c r="E308" s="183"/>
      <c r="F308" s="184"/>
      <c r="G308" s="26"/>
      <c r="H308" s="130"/>
      <c r="I308" s="28"/>
      <c r="J308" s="26"/>
      <c r="K308" s="57"/>
      <c r="L308" s="28"/>
      <c r="M308" s="34"/>
      <c r="N308" s="107"/>
      <c r="O308" s="113"/>
      <c r="P308" s="32"/>
    </row>
    <row r="309">
      <c r="A309" s="165"/>
      <c r="B309" s="26"/>
      <c r="C309" s="22"/>
      <c r="D309" s="26"/>
      <c r="E309" s="101"/>
      <c r="F309" s="26"/>
      <c r="G309" s="130"/>
      <c r="H309" s="26"/>
      <c r="I309" s="28"/>
      <c r="J309" s="225"/>
      <c r="K309" s="57"/>
      <c r="L309" s="28"/>
      <c r="M309" s="105"/>
      <c r="N309" s="107"/>
      <c r="O309" s="113"/>
      <c r="P309" s="32"/>
    </row>
    <row r="310">
      <c r="A310" s="20"/>
      <c r="B310" s="28"/>
      <c r="C310" s="22"/>
      <c r="D310" s="26"/>
      <c r="E310" s="101"/>
      <c r="F310" s="26"/>
      <c r="G310" s="130"/>
      <c r="H310" s="130"/>
      <c r="I310" s="28"/>
      <c r="J310" s="130"/>
      <c r="K310" s="57"/>
      <c r="L310" s="28"/>
      <c r="M310" s="105"/>
      <c r="N310" s="107"/>
      <c r="O310" s="113"/>
      <c r="P310" s="32"/>
    </row>
    <row r="311">
      <c r="A311" s="114"/>
      <c r="B311" s="28"/>
      <c r="C311" s="22"/>
      <c r="D311" s="26"/>
      <c r="E311" s="101"/>
      <c r="F311" s="26"/>
      <c r="G311" s="26"/>
      <c r="H311" s="130"/>
      <c r="I311" s="28"/>
      <c r="J311" s="26"/>
      <c r="K311" s="57"/>
      <c r="L311" s="28"/>
      <c r="M311" s="105"/>
      <c r="N311" s="107"/>
      <c r="O311" s="113"/>
      <c r="P311" s="32"/>
    </row>
    <row r="312">
      <c r="A312" s="464"/>
      <c r="B312" s="130"/>
      <c r="C312" s="22"/>
      <c r="D312" s="26"/>
      <c r="E312" s="101"/>
      <c r="F312" s="26"/>
      <c r="G312" s="130"/>
      <c r="H312" s="130"/>
      <c r="I312" s="28"/>
      <c r="J312" s="130"/>
      <c r="K312" s="57"/>
      <c r="L312" s="28"/>
      <c r="M312" s="120"/>
      <c r="N312" s="155"/>
      <c r="O312" s="113"/>
      <c r="P312" s="32"/>
    </row>
    <row r="313">
      <c r="A313" s="165"/>
      <c r="B313" s="130"/>
      <c r="C313" s="22"/>
      <c r="D313" s="26"/>
      <c r="E313" s="101"/>
      <c r="F313" s="26"/>
      <c r="G313" s="130"/>
      <c r="H313" s="130"/>
      <c r="I313" s="28"/>
      <c r="J313" s="130"/>
      <c r="K313" s="57"/>
      <c r="L313" s="28"/>
      <c r="M313" s="53"/>
      <c r="N313" s="107"/>
      <c r="O313" s="113"/>
      <c r="P313" s="32"/>
    </row>
    <row r="314">
      <c r="A314" s="165"/>
      <c r="B314" s="28"/>
      <c r="C314" s="22"/>
      <c r="D314" s="26"/>
      <c r="E314" s="101"/>
      <c r="F314" s="26"/>
      <c r="G314" s="130"/>
      <c r="H314" s="130"/>
      <c r="I314" s="28"/>
      <c r="J314" s="26"/>
      <c r="K314" s="57"/>
      <c r="L314" s="28"/>
      <c r="M314" s="34"/>
      <c r="N314" s="107"/>
      <c r="O314" s="113"/>
      <c r="P314" s="32"/>
    </row>
    <row r="315">
      <c r="A315" s="165"/>
      <c r="B315" s="28"/>
      <c r="C315" s="22"/>
      <c r="D315" s="26"/>
      <c r="E315" s="101"/>
      <c r="F315" s="26"/>
      <c r="G315" s="26"/>
      <c r="H315" s="130"/>
      <c r="I315" s="28"/>
      <c r="J315" s="26"/>
      <c r="K315" s="57"/>
      <c r="L315" s="28"/>
      <c r="M315" s="34"/>
      <c r="N315" s="107"/>
      <c r="O315" s="113"/>
      <c r="P315" s="32"/>
    </row>
    <row r="316">
      <c r="A316" s="165"/>
      <c r="B316" s="28"/>
      <c r="C316" s="22"/>
      <c r="D316" s="26"/>
      <c r="E316" s="101"/>
      <c r="F316" s="26"/>
      <c r="G316" s="130"/>
      <c r="H316" s="130"/>
      <c r="I316" s="130"/>
      <c r="J316" s="130"/>
      <c r="K316" s="57"/>
      <c r="L316" s="28"/>
      <c r="M316" s="34"/>
      <c r="N316" s="107"/>
      <c r="O316" s="113"/>
      <c r="P316" s="32"/>
    </row>
    <row r="317">
      <c r="A317" s="114"/>
      <c r="B317" s="28"/>
      <c r="C317" s="22"/>
      <c r="D317" s="26"/>
      <c r="E317" s="101"/>
      <c r="F317" s="26"/>
      <c r="G317" s="26"/>
      <c r="H317" s="130"/>
      <c r="I317" s="28"/>
      <c r="J317" s="26"/>
      <c r="K317" s="57"/>
      <c r="L317" s="28"/>
      <c r="M317" s="105"/>
      <c r="N317" s="107"/>
      <c r="O317" s="136"/>
      <c r="P317" s="32"/>
    </row>
    <row r="318">
      <c r="A318" s="165"/>
      <c r="B318" s="28"/>
      <c r="C318" s="22"/>
      <c r="D318" s="26"/>
      <c r="E318" s="101"/>
      <c r="F318" s="26"/>
      <c r="G318" s="26"/>
      <c r="H318" s="130"/>
      <c r="I318" s="28"/>
      <c r="J318" s="26"/>
      <c r="K318" s="57"/>
      <c r="L318" s="28"/>
      <c r="M318" s="34"/>
      <c r="N318" s="107"/>
      <c r="O318" s="113"/>
      <c r="P318" s="32"/>
    </row>
    <row r="319">
      <c r="A319" s="165"/>
      <c r="B319" s="115"/>
      <c r="C319" s="22"/>
      <c r="D319" s="26"/>
      <c r="E319" s="101"/>
      <c r="F319" s="26"/>
      <c r="G319" s="26"/>
      <c r="H319" s="26"/>
      <c r="I319" s="28"/>
      <c r="J319" s="225"/>
      <c r="K319" s="57"/>
      <c r="L319" s="28"/>
      <c r="M319" s="34"/>
      <c r="N319" s="107"/>
      <c r="O319" s="109"/>
      <c r="P319" s="32"/>
    </row>
    <row r="320">
      <c r="A320" s="114"/>
      <c r="B320" s="130"/>
      <c r="C320" s="22"/>
      <c r="D320" s="26"/>
      <c r="E320" s="101"/>
      <c r="F320" s="111"/>
      <c r="G320" s="26"/>
      <c r="H320" s="26"/>
      <c r="I320" s="28"/>
      <c r="J320" s="26"/>
      <c r="K320" s="57"/>
      <c r="L320" s="53"/>
      <c r="M320" s="34"/>
      <c r="N320" s="155"/>
      <c r="O320" s="136"/>
      <c r="P320" s="32"/>
    </row>
    <row r="321">
      <c r="A321" s="114"/>
      <c r="B321" s="28"/>
      <c r="C321" s="22"/>
      <c r="D321" s="26"/>
      <c r="E321" s="101"/>
      <c r="F321" s="26"/>
      <c r="G321" s="26"/>
      <c r="H321" s="26"/>
      <c r="I321" s="28"/>
      <c r="J321" s="26"/>
      <c r="K321" s="57"/>
      <c r="L321" s="53"/>
      <c r="M321" s="34"/>
      <c r="N321" s="155"/>
      <c r="O321" s="136"/>
      <c r="P321" s="32"/>
    </row>
    <row r="322">
      <c r="A322" s="165"/>
      <c r="B322" s="130"/>
      <c r="C322" s="22"/>
      <c r="D322" s="26"/>
      <c r="E322" s="101"/>
      <c r="F322" s="26"/>
      <c r="G322" s="26"/>
      <c r="H322" s="26"/>
      <c r="I322" s="130"/>
      <c r="J322" s="26"/>
      <c r="K322" s="57"/>
      <c r="L322" s="28"/>
      <c r="M322" s="105"/>
      <c r="N322" s="107"/>
      <c r="O322" s="113"/>
      <c r="P322" s="32"/>
    </row>
    <row r="323">
      <c r="A323" s="114"/>
      <c r="B323" s="28"/>
      <c r="C323" s="22"/>
      <c r="D323" s="26"/>
      <c r="E323" s="101"/>
      <c r="F323" s="26"/>
      <c r="G323" s="130"/>
      <c r="H323" s="130"/>
      <c r="I323" s="28"/>
      <c r="J323" s="130"/>
      <c r="K323" s="57"/>
      <c r="L323" s="28"/>
      <c r="M323" s="53"/>
      <c r="N323" s="107"/>
      <c r="O323" s="113"/>
      <c r="P323" s="32"/>
    </row>
    <row r="324">
      <c r="A324" s="165"/>
      <c r="B324" s="28"/>
      <c r="C324" s="22"/>
      <c r="D324" s="26"/>
      <c r="E324" s="101"/>
      <c r="F324" s="26"/>
      <c r="G324" s="130"/>
      <c r="H324" s="130"/>
      <c r="I324" s="28"/>
      <c r="J324" s="26"/>
      <c r="K324" s="57"/>
      <c r="L324" s="28"/>
      <c r="M324" s="34"/>
      <c r="N324" s="107"/>
      <c r="O324" s="113"/>
      <c r="P324" s="32"/>
    </row>
    <row r="325">
      <c r="A325" s="165"/>
      <c r="B325" s="53"/>
      <c r="C325" s="22"/>
      <c r="D325" s="26"/>
      <c r="E325" s="101"/>
      <c r="F325" s="26"/>
      <c r="G325" s="130"/>
      <c r="H325" s="26"/>
      <c r="I325" s="130"/>
      <c r="J325" s="26"/>
      <c r="K325" s="57"/>
      <c r="L325" s="28"/>
      <c r="M325" s="34"/>
      <c r="N325" s="107"/>
      <c r="O325" s="113"/>
      <c r="P325" s="32"/>
    </row>
    <row r="326">
      <c r="A326" s="165"/>
      <c r="B326" s="130"/>
      <c r="C326" s="22"/>
      <c r="D326" s="26"/>
      <c r="E326" s="101"/>
      <c r="F326" s="26"/>
      <c r="G326" s="130"/>
      <c r="H326" s="26"/>
      <c r="I326" s="130"/>
      <c r="J326" s="26"/>
      <c r="K326" s="57"/>
      <c r="L326" s="28"/>
      <c r="M326" s="105"/>
      <c r="N326" s="107"/>
      <c r="O326" s="113"/>
      <c r="P326" s="32"/>
    </row>
    <row r="327">
      <c r="A327" s="165"/>
      <c r="B327" s="28"/>
      <c r="C327" s="22"/>
      <c r="D327" s="26"/>
      <c r="E327" s="101"/>
      <c r="F327" s="26"/>
      <c r="G327" s="130"/>
      <c r="H327" s="26"/>
      <c r="I327" s="28"/>
      <c r="J327" s="26"/>
      <c r="K327" s="57"/>
      <c r="L327" s="28"/>
      <c r="M327" s="34"/>
      <c r="N327" s="107"/>
      <c r="O327" s="113"/>
      <c r="P327" s="32"/>
    </row>
    <row r="328">
      <c r="A328" s="165"/>
      <c r="B328" s="419"/>
      <c r="C328" s="22"/>
      <c r="D328" s="26"/>
      <c r="E328" s="101"/>
      <c r="F328" s="26"/>
      <c r="G328" s="130"/>
      <c r="H328" s="130"/>
      <c r="I328" s="28"/>
      <c r="J328" s="26"/>
      <c r="K328" s="57"/>
      <c r="L328" s="28"/>
      <c r="M328" s="53"/>
      <c r="N328" s="107"/>
      <c r="O328" s="113"/>
      <c r="P328" s="32"/>
    </row>
    <row r="329">
      <c r="A329" s="165"/>
      <c r="B329" s="130"/>
      <c r="C329" s="22"/>
      <c r="D329" s="26"/>
      <c r="E329" s="101"/>
      <c r="F329" s="26"/>
      <c r="G329" s="130"/>
      <c r="H329" s="130"/>
      <c r="I329" s="28"/>
      <c r="J329" s="26"/>
      <c r="K329" s="57"/>
      <c r="L329" s="28"/>
      <c r="M329" s="105"/>
      <c r="N329" s="107"/>
      <c r="O329" s="113"/>
      <c r="P329" s="32"/>
    </row>
    <row r="330">
      <c r="A330" s="165"/>
      <c r="B330" s="419"/>
      <c r="C330" s="22"/>
      <c r="D330" s="26"/>
      <c r="E330" s="101"/>
      <c r="F330" s="26"/>
      <c r="G330" s="130"/>
      <c r="H330" s="130"/>
      <c r="I330" s="28"/>
      <c r="J330" s="26"/>
      <c r="K330" s="57"/>
      <c r="L330" s="28"/>
      <c r="M330" s="34"/>
      <c r="N330" s="107"/>
      <c r="O330" s="113"/>
      <c r="P330" s="32"/>
    </row>
    <row r="331">
      <c r="A331" s="114"/>
      <c r="B331" s="130"/>
      <c r="C331" s="22"/>
      <c r="D331" s="26"/>
      <c r="E331" s="101"/>
      <c r="F331" s="26"/>
      <c r="G331" s="26"/>
      <c r="H331" s="26"/>
      <c r="I331" s="28"/>
      <c r="J331" s="26"/>
      <c r="K331" s="57"/>
      <c r="L331" s="53"/>
      <c r="M331" s="34"/>
      <c r="N331" s="155"/>
      <c r="O331" s="136"/>
      <c r="P331" s="32"/>
    </row>
    <row r="332">
      <c r="A332" s="114"/>
      <c r="B332" s="28"/>
      <c r="C332" s="22"/>
      <c r="D332" s="26"/>
      <c r="E332" s="101"/>
      <c r="F332" s="26"/>
      <c r="G332" s="26"/>
      <c r="H332" s="26"/>
      <c r="I332" s="28"/>
      <c r="J332" s="26"/>
      <c r="K332" s="57"/>
      <c r="L332" s="53"/>
      <c r="M332" s="105"/>
      <c r="N332" s="155"/>
      <c r="O332" s="136"/>
      <c r="P332" s="32"/>
    </row>
    <row r="333">
      <c r="A333" s="165"/>
      <c r="B333" s="130"/>
      <c r="C333" s="22"/>
      <c r="D333" s="26"/>
      <c r="E333" s="101"/>
      <c r="F333" s="26"/>
      <c r="G333" s="26"/>
      <c r="H333" s="26"/>
      <c r="I333" s="28"/>
      <c r="J333" s="26"/>
      <c r="K333" s="57"/>
      <c r="L333" s="28"/>
      <c r="M333" s="34"/>
      <c r="N333" s="107"/>
      <c r="O333" s="113"/>
      <c r="P333" s="32"/>
    </row>
    <row r="334">
      <c r="A334" s="114"/>
      <c r="B334" s="28"/>
      <c r="C334" s="22"/>
      <c r="D334" s="26"/>
      <c r="E334" s="101"/>
      <c r="F334" s="26"/>
      <c r="G334" s="26"/>
      <c r="H334" s="26"/>
      <c r="I334" s="28"/>
      <c r="J334" s="225"/>
      <c r="K334" s="57"/>
      <c r="L334" s="53"/>
      <c r="M334" s="34"/>
      <c r="N334" s="155"/>
      <c r="O334" s="432"/>
      <c r="P334" s="32"/>
    </row>
    <row r="335">
      <c r="A335" s="165"/>
      <c r="B335" s="130"/>
      <c r="C335" s="22"/>
      <c r="D335" s="26"/>
      <c r="E335" s="101"/>
      <c r="F335" s="26"/>
      <c r="G335" s="26"/>
      <c r="H335" s="26"/>
      <c r="I335" s="130"/>
      <c r="J335" s="26"/>
      <c r="K335" s="57"/>
      <c r="L335" s="28"/>
      <c r="M335" s="34"/>
      <c r="N335" s="107"/>
      <c r="O335" s="109"/>
      <c r="P335" s="32"/>
    </row>
    <row r="336">
      <c r="A336" s="165"/>
      <c r="B336" s="115"/>
      <c r="C336" s="22"/>
      <c r="D336" s="26"/>
      <c r="E336" s="101"/>
      <c r="F336" s="34"/>
      <c r="G336" s="130"/>
      <c r="H336" s="130"/>
      <c r="I336" s="130"/>
      <c r="J336" s="26"/>
      <c r="K336" s="57"/>
      <c r="L336" s="28"/>
      <c r="M336" s="53"/>
      <c r="N336" s="107"/>
      <c r="O336" s="113"/>
      <c r="P336" s="32"/>
    </row>
    <row r="337">
      <c r="A337" s="165"/>
      <c r="B337" s="130"/>
      <c r="C337" s="22"/>
      <c r="D337" s="26"/>
      <c r="E337" s="101"/>
      <c r="F337" s="26"/>
      <c r="G337" s="130"/>
      <c r="H337" s="130"/>
      <c r="I337" s="28"/>
      <c r="J337" s="26"/>
      <c r="K337" s="57"/>
      <c r="L337" s="28"/>
      <c r="M337" s="53"/>
      <c r="N337" s="107"/>
      <c r="O337" s="109"/>
      <c r="P337" s="32"/>
    </row>
    <row r="338">
      <c r="A338" s="114"/>
      <c r="B338" s="130"/>
      <c r="C338" s="22"/>
      <c r="D338" s="26"/>
      <c r="E338" s="101"/>
      <c r="F338" s="26"/>
      <c r="G338" s="26"/>
      <c r="H338" s="26"/>
      <c r="I338" s="28"/>
      <c r="J338" s="26"/>
      <c r="K338" s="57"/>
      <c r="L338" s="53"/>
      <c r="M338" s="53"/>
      <c r="N338" s="155"/>
      <c r="O338" s="19"/>
      <c r="P338" s="32"/>
    </row>
    <row r="339">
      <c r="A339" s="165"/>
      <c r="B339" s="28"/>
      <c r="C339" s="22"/>
      <c r="D339" s="26"/>
      <c r="E339" s="101"/>
      <c r="F339" s="26"/>
      <c r="G339" s="130"/>
      <c r="H339" s="130"/>
      <c r="I339" s="28"/>
      <c r="J339" s="26"/>
      <c r="K339" s="57"/>
      <c r="L339" s="28"/>
      <c r="M339" s="105"/>
      <c r="N339" s="107"/>
      <c r="O339" s="113"/>
      <c r="P339" s="32"/>
    </row>
    <row r="340">
      <c r="A340" s="114"/>
      <c r="B340" s="130"/>
      <c r="C340" s="22"/>
      <c r="D340" s="26"/>
      <c r="E340" s="101"/>
      <c r="F340" s="26"/>
      <c r="G340" s="26"/>
      <c r="H340" s="26"/>
      <c r="I340" s="28"/>
      <c r="J340" s="26"/>
      <c r="K340" s="57"/>
      <c r="L340" s="53"/>
      <c r="M340" s="34"/>
      <c r="N340" s="155"/>
      <c r="O340" s="136"/>
      <c r="P340" s="32"/>
    </row>
    <row r="341">
      <c r="A341" s="114"/>
      <c r="B341" s="115"/>
      <c r="C341" s="22"/>
      <c r="D341" s="26"/>
      <c r="E341" s="101"/>
      <c r="F341" s="26"/>
      <c r="G341" s="26"/>
      <c r="H341" s="26"/>
      <c r="I341" s="28"/>
      <c r="J341" s="26"/>
      <c r="K341" s="57"/>
      <c r="L341" s="28"/>
      <c r="M341" s="34"/>
      <c r="N341" s="155"/>
      <c r="O341" s="136"/>
      <c r="P341" s="32"/>
    </row>
    <row r="342">
      <c r="A342" s="165"/>
      <c r="B342" s="130"/>
      <c r="C342" s="22"/>
      <c r="D342" s="26"/>
      <c r="E342" s="101"/>
      <c r="F342" s="26"/>
      <c r="G342" s="130"/>
      <c r="H342" s="130"/>
      <c r="I342" s="130"/>
      <c r="J342" s="130"/>
      <c r="K342" s="57"/>
      <c r="L342" s="28"/>
      <c r="M342" s="53"/>
      <c r="N342" s="107"/>
      <c r="O342" s="113"/>
      <c r="P342" s="32"/>
    </row>
    <row r="343">
      <c r="A343" s="114"/>
      <c r="B343" s="28"/>
      <c r="C343" s="22"/>
      <c r="D343" s="26"/>
      <c r="E343" s="101"/>
      <c r="F343" s="26"/>
      <c r="G343" s="26"/>
      <c r="H343" s="26"/>
      <c r="I343" s="28"/>
      <c r="J343" s="26"/>
      <c r="K343" s="57"/>
      <c r="L343" s="28"/>
      <c r="M343" s="34"/>
      <c r="N343" s="155"/>
      <c r="O343" s="136"/>
      <c r="P343" s="32"/>
    </row>
    <row r="344">
      <c r="A344" s="165"/>
      <c r="B344" s="130"/>
      <c r="C344" s="22"/>
      <c r="D344" s="26"/>
      <c r="E344" s="101"/>
      <c r="F344" s="26"/>
      <c r="G344" s="26"/>
      <c r="H344" s="26"/>
      <c r="I344" s="130"/>
      <c r="J344" s="26"/>
      <c r="K344" s="57"/>
      <c r="L344" s="28"/>
      <c r="M344" s="105"/>
      <c r="N344" s="155"/>
      <c r="O344" s="113"/>
      <c r="P344" s="32"/>
    </row>
    <row r="345">
      <c r="A345" s="165"/>
      <c r="B345" s="28"/>
      <c r="C345" s="22"/>
      <c r="D345" s="26"/>
      <c r="E345" s="101"/>
      <c r="F345" s="26"/>
      <c r="G345" s="26"/>
      <c r="H345" s="130"/>
      <c r="I345" s="28"/>
      <c r="J345" s="26"/>
      <c r="K345" s="57"/>
      <c r="L345" s="28"/>
      <c r="M345" s="34"/>
      <c r="N345" s="107"/>
      <c r="O345" s="113"/>
      <c r="P345" s="32"/>
    </row>
    <row r="346">
      <c r="A346" s="165"/>
      <c r="B346" s="28"/>
      <c r="C346" s="22"/>
      <c r="D346" s="26"/>
      <c r="E346" s="101"/>
      <c r="F346" s="111"/>
      <c r="G346" s="130"/>
      <c r="H346" s="130"/>
      <c r="I346" s="28"/>
      <c r="J346" s="26"/>
      <c r="K346" s="57"/>
      <c r="L346" s="28"/>
      <c r="M346" s="53"/>
      <c r="N346" s="107"/>
      <c r="O346" s="113"/>
      <c r="P346" s="32"/>
    </row>
    <row r="347">
      <c r="A347" s="165"/>
      <c r="B347" s="130"/>
      <c r="C347" s="22"/>
      <c r="D347" s="26"/>
      <c r="E347" s="101"/>
      <c r="F347" s="26"/>
      <c r="G347" s="26"/>
      <c r="H347" s="130"/>
      <c r="I347" s="130"/>
      <c r="J347" s="26"/>
      <c r="K347" s="27"/>
      <c r="L347" s="28"/>
      <c r="M347" s="105"/>
      <c r="N347" s="107"/>
      <c r="O347" s="109"/>
      <c r="P347" s="32"/>
    </row>
    <row r="348" ht="17.25" customHeight="1">
      <c r="A348" s="165"/>
      <c r="B348" s="28"/>
      <c r="C348" s="22"/>
      <c r="D348" s="26"/>
      <c r="E348" s="101"/>
      <c r="F348" s="26"/>
      <c r="G348" s="130"/>
      <c r="H348" s="26"/>
      <c r="I348" s="130"/>
      <c r="J348" s="26"/>
      <c r="K348" s="57"/>
      <c r="L348" s="28"/>
      <c r="M348" s="105"/>
      <c r="N348" s="107"/>
      <c r="O348" s="113"/>
      <c r="P348" s="32"/>
    </row>
    <row r="349">
      <c r="A349" s="165"/>
      <c r="B349" s="130"/>
      <c r="C349" s="22"/>
      <c r="D349" s="26"/>
      <c r="E349" s="101"/>
      <c r="F349" s="26"/>
      <c r="G349" s="130"/>
      <c r="H349" s="130"/>
      <c r="I349" s="130"/>
      <c r="J349" s="26"/>
      <c r="K349" s="57"/>
      <c r="L349" s="28"/>
      <c r="M349" s="120"/>
      <c r="N349" s="107"/>
      <c r="O349" s="113"/>
      <c r="P349" s="32"/>
    </row>
    <row r="350">
      <c r="A350" s="165"/>
      <c r="B350" s="130"/>
      <c r="C350" s="22"/>
      <c r="D350" s="26"/>
      <c r="E350" s="101"/>
      <c r="F350" s="26"/>
      <c r="G350" s="26"/>
      <c r="H350" s="130"/>
      <c r="I350" s="130"/>
      <c r="J350" s="130"/>
      <c r="K350" s="57"/>
      <c r="L350" s="28"/>
      <c r="M350" s="120"/>
      <c r="N350" s="107"/>
      <c r="O350" s="113"/>
      <c r="P350" s="32"/>
    </row>
    <row r="351">
      <c r="A351" s="165"/>
      <c r="B351" s="130"/>
      <c r="C351" s="22"/>
      <c r="D351" s="26"/>
      <c r="E351" s="101"/>
      <c r="F351" s="26"/>
      <c r="G351" s="26"/>
      <c r="H351" s="130"/>
      <c r="I351" s="28"/>
      <c r="J351" s="26"/>
      <c r="K351" s="57"/>
      <c r="L351" s="28"/>
      <c r="M351" s="34"/>
      <c r="N351" s="107"/>
      <c r="O351" s="432"/>
      <c r="P351" s="32"/>
    </row>
    <row r="352">
      <c r="A352" s="165"/>
      <c r="B352" s="28"/>
      <c r="C352" s="22"/>
      <c r="D352" s="26"/>
      <c r="E352" s="101"/>
      <c r="F352" s="26"/>
      <c r="G352" s="26"/>
      <c r="H352" s="130"/>
      <c r="I352" s="130"/>
      <c r="J352" s="26"/>
      <c r="K352" s="57"/>
      <c r="L352" s="28"/>
      <c r="M352" s="34"/>
      <c r="N352" s="107"/>
      <c r="O352" s="113"/>
      <c r="P352" s="32"/>
    </row>
    <row r="353">
      <c r="A353" s="165"/>
      <c r="B353" s="130"/>
      <c r="C353" s="22"/>
      <c r="D353" s="26"/>
      <c r="E353" s="101"/>
      <c r="F353" s="26"/>
      <c r="G353" s="130"/>
      <c r="H353" s="130"/>
      <c r="I353" s="28"/>
      <c r="J353" s="26"/>
      <c r="K353" s="57"/>
      <c r="L353" s="28"/>
      <c r="M353" s="105"/>
      <c r="N353" s="107"/>
      <c r="O353" s="113"/>
      <c r="P353" s="32"/>
    </row>
    <row r="354">
      <c r="A354" s="165"/>
      <c r="B354" s="130"/>
      <c r="C354" s="22"/>
      <c r="D354" s="26"/>
      <c r="E354" s="101"/>
      <c r="F354" s="26"/>
      <c r="G354" s="26"/>
      <c r="H354" s="26"/>
      <c r="I354" s="130"/>
      <c r="J354" s="26"/>
      <c r="K354" s="57"/>
      <c r="L354" s="28"/>
      <c r="M354" s="120"/>
      <c r="N354" s="107"/>
      <c r="O354" s="113"/>
      <c r="P354" s="32"/>
    </row>
    <row r="355">
      <c r="A355" s="165"/>
      <c r="B355" s="28"/>
      <c r="C355" s="22"/>
      <c r="D355" s="26"/>
      <c r="E355" s="101"/>
      <c r="F355" s="26"/>
      <c r="G355" s="130"/>
      <c r="H355" s="26"/>
      <c r="I355" s="130"/>
      <c r="J355" s="26"/>
      <c r="K355" s="57"/>
      <c r="L355" s="28"/>
      <c r="M355" s="105"/>
      <c r="N355" s="107"/>
      <c r="O355" s="113"/>
      <c r="P355" s="32"/>
    </row>
    <row r="356">
      <c r="A356" s="165"/>
      <c r="B356" s="28"/>
      <c r="C356" s="22"/>
      <c r="D356" s="26"/>
      <c r="E356" s="101"/>
      <c r="F356" s="26"/>
      <c r="G356" s="26"/>
      <c r="H356" s="130"/>
      <c r="I356" s="130"/>
      <c r="J356" s="26"/>
      <c r="K356" s="57"/>
      <c r="L356" s="28"/>
      <c r="M356" s="34"/>
      <c r="N356" s="107"/>
      <c r="O356" s="432"/>
      <c r="P356" s="32"/>
    </row>
    <row r="357">
      <c r="A357" s="165"/>
      <c r="B357" s="130"/>
      <c r="C357" s="22"/>
      <c r="D357" s="26"/>
      <c r="E357" s="101"/>
      <c r="F357" s="34"/>
      <c r="G357" s="130"/>
      <c r="H357" s="130"/>
      <c r="I357" s="28"/>
      <c r="J357" s="26"/>
      <c r="K357" s="57"/>
      <c r="L357" s="28"/>
      <c r="M357" s="34"/>
      <c r="N357" s="107"/>
      <c r="O357" s="113"/>
      <c r="P357" s="32"/>
    </row>
    <row r="358">
      <c r="A358" s="165"/>
      <c r="B358" s="28"/>
      <c r="C358" s="22"/>
      <c r="D358" s="26"/>
      <c r="E358" s="101"/>
      <c r="F358" s="26"/>
      <c r="G358" s="130"/>
      <c r="H358" s="26"/>
      <c r="I358" s="28"/>
      <c r="J358" s="26"/>
      <c r="K358" s="57"/>
      <c r="L358" s="28"/>
      <c r="M358" s="105"/>
      <c r="N358" s="107"/>
      <c r="O358" s="113"/>
      <c r="P358" s="32"/>
    </row>
    <row r="359">
      <c r="A359" s="165"/>
      <c r="B359" s="130"/>
      <c r="C359" s="22"/>
      <c r="D359" s="26"/>
      <c r="E359" s="101"/>
      <c r="F359" s="26"/>
      <c r="G359" s="26"/>
      <c r="H359" s="26"/>
      <c r="I359" s="28"/>
      <c r="J359" s="130"/>
      <c r="K359" s="57"/>
      <c r="L359" s="28"/>
      <c r="M359" s="105"/>
      <c r="N359" s="107"/>
      <c r="O359" s="113"/>
      <c r="P359" s="32"/>
    </row>
    <row r="360">
      <c r="A360" s="165"/>
      <c r="B360" s="130"/>
      <c r="C360" s="22"/>
      <c r="D360" s="26"/>
      <c r="E360" s="101"/>
      <c r="F360" s="111"/>
      <c r="G360" s="26"/>
      <c r="H360" s="130"/>
      <c r="I360" s="28"/>
      <c r="J360" s="26"/>
      <c r="K360" s="57"/>
      <c r="L360" s="28"/>
      <c r="M360" s="34"/>
      <c r="N360" s="107"/>
      <c r="O360" s="113"/>
      <c r="P360" s="32"/>
    </row>
    <row r="361">
      <c r="A361" s="165"/>
      <c r="B361" s="28"/>
      <c r="C361" s="22"/>
      <c r="D361" s="26"/>
      <c r="E361" s="101"/>
      <c r="F361" s="111"/>
      <c r="G361" s="130"/>
      <c r="H361" s="26"/>
      <c r="I361" s="28"/>
      <c r="J361" s="26"/>
      <c r="K361" s="57"/>
      <c r="L361" s="28"/>
      <c r="M361" s="53"/>
      <c r="N361" s="107"/>
      <c r="O361" s="113"/>
      <c r="P361" s="32"/>
    </row>
    <row r="362">
      <c r="A362" s="165"/>
      <c r="B362" s="130"/>
      <c r="C362" s="22"/>
      <c r="D362" s="26"/>
      <c r="E362" s="101"/>
      <c r="F362" s="26"/>
      <c r="G362" s="26"/>
      <c r="H362" s="130"/>
      <c r="I362" s="28"/>
      <c r="J362" s="225"/>
      <c r="K362" s="57"/>
      <c r="L362" s="28"/>
      <c r="M362" s="120"/>
      <c r="N362" s="107"/>
      <c r="O362" s="113"/>
      <c r="P362" s="32"/>
    </row>
    <row r="363">
      <c r="A363" s="114"/>
      <c r="B363" s="115"/>
      <c r="C363" s="22"/>
      <c r="D363" s="26"/>
      <c r="E363" s="101"/>
      <c r="F363" s="34"/>
      <c r="G363" s="115"/>
      <c r="H363" s="115"/>
      <c r="I363" s="53"/>
      <c r="J363" s="26"/>
      <c r="K363" s="57"/>
      <c r="L363" s="53"/>
      <c r="M363" s="34"/>
      <c r="N363" s="155"/>
      <c r="O363" s="19"/>
      <c r="P363" s="32"/>
    </row>
    <row r="364">
      <c r="A364" s="165"/>
      <c r="B364" s="130"/>
      <c r="C364" s="22"/>
      <c r="D364" s="26"/>
      <c r="E364" s="101"/>
      <c r="F364" s="26"/>
      <c r="G364" s="26"/>
      <c r="H364" s="130"/>
      <c r="I364" s="28"/>
      <c r="J364" s="26"/>
      <c r="K364" s="57"/>
      <c r="L364" s="28"/>
      <c r="M364" s="34"/>
      <c r="N364" s="107"/>
      <c r="O364" s="432"/>
      <c r="P364" s="32"/>
    </row>
    <row r="365">
      <c r="A365" s="165"/>
      <c r="B365" s="28"/>
      <c r="C365" s="22"/>
      <c r="D365" s="26"/>
      <c r="E365" s="101"/>
      <c r="F365" s="26"/>
      <c r="G365" s="130"/>
      <c r="H365" s="26"/>
      <c r="I365" s="130"/>
      <c r="J365" s="130"/>
      <c r="K365" s="57"/>
      <c r="L365" s="28"/>
      <c r="M365" s="105"/>
      <c r="N365" s="107"/>
      <c r="O365" s="113"/>
      <c r="P365" s="32"/>
    </row>
    <row r="366">
      <c r="A366" s="165"/>
      <c r="B366" s="28"/>
      <c r="C366" s="22"/>
      <c r="D366" s="26"/>
      <c r="E366" s="101"/>
      <c r="F366" s="26"/>
      <c r="G366" s="130"/>
      <c r="H366" s="26"/>
      <c r="I366" s="28"/>
      <c r="J366" s="26"/>
      <c r="K366" s="57"/>
      <c r="L366" s="28"/>
      <c r="M366" s="105"/>
      <c r="N366" s="107"/>
      <c r="O366" s="432"/>
      <c r="P366" s="32"/>
    </row>
    <row r="367">
      <c r="A367" s="165"/>
      <c r="B367" s="130"/>
      <c r="C367" s="22"/>
      <c r="D367" s="26"/>
      <c r="E367" s="101"/>
      <c r="F367" s="26"/>
      <c r="G367" s="130"/>
      <c r="H367" s="26"/>
      <c r="I367" s="130"/>
      <c r="J367" s="26"/>
      <c r="K367" s="57"/>
      <c r="L367" s="28"/>
      <c r="M367" s="34"/>
      <c r="N367" s="107"/>
      <c r="O367" s="113"/>
      <c r="P367" s="32"/>
    </row>
    <row r="368">
      <c r="A368" s="165"/>
      <c r="B368" s="28"/>
      <c r="C368" s="22"/>
      <c r="D368" s="26"/>
      <c r="E368" s="101"/>
      <c r="F368" s="26"/>
      <c r="G368" s="130"/>
      <c r="H368" s="26"/>
      <c r="I368" s="28"/>
      <c r="J368" s="130"/>
      <c r="K368" s="57"/>
      <c r="L368" s="28"/>
      <c r="M368" s="120"/>
      <c r="N368" s="107"/>
      <c r="O368" s="109"/>
      <c r="P368" s="32"/>
    </row>
    <row r="369">
      <c r="A369" s="165"/>
      <c r="B369" s="28"/>
      <c r="C369" s="22"/>
      <c r="D369" s="26"/>
      <c r="E369" s="101"/>
      <c r="F369" s="26"/>
      <c r="G369" s="130"/>
      <c r="H369" s="130"/>
      <c r="I369" s="28"/>
      <c r="J369" s="26"/>
      <c r="K369" s="57"/>
      <c r="L369" s="28"/>
      <c r="M369" s="105"/>
      <c r="N369" s="107"/>
      <c r="O369" s="113"/>
      <c r="P369" s="32"/>
    </row>
    <row r="370">
      <c r="A370" s="165"/>
      <c r="B370" s="28"/>
      <c r="C370" s="22"/>
      <c r="D370" s="26"/>
      <c r="E370" s="101"/>
      <c r="F370" s="26"/>
      <c r="G370" s="130"/>
      <c r="H370" s="26"/>
      <c r="I370" s="130"/>
      <c r="J370" s="26"/>
      <c r="K370" s="57"/>
      <c r="L370" s="28"/>
      <c r="M370" s="53"/>
      <c r="N370" s="107"/>
      <c r="O370" s="432"/>
      <c r="P370" s="32"/>
    </row>
    <row r="371">
      <c r="A371" s="165"/>
      <c r="B371" s="28"/>
      <c r="C371" s="22"/>
      <c r="D371" s="26"/>
      <c r="E371" s="101"/>
      <c r="F371" s="111"/>
      <c r="G371" s="130"/>
      <c r="H371" s="26"/>
      <c r="I371" s="130"/>
      <c r="J371" s="26"/>
      <c r="K371" s="57"/>
      <c r="L371" s="28"/>
      <c r="M371" s="53"/>
      <c r="N371" s="107"/>
      <c r="O371" s="113"/>
      <c r="P371" s="32"/>
    </row>
    <row r="372">
      <c r="A372" s="165"/>
      <c r="B372" s="28"/>
      <c r="C372" s="22"/>
      <c r="D372" s="26"/>
      <c r="E372" s="101"/>
      <c r="F372" s="26"/>
      <c r="G372" s="130"/>
      <c r="H372" s="26"/>
      <c r="I372" s="28"/>
      <c r="J372" s="130"/>
      <c r="K372" s="57"/>
      <c r="L372" s="28"/>
      <c r="M372" s="34"/>
      <c r="N372" s="107"/>
      <c r="O372" s="109"/>
      <c r="P372" s="32"/>
    </row>
    <row r="373">
      <c r="A373" s="165"/>
      <c r="B373" s="28"/>
      <c r="C373" s="22"/>
      <c r="D373" s="26"/>
      <c r="E373" s="101"/>
      <c r="F373" s="26"/>
      <c r="G373" s="130"/>
      <c r="H373" s="419"/>
      <c r="I373" s="130"/>
      <c r="J373" s="26"/>
      <c r="K373" s="57"/>
      <c r="L373" s="28"/>
      <c r="M373" s="53"/>
      <c r="N373" s="107"/>
      <c r="O373" s="113"/>
      <c r="P373" s="32"/>
    </row>
    <row r="374">
      <c r="A374" s="165"/>
      <c r="B374" s="53"/>
      <c r="C374" s="22"/>
      <c r="D374" s="26"/>
      <c r="E374" s="101"/>
      <c r="F374" s="26"/>
      <c r="G374" s="130"/>
      <c r="H374" s="26"/>
      <c r="I374" s="28"/>
      <c r="J374" s="26"/>
      <c r="K374" s="57"/>
      <c r="L374" s="28"/>
      <c r="M374" s="53"/>
      <c r="N374" s="107"/>
      <c r="O374" s="113"/>
      <c r="P374" s="32"/>
    </row>
    <row r="375">
      <c r="A375" s="165"/>
      <c r="B375" s="130"/>
      <c r="C375" s="22"/>
      <c r="D375" s="26"/>
      <c r="E375" s="101"/>
      <c r="F375" s="26"/>
      <c r="G375" s="130"/>
      <c r="H375" s="130"/>
      <c r="I375" s="130"/>
      <c r="J375" s="26"/>
      <c r="K375" s="57"/>
      <c r="L375" s="28"/>
      <c r="M375" s="53"/>
      <c r="N375" s="107"/>
      <c r="O375" s="113"/>
      <c r="P375" s="32"/>
    </row>
    <row r="376">
      <c r="A376" s="165"/>
      <c r="B376" s="28"/>
      <c r="C376" s="22"/>
      <c r="D376" s="26"/>
      <c r="E376" s="101"/>
      <c r="F376" s="111"/>
      <c r="G376" s="130"/>
      <c r="H376" s="26"/>
      <c r="I376" s="28"/>
      <c r="J376" s="26"/>
      <c r="K376" s="57"/>
      <c r="L376" s="28"/>
      <c r="M376" s="53"/>
      <c r="N376" s="107"/>
      <c r="O376" s="113"/>
      <c r="P376" s="32"/>
    </row>
    <row r="377">
      <c r="A377" s="165"/>
      <c r="B377" s="435"/>
      <c r="C377" s="22"/>
      <c r="D377" s="26"/>
      <c r="E377" s="101"/>
      <c r="F377" s="26"/>
      <c r="G377" s="26"/>
      <c r="H377" s="130"/>
      <c r="I377" s="28"/>
      <c r="J377" s="26"/>
      <c r="K377" s="57"/>
      <c r="L377" s="28"/>
      <c r="M377" s="53"/>
      <c r="N377" s="107"/>
      <c r="O377" s="113"/>
      <c r="P377" s="32"/>
    </row>
    <row r="378">
      <c r="A378" s="165"/>
      <c r="B378" s="28"/>
      <c r="C378" s="22"/>
      <c r="D378" s="26"/>
      <c r="E378" s="101"/>
      <c r="F378" s="111"/>
      <c r="G378" s="130"/>
      <c r="H378" s="26"/>
      <c r="I378" s="28"/>
      <c r="J378" s="26"/>
      <c r="K378" s="57"/>
      <c r="L378" s="28"/>
      <c r="M378" s="53"/>
      <c r="N378" s="107"/>
      <c r="O378" s="113"/>
      <c r="P378" s="32"/>
    </row>
    <row r="379">
      <c r="A379" s="165"/>
      <c r="B379" s="28"/>
      <c r="C379" s="22"/>
      <c r="D379" s="26"/>
      <c r="E379" s="101"/>
      <c r="F379" s="26"/>
      <c r="G379" s="130"/>
      <c r="H379" s="26"/>
      <c r="I379" s="28"/>
      <c r="J379" s="26"/>
      <c r="K379" s="57"/>
      <c r="L379" s="28"/>
      <c r="M379" s="53"/>
      <c r="N379" s="107"/>
      <c r="O379" s="113"/>
      <c r="P379" s="32"/>
    </row>
    <row r="380">
      <c r="A380" s="165"/>
      <c r="B380" s="130"/>
      <c r="C380" s="22"/>
      <c r="D380" s="26"/>
      <c r="E380" s="101"/>
      <c r="F380" s="26"/>
      <c r="G380" s="130"/>
      <c r="H380" s="130"/>
      <c r="I380" s="28"/>
      <c r="J380" s="130"/>
      <c r="K380" s="57"/>
      <c r="L380" s="28"/>
      <c r="M380" s="34"/>
      <c r="N380" s="107"/>
      <c r="O380" s="113"/>
      <c r="P380" s="32"/>
    </row>
    <row r="381">
      <c r="A381" s="165"/>
      <c r="B381" s="130"/>
      <c r="C381" s="22"/>
      <c r="D381" s="26"/>
      <c r="E381" s="101"/>
      <c r="F381" s="26"/>
      <c r="G381" s="130"/>
      <c r="H381" s="130"/>
      <c r="I381" s="28"/>
      <c r="J381" s="26"/>
      <c r="K381" s="27"/>
      <c r="L381" s="28"/>
      <c r="M381" s="120"/>
      <c r="N381" s="107"/>
      <c r="O381" s="109"/>
      <c r="P381" s="32"/>
    </row>
    <row r="382">
      <c r="A382" s="165"/>
      <c r="B382" s="28"/>
      <c r="C382" s="22"/>
      <c r="D382" s="26"/>
      <c r="E382" s="101"/>
      <c r="F382" s="26"/>
      <c r="G382" s="26"/>
      <c r="H382" s="26"/>
      <c r="I382" s="130"/>
      <c r="J382" s="26"/>
      <c r="K382" s="57"/>
      <c r="L382" s="28"/>
      <c r="M382" s="105"/>
      <c r="N382" s="107"/>
      <c r="O382" s="113"/>
      <c r="P382" s="32"/>
    </row>
    <row r="383">
      <c r="A383" s="165"/>
      <c r="B383" s="130"/>
      <c r="C383" s="22"/>
      <c r="D383" s="26"/>
      <c r="E383" s="101"/>
      <c r="F383" s="26"/>
      <c r="G383" s="130"/>
      <c r="H383" s="26"/>
      <c r="I383" s="28"/>
      <c r="J383" s="130"/>
      <c r="K383" s="57"/>
      <c r="L383" s="28"/>
      <c r="M383" s="53"/>
      <c r="N383" s="107"/>
      <c r="O383" s="113"/>
      <c r="P383" s="32"/>
    </row>
    <row r="384">
      <c r="A384" s="165"/>
      <c r="B384" s="130"/>
      <c r="C384" s="22"/>
      <c r="D384" s="26"/>
      <c r="E384" s="101"/>
      <c r="F384" s="26"/>
      <c r="G384" s="26"/>
      <c r="H384" s="130"/>
      <c r="I384" s="28"/>
      <c r="J384" s="130"/>
      <c r="K384" s="57"/>
      <c r="L384" s="28"/>
      <c r="M384" s="105"/>
      <c r="N384" s="107"/>
      <c r="O384" s="107"/>
      <c r="P384" s="32"/>
    </row>
    <row r="385">
      <c r="A385" s="165"/>
      <c r="B385" s="111"/>
      <c r="C385" s="22"/>
      <c r="D385" s="26"/>
      <c r="E385" s="101"/>
      <c r="F385" s="26"/>
      <c r="G385" s="130"/>
      <c r="H385" s="419"/>
      <c r="I385" s="130"/>
      <c r="J385" s="130"/>
      <c r="K385" s="57"/>
      <c r="L385" s="28"/>
      <c r="M385" s="120"/>
      <c r="N385" s="107"/>
      <c r="O385" s="113"/>
      <c r="P385" s="32"/>
    </row>
    <row r="386">
      <c r="A386" s="165"/>
      <c r="B386" s="28"/>
      <c r="C386" s="22"/>
      <c r="D386" s="26"/>
      <c r="E386" s="101"/>
      <c r="F386" s="26"/>
      <c r="G386" s="130"/>
      <c r="H386" s="26"/>
      <c r="I386" s="28"/>
      <c r="J386" s="26"/>
      <c r="K386" s="57"/>
      <c r="L386" s="28"/>
      <c r="M386" s="105"/>
      <c r="N386" s="107"/>
      <c r="O386" s="107"/>
      <c r="P386" s="32"/>
    </row>
    <row r="387">
      <c r="A387" s="165"/>
      <c r="B387" s="130"/>
      <c r="C387" s="22"/>
      <c r="D387" s="26"/>
      <c r="E387" s="101"/>
      <c r="F387" s="34"/>
      <c r="G387" s="26"/>
      <c r="H387" s="130"/>
      <c r="I387" s="28"/>
      <c r="J387" s="26"/>
      <c r="K387" s="57"/>
      <c r="L387" s="28"/>
      <c r="M387" s="53"/>
      <c r="N387" s="107"/>
      <c r="O387" s="113"/>
      <c r="P387" s="32"/>
    </row>
    <row r="388">
      <c r="A388" s="165"/>
      <c r="B388" s="130"/>
      <c r="C388" s="22"/>
      <c r="D388" s="26"/>
      <c r="E388" s="101"/>
      <c r="F388" s="26"/>
      <c r="G388" s="130"/>
      <c r="H388" s="130"/>
      <c r="I388" s="130"/>
      <c r="J388" s="130"/>
      <c r="K388" s="57"/>
      <c r="L388" s="28"/>
      <c r="M388" s="120"/>
      <c r="N388" s="107"/>
      <c r="O388" s="113"/>
      <c r="P388" s="32"/>
    </row>
    <row r="389">
      <c r="A389" s="165"/>
      <c r="B389" s="28"/>
      <c r="C389" s="22"/>
      <c r="D389" s="26"/>
      <c r="E389" s="101"/>
      <c r="F389" s="111"/>
      <c r="G389" s="130"/>
      <c r="H389" s="26"/>
      <c r="I389" s="130"/>
      <c r="J389" s="26"/>
      <c r="K389" s="57"/>
      <c r="L389" s="28"/>
      <c r="M389" s="34"/>
      <c r="N389" s="107"/>
      <c r="O389" s="113"/>
      <c r="P389" s="32"/>
    </row>
    <row r="390">
      <c r="A390" s="165"/>
      <c r="B390" s="419"/>
      <c r="C390" s="22"/>
      <c r="D390" s="26"/>
      <c r="E390" s="101"/>
      <c r="F390" s="26"/>
      <c r="G390" s="26"/>
      <c r="H390" s="26"/>
      <c r="I390" s="28"/>
      <c r="J390" s="26"/>
      <c r="K390" s="57"/>
      <c r="L390" s="28"/>
      <c r="M390" s="53"/>
      <c r="N390" s="107"/>
      <c r="O390" s="113"/>
      <c r="P390" s="32"/>
    </row>
    <row r="391">
      <c r="A391" s="165"/>
      <c r="B391" s="28"/>
      <c r="C391" s="22"/>
      <c r="D391" s="26"/>
      <c r="E391" s="101"/>
      <c r="F391" s="26"/>
      <c r="G391" s="26"/>
      <c r="H391" s="26"/>
      <c r="I391" s="130"/>
      <c r="J391" s="26"/>
      <c r="K391" s="57"/>
      <c r="L391" s="28"/>
      <c r="M391" s="120"/>
      <c r="N391" s="155"/>
      <c r="O391" s="113"/>
      <c r="P391" s="32"/>
    </row>
    <row r="392">
      <c r="A392" s="165"/>
      <c r="B392" s="130"/>
      <c r="C392" s="22"/>
      <c r="D392" s="26"/>
      <c r="E392" s="101"/>
      <c r="F392" s="26"/>
      <c r="G392" s="26"/>
      <c r="H392" s="130"/>
      <c r="I392" s="130"/>
      <c r="J392" s="26"/>
      <c r="K392" s="57"/>
      <c r="L392" s="28"/>
      <c r="M392" s="34"/>
      <c r="N392" s="107"/>
      <c r="O392" s="113"/>
      <c r="P392" s="32"/>
    </row>
    <row r="393">
      <c r="A393" s="165"/>
      <c r="B393" s="111"/>
      <c r="C393" s="22"/>
      <c r="D393" s="26"/>
      <c r="E393" s="101"/>
      <c r="F393" s="26"/>
      <c r="G393" s="130"/>
      <c r="H393" s="26"/>
      <c r="I393" s="28"/>
      <c r="J393" s="130"/>
      <c r="K393" s="27"/>
      <c r="L393" s="28"/>
      <c r="M393" s="120"/>
      <c r="N393" s="107"/>
      <c r="O393" s="109"/>
      <c r="P393" s="32"/>
    </row>
    <row r="394">
      <c r="A394" s="165"/>
      <c r="B394" s="51"/>
      <c r="C394" s="22"/>
      <c r="D394" s="26"/>
      <c r="E394" s="101"/>
      <c r="F394" s="26"/>
      <c r="G394" s="130"/>
      <c r="H394" s="26"/>
      <c r="I394" s="28"/>
      <c r="J394" s="130"/>
      <c r="K394" s="27"/>
      <c r="L394" s="28"/>
      <c r="M394" s="53"/>
      <c r="N394" s="31"/>
      <c r="O394" s="31"/>
      <c r="P394" s="32"/>
    </row>
  </sheetData>
  <hyperlinks>
    <hyperlink r:id="rId1" ref="N3"/>
    <hyperlink r:id="rId2" ref="N4"/>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location="p3" ref="N19"/>
    <hyperlink r:id="rId18" ref="N20"/>
    <hyperlink r:id="rId19" ref="N21"/>
  </hyperlinks>
  <drawing r:id="rId2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2.75"/>
  <cols>
    <col customWidth="1" min="1" max="1" width="22.63"/>
    <col customWidth="1" min="2" max="2" width="16.25"/>
    <col customWidth="1" min="3" max="3" width="14.75"/>
    <col customWidth="1" min="4" max="4" width="8.75"/>
    <col customWidth="1" min="5" max="5" width="30.25"/>
    <col customWidth="1" min="6" max="6" width="13.0"/>
    <col customWidth="1" min="7" max="7" width="14.88"/>
    <col customWidth="1" min="8" max="8" width="10.13"/>
    <col customWidth="1" min="9" max="9" width="12.13"/>
    <col customWidth="1" min="10" max="10" width="13.63"/>
    <col customWidth="1" min="11" max="11" width="2.0"/>
    <col customWidth="1" min="12" max="15" width="15.13"/>
  </cols>
  <sheetData>
    <row r="1">
      <c r="A1" s="114" t="s">
        <v>2164</v>
      </c>
      <c r="B1" s="114" t="s">
        <v>1</v>
      </c>
      <c r="C1" s="405" t="s">
        <v>2</v>
      </c>
      <c r="D1" s="20" t="s">
        <v>3</v>
      </c>
      <c r="E1" s="114" t="s">
        <v>5</v>
      </c>
      <c r="F1" s="407" t="s">
        <v>6</v>
      </c>
      <c r="G1" s="52" t="s">
        <v>7</v>
      </c>
      <c r="H1" s="114" t="s">
        <v>8</v>
      </c>
      <c r="I1" s="20" t="s">
        <v>9</v>
      </c>
      <c r="J1" s="408" t="s">
        <v>10</v>
      </c>
      <c r="K1" s="141"/>
      <c r="L1" s="141" t="s">
        <v>11</v>
      </c>
      <c r="M1" s="409" t="s">
        <v>12</v>
      </c>
      <c r="N1" s="409" t="s">
        <v>13</v>
      </c>
      <c r="O1" s="410" t="s">
        <v>14</v>
      </c>
    </row>
    <row r="2">
      <c r="A2" s="411"/>
      <c r="B2" s="12"/>
      <c r="C2" s="13" t="s">
        <v>16</v>
      </c>
      <c r="D2" s="412" t="s">
        <v>17</v>
      </c>
      <c r="E2" s="16"/>
      <c r="F2" s="413" t="s">
        <v>2152</v>
      </c>
      <c r="G2" s="16" t="s">
        <v>18</v>
      </c>
      <c r="H2" s="12"/>
      <c r="I2" s="414" t="s">
        <v>19</v>
      </c>
      <c r="J2" s="18" t="str">
        <f>"=IF(C3&gt;100000000,C3,"")"</f>
        <v>=IF(C3&gt;100000000,C3,")</v>
      </c>
      <c r="K2" s="12"/>
      <c r="L2" s="12"/>
      <c r="M2" s="19"/>
      <c r="N2" s="19"/>
      <c r="O2" s="19"/>
    </row>
    <row r="3">
      <c r="A3" s="421" t="s">
        <v>827</v>
      </c>
      <c r="B3" s="422"/>
      <c r="C3" s="423">
        <v>9.4E7</v>
      </c>
      <c r="D3" s="422">
        <v>2018.0</v>
      </c>
      <c r="E3" s="422" t="s">
        <v>2165</v>
      </c>
      <c r="F3" s="26" t="s">
        <v>22</v>
      </c>
      <c r="G3" s="425" t="s">
        <v>23</v>
      </c>
      <c r="H3" s="426"/>
      <c r="I3" s="422">
        <v>3.0</v>
      </c>
      <c r="J3" s="27" t="str">
        <f t="shared" ref="J3:J32" si="1">IF(C3&gt;100000000,C3,"")</f>
        <v/>
      </c>
      <c r="K3" s="110"/>
      <c r="L3" s="26" t="s">
        <v>829</v>
      </c>
      <c r="M3" s="465" t="s">
        <v>830</v>
      </c>
      <c r="N3" s="427"/>
      <c r="O3" s="32">
        <v>296.0</v>
      </c>
    </row>
    <row r="4">
      <c r="A4" s="103" t="s">
        <v>764</v>
      </c>
      <c r="B4" s="420"/>
      <c r="C4" s="22">
        <v>5.7E7</v>
      </c>
      <c r="D4" s="26">
        <v>2019.0</v>
      </c>
      <c r="E4" s="26" t="s">
        <v>2166</v>
      </c>
      <c r="F4" s="26" t="s">
        <v>43</v>
      </c>
      <c r="G4" s="26" t="s">
        <v>23</v>
      </c>
      <c r="H4" s="28"/>
      <c r="I4" s="26">
        <v>2.0</v>
      </c>
      <c r="J4" s="27" t="str">
        <f t="shared" si="1"/>
        <v/>
      </c>
      <c r="K4" s="28"/>
      <c r="L4" s="105" t="s">
        <v>725</v>
      </c>
      <c r="M4" s="106" t="s">
        <v>765</v>
      </c>
      <c r="N4" s="109"/>
      <c r="O4" s="32">
        <v>317.0</v>
      </c>
    </row>
    <row r="5">
      <c r="A5" s="421" t="s">
        <v>836</v>
      </c>
      <c r="B5" s="422"/>
      <c r="C5" s="423">
        <v>5.25E7</v>
      </c>
      <c r="D5" s="422">
        <v>2018.0</v>
      </c>
      <c r="E5" s="422" t="s">
        <v>2167</v>
      </c>
      <c r="F5" s="422" t="s">
        <v>28</v>
      </c>
      <c r="G5" s="430" t="s">
        <v>51</v>
      </c>
      <c r="H5" s="426"/>
      <c r="I5" s="422">
        <v>2.0</v>
      </c>
      <c r="J5" s="27" t="str">
        <f t="shared" si="1"/>
        <v/>
      </c>
      <c r="K5" s="110"/>
      <c r="L5" s="26" t="s">
        <v>314</v>
      </c>
      <c r="M5" s="465" t="s">
        <v>838</v>
      </c>
      <c r="N5" s="431"/>
      <c r="O5" s="32">
        <v>294.0</v>
      </c>
    </row>
    <row r="6">
      <c r="A6" s="103" t="s">
        <v>748</v>
      </c>
      <c r="B6" s="420"/>
      <c r="C6" s="22">
        <v>4.1E7</v>
      </c>
      <c r="D6" s="26">
        <v>2019.0</v>
      </c>
      <c r="E6" s="26" t="s">
        <v>2168</v>
      </c>
      <c r="F6" s="26" t="s">
        <v>28</v>
      </c>
      <c r="G6" s="26" t="s">
        <v>23</v>
      </c>
      <c r="H6" s="28"/>
      <c r="I6" s="26">
        <v>1.0</v>
      </c>
      <c r="J6" s="27" t="str">
        <f t="shared" si="1"/>
        <v/>
      </c>
      <c r="K6" s="28"/>
      <c r="L6" s="105" t="s">
        <v>227</v>
      </c>
      <c r="M6" s="106" t="s">
        <v>747</v>
      </c>
      <c r="N6" s="109"/>
      <c r="O6" s="32">
        <v>331.0</v>
      </c>
    </row>
    <row r="7">
      <c r="A7" s="103" t="s">
        <v>763</v>
      </c>
      <c r="B7" s="420"/>
      <c r="C7" s="22">
        <v>4.0E7</v>
      </c>
      <c r="D7" s="26">
        <v>2019.0</v>
      </c>
      <c r="E7" s="26" t="s">
        <v>2166</v>
      </c>
      <c r="F7" s="26" t="s">
        <v>28</v>
      </c>
      <c r="G7" s="26" t="s">
        <v>23</v>
      </c>
      <c r="H7" s="28"/>
      <c r="I7" s="26">
        <v>1.0</v>
      </c>
      <c r="J7" s="27" t="str">
        <f t="shared" si="1"/>
        <v/>
      </c>
      <c r="K7" s="28"/>
      <c r="L7" s="105" t="s">
        <v>725</v>
      </c>
      <c r="M7" s="106" t="s">
        <v>762</v>
      </c>
      <c r="N7" s="109"/>
      <c r="O7" s="32">
        <v>318.0</v>
      </c>
    </row>
    <row r="8">
      <c r="A8" s="103" t="s">
        <v>749</v>
      </c>
      <c r="B8" s="420"/>
      <c r="C8" s="22">
        <v>2.8E7</v>
      </c>
      <c r="D8" s="26">
        <v>2019.0</v>
      </c>
      <c r="E8" s="26" t="s">
        <v>2168</v>
      </c>
      <c r="F8" s="26" t="s">
        <v>43</v>
      </c>
      <c r="G8" s="26" t="s">
        <v>23</v>
      </c>
      <c r="H8" s="28"/>
      <c r="I8" s="26">
        <v>1.0</v>
      </c>
      <c r="J8" s="27" t="str">
        <f t="shared" si="1"/>
        <v/>
      </c>
      <c r="K8" s="28"/>
      <c r="L8" s="105" t="s">
        <v>227</v>
      </c>
      <c r="M8" s="106" t="s">
        <v>747</v>
      </c>
      <c r="N8" s="109"/>
      <c r="O8" s="32">
        <v>330.0</v>
      </c>
    </row>
    <row r="9">
      <c r="A9" s="103" t="s">
        <v>750</v>
      </c>
      <c r="B9" s="420"/>
      <c r="C9" s="22">
        <v>2.5E7</v>
      </c>
      <c r="D9" s="26">
        <v>2019.0</v>
      </c>
      <c r="E9" s="26" t="s">
        <v>2168</v>
      </c>
      <c r="F9" s="26" t="s">
        <v>28</v>
      </c>
      <c r="G9" s="26" t="s">
        <v>23</v>
      </c>
      <c r="H9" s="28"/>
      <c r="I9" s="26">
        <v>1.0</v>
      </c>
      <c r="J9" s="27" t="str">
        <f t="shared" si="1"/>
        <v/>
      </c>
      <c r="K9" s="28"/>
      <c r="L9" s="105" t="s">
        <v>227</v>
      </c>
      <c r="M9" s="106" t="s">
        <v>747</v>
      </c>
      <c r="N9" s="109"/>
      <c r="O9" s="32">
        <v>329.0</v>
      </c>
    </row>
    <row r="10">
      <c r="A10" s="103" t="s">
        <v>751</v>
      </c>
      <c r="B10" s="420"/>
      <c r="C10" s="22">
        <v>2.2E7</v>
      </c>
      <c r="D10" s="26">
        <v>2019.0</v>
      </c>
      <c r="E10" s="26" t="s">
        <v>2168</v>
      </c>
      <c r="F10" s="26" t="s">
        <v>28</v>
      </c>
      <c r="G10" s="26" t="s">
        <v>23</v>
      </c>
      <c r="H10" s="28"/>
      <c r="I10" s="26">
        <v>1.0</v>
      </c>
      <c r="J10" s="27" t="str">
        <f t="shared" si="1"/>
        <v/>
      </c>
      <c r="K10" s="28"/>
      <c r="L10" s="105" t="s">
        <v>227</v>
      </c>
      <c r="M10" s="106" t="s">
        <v>747</v>
      </c>
      <c r="N10" s="109"/>
      <c r="O10" s="32">
        <v>328.0</v>
      </c>
    </row>
    <row r="11">
      <c r="A11" s="103" t="s">
        <v>752</v>
      </c>
      <c r="B11" s="420"/>
      <c r="C11" s="22">
        <v>2.0E7</v>
      </c>
      <c r="D11" s="26">
        <v>2019.0</v>
      </c>
      <c r="E11" s="26" t="s">
        <v>2168</v>
      </c>
      <c r="F11" s="26" t="s">
        <v>28</v>
      </c>
      <c r="G11" s="26" t="s">
        <v>23</v>
      </c>
      <c r="H11" s="28"/>
      <c r="I11" s="26">
        <v>1.0</v>
      </c>
      <c r="J11" s="27" t="str">
        <f t="shared" si="1"/>
        <v/>
      </c>
      <c r="K11" s="28"/>
      <c r="L11" s="105" t="s">
        <v>227</v>
      </c>
      <c r="M11" s="106" t="s">
        <v>747</v>
      </c>
      <c r="N11" s="109"/>
      <c r="O11" s="32">
        <v>327.0</v>
      </c>
    </row>
    <row r="12">
      <c r="A12" s="103" t="s">
        <v>753</v>
      </c>
      <c r="B12" s="420"/>
      <c r="C12" s="22">
        <v>1.8E7</v>
      </c>
      <c r="D12" s="26">
        <v>2019.0</v>
      </c>
      <c r="E12" s="26" t="s">
        <v>2168</v>
      </c>
      <c r="F12" s="26" t="s">
        <v>28</v>
      </c>
      <c r="G12" s="26" t="s">
        <v>23</v>
      </c>
      <c r="H12" s="28"/>
      <c r="I12" s="26">
        <v>1.0</v>
      </c>
      <c r="J12" s="27" t="str">
        <f t="shared" si="1"/>
        <v/>
      </c>
      <c r="K12" s="28"/>
      <c r="L12" s="105" t="s">
        <v>227</v>
      </c>
      <c r="M12" s="106" t="s">
        <v>747</v>
      </c>
      <c r="N12" s="109"/>
      <c r="O12" s="32">
        <v>326.0</v>
      </c>
    </row>
    <row r="13">
      <c r="A13" s="103" t="s">
        <v>760</v>
      </c>
      <c r="B13" s="420"/>
      <c r="C13" s="22">
        <v>1.8E7</v>
      </c>
      <c r="D13" s="26">
        <v>2019.0</v>
      </c>
      <c r="E13" s="26" t="s">
        <v>2166</v>
      </c>
      <c r="F13" s="26" t="s">
        <v>22</v>
      </c>
      <c r="G13" s="26" t="s">
        <v>51</v>
      </c>
      <c r="H13" s="28"/>
      <c r="I13" s="26">
        <v>1.0</v>
      </c>
      <c r="J13" s="27" t="str">
        <f t="shared" si="1"/>
        <v/>
      </c>
      <c r="K13" s="28"/>
      <c r="L13" s="105" t="s">
        <v>725</v>
      </c>
      <c r="M13" s="106" t="s">
        <v>762</v>
      </c>
      <c r="N13" s="109"/>
      <c r="O13" s="32">
        <v>319.0</v>
      </c>
    </row>
    <row r="14">
      <c r="A14" s="103" t="s">
        <v>754</v>
      </c>
      <c r="B14" s="420"/>
      <c r="C14" s="22">
        <v>1.6E7</v>
      </c>
      <c r="D14" s="26">
        <v>2019.0</v>
      </c>
      <c r="E14" s="26" t="s">
        <v>2168</v>
      </c>
      <c r="F14" s="26" t="s">
        <v>28</v>
      </c>
      <c r="G14" s="26" t="s">
        <v>23</v>
      </c>
      <c r="H14" s="28"/>
      <c r="I14" s="26">
        <v>1.0</v>
      </c>
      <c r="J14" s="27" t="str">
        <f t="shared" si="1"/>
        <v/>
      </c>
      <c r="K14" s="28"/>
      <c r="L14" s="105" t="s">
        <v>227</v>
      </c>
      <c r="M14" s="106" t="s">
        <v>747</v>
      </c>
      <c r="N14" s="109"/>
      <c r="O14" s="32">
        <v>325.0</v>
      </c>
    </row>
    <row r="15">
      <c r="A15" s="103" t="s">
        <v>771</v>
      </c>
      <c r="B15" s="420"/>
      <c r="C15" s="22">
        <v>1.48E7</v>
      </c>
      <c r="D15" s="26">
        <v>2019.0</v>
      </c>
      <c r="E15" s="26" t="s">
        <v>2169</v>
      </c>
      <c r="F15" s="26" t="s">
        <v>28</v>
      </c>
      <c r="G15" s="26" t="s">
        <v>23</v>
      </c>
      <c r="H15" s="28"/>
      <c r="I15" s="26">
        <v>2.0</v>
      </c>
      <c r="J15" s="27" t="str">
        <f t="shared" si="1"/>
        <v/>
      </c>
      <c r="K15" s="28"/>
      <c r="L15" s="105" t="s">
        <v>773</v>
      </c>
      <c r="M15" s="106" t="s">
        <v>774</v>
      </c>
      <c r="N15" s="109"/>
      <c r="O15" s="32">
        <v>311.0</v>
      </c>
    </row>
    <row r="16">
      <c r="A16" s="103" t="s">
        <v>823</v>
      </c>
      <c r="B16" s="420" t="s">
        <v>824</v>
      </c>
      <c r="C16" s="22">
        <v>1.4E7</v>
      </c>
      <c r="D16" s="26">
        <v>2018.0</v>
      </c>
      <c r="E16" s="26" t="s">
        <v>2170</v>
      </c>
      <c r="F16" s="26" t="s">
        <v>58</v>
      </c>
      <c r="G16" s="26" t="s">
        <v>51</v>
      </c>
      <c r="H16" s="28"/>
      <c r="I16" s="26">
        <v>2.0</v>
      </c>
      <c r="J16" s="27" t="str">
        <f t="shared" si="1"/>
        <v/>
      </c>
      <c r="K16" s="28"/>
      <c r="L16" s="105" t="s">
        <v>702</v>
      </c>
      <c r="M16" s="106" t="s">
        <v>826</v>
      </c>
      <c r="N16" s="109"/>
      <c r="O16" s="32">
        <v>297.0</v>
      </c>
    </row>
    <row r="17">
      <c r="A17" s="103" t="s">
        <v>755</v>
      </c>
      <c r="B17" s="420"/>
      <c r="C17" s="22">
        <v>1.1E7</v>
      </c>
      <c r="D17" s="26">
        <v>2019.0</v>
      </c>
      <c r="E17" s="26" t="s">
        <v>2168</v>
      </c>
      <c r="F17" s="26" t="s">
        <v>236</v>
      </c>
      <c r="G17" s="26" t="s">
        <v>23</v>
      </c>
      <c r="H17" s="28"/>
      <c r="I17" s="26">
        <v>1.0</v>
      </c>
      <c r="J17" s="27" t="str">
        <f t="shared" si="1"/>
        <v/>
      </c>
      <c r="K17" s="28"/>
      <c r="L17" s="105" t="s">
        <v>227</v>
      </c>
      <c r="M17" s="106" t="s">
        <v>747</v>
      </c>
      <c r="N17" s="109"/>
      <c r="O17" s="32">
        <v>324.0</v>
      </c>
    </row>
    <row r="18">
      <c r="A18" s="103" t="s">
        <v>756</v>
      </c>
      <c r="B18" s="420"/>
      <c r="C18" s="22">
        <v>8000000.0</v>
      </c>
      <c r="D18" s="26">
        <v>2019.0</v>
      </c>
      <c r="E18" s="26" t="s">
        <v>2168</v>
      </c>
      <c r="F18" s="26" t="s">
        <v>28</v>
      </c>
      <c r="G18" s="26" t="s">
        <v>23</v>
      </c>
      <c r="H18" s="28"/>
      <c r="I18" s="26">
        <v>1.0</v>
      </c>
      <c r="J18" s="27" t="str">
        <f t="shared" si="1"/>
        <v/>
      </c>
      <c r="K18" s="28"/>
      <c r="L18" s="105" t="s">
        <v>227</v>
      </c>
      <c r="M18" s="106" t="s">
        <v>747</v>
      </c>
      <c r="N18" s="109"/>
      <c r="O18" s="32">
        <v>323.0</v>
      </c>
    </row>
    <row r="19">
      <c r="A19" s="421" t="s">
        <v>779</v>
      </c>
      <c r="B19" s="422"/>
      <c r="C19" s="423">
        <v>7600000.0</v>
      </c>
      <c r="D19" s="422">
        <v>2019.0</v>
      </c>
      <c r="E19" s="422" t="s">
        <v>2171</v>
      </c>
      <c r="F19" s="26" t="s">
        <v>236</v>
      </c>
      <c r="G19" s="425" t="s">
        <v>23</v>
      </c>
      <c r="H19" s="426"/>
      <c r="I19" s="422">
        <v>1.0</v>
      </c>
      <c r="J19" s="27" t="str">
        <f t="shared" si="1"/>
        <v/>
      </c>
      <c r="K19" s="110"/>
      <c r="L19" s="26" t="s">
        <v>571</v>
      </c>
      <c r="M19" s="465" t="s">
        <v>781</v>
      </c>
      <c r="N19" s="427"/>
      <c r="O19" s="32">
        <v>309.0</v>
      </c>
    </row>
    <row r="20">
      <c r="A20" s="103" t="s">
        <v>757</v>
      </c>
      <c r="B20" s="420"/>
      <c r="C20" s="22">
        <v>6000000.0</v>
      </c>
      <c r="D20" s="26">
        <v>2019.0</v>
      </c>
      <c r="E20" s="26" t="s">
        <v>2168</v>
      </c>
      <c r="F20" s="26" t="s">
        <v>28</v>
      </c>
      <c r="G20" s="26" t="s">
        <v>23</v>
      </c>
      <c r="H20" s="28"/>
      <c r="I20" s="26">
        <v>1.0</v>
      </c>
      <c r="J20" s="27" t="str">
        <f t="shared" si="1"/>
        <v/>
      </c>
      <c r="K20" s="28"/>
      <c r="L20" s="105" t="s">
        <v>227</v>
      </c>
      <c r="M20" s="106" t="s">
        <v>747</v>
      </c>
      <c r="N20" s="109"/>
      <c r="O20" s="32">
        <v>322.0</v>
      </c>
    </row>
    <row r="21">
      <c r="A21" s="103" t="s">
        <v>769</v>
      </c>
      <c r="B21" s="420"/>
      <c r="C21" s="22">
        <v>5000000.0</v>
      </c>
      <c r="D21" s="26">
        <v>2019.0</v>
      </c>
      <c r="E21" s="26" t="s">
        <v>2166</v>
      </c>
      <c r="F21" s="26" t="s">
        <v>236</v>
      </c>
      <c r="G21" s="26" t="s">
        <v>23</v>
      </c>
      <c r="H21" s="28"/>
      <c r="I21" s="26">
        <v>1.0</v>
      </c>
      <c r="J21" s="27" t="str">
        <f t="shared" si="1"/>
        <v/>
      </c>
      <c r="K21" s="28"/>
      <c r="L21" s="105" t="s">
        <v>725</v>
      </c>
      <c r="M21" s="106" t="s">
        <v>762</v>
      </c>
      <c r="N21" s="109"/>
      <c r="O21" s="32">
        <v>313.0</v>
      </c>
    </row>
    <row r="22">
      <c r="A22" s="103" t="s">
        <v>768</v>
      </c>
      <c r="B22" s="420"/>
      <c r="C22" s="22">
        <v>4000000.0</v>
      </c>
      <c r="D22" s="26">
        <v>2019.0</v>
      </c>
      <c r="E22" s="26" t="s">
        <v>2166</v>
      </c>
      <c r="F22" s="26" t="s">
        <v>236</v>
      </c>
      <c r="G22" s="26" t="s">
        <v>23</v>
      </c>
      <c r="H22" s="28"/>
      <c r="I22" s="26">
        <v>1.0</v>
      </c>
      <c r="J22" s="27" t="str">
        <f t="shared" si="1"/>
        <v/>
      </c>
      <c r="K22" s="28"/>
      <c r="L22" s="105" t="s">
        <v>725</v>
      </c>
      <c r="M22" s="106" t="s">
        <v>762</v>
      </c>
      <c r="N22" s="109"/>
      <c r="O22" s="32">
        <v>314.0</v>
      </c>
    </row>
    <row r="23">
      <c r="A23" s="103" t="s">
        <v>378</v>
      </c>
      <c r="B23" s="420"/>
      <c r="C23" s="22">
        <v>3100000.0</v>
      </c>
      <c r="D23" s="26">
        <v>2019.0</v>
      </c>
      <c r="E23" s="26" t="s">
        <v>2172</v>
      </c>
      <c r="F23" s="26" t="s">
        <v>22</v>
      </c>
      <c r="G23" s="26" t="s">
        <v>23</v>
      </c>
      <c r="H23" s="26"/>
      <c r="I23" s="26">
        <v>2.0</v>
      </c>
      <c r="J23" s="27" t="str">
        <f t="shared" si="1"/>
        <v/>
      </c>
      <c r="K23" s="28"/>
      <c r="L23" s="105" t="s">
        <v>85</v>
      </c>
      <c r="M23" s="106" t="s">
        <v>732</v>
      </c>
      <c r="N23" s="106" t="s">
        <v>733</v>
      </c>
      <c r="O23" s="32">
        <v>335.0</v>
      </c>
    </row>
    <row r="24">
      <c r="A24" s="103" t="s">
        <v>738</v>
      </c>
      <c r="B24" s="420" t="s">
        <v>739</v>
      </c>
      <c r="C24" s="22">
        <v>2700000.0</v>
      </c>
      <c r="D24" s="26">
        <v>2019.0</v>
      </c>
      <c r="E24" s="26" t="s">
        <v>2173</v>
      </c>
      <c r="F24" s="26" t="s">
        <v>258</v>
      </c>
      <c r="G24" s="26" t="s">
        <v>51</v>
      </c>
      <c r="H24" s="26" t="s">
        <v>29</v>
      </c>
      <c r="I24" s="26">
        <v>5.0</v>
      </c>
      <c r="J24" s="27" t="str">
        <f t="shared" si="1"/>
        <v/>
      </c>
      <c r="K24" s="28"/>
      <c r="L24" s="105" t="s">
        <v>741</v>
      </c>
      <c r="M24" s="106" t="s">
        <v>742</v>
      </c>
      <c r="N24" s="106" t="s">
        <v>743</v>
      </c>
      <c r="O24" s="32">
        <v>333.0</v>
      </c>
    </row>
    <row r="25">
      <c r="A25" s="421" t="s">
        <v>775</v>
      </c>
      <c r="B25" s="422" t="s">
        <v>776</v>
      </c>
      <c r="C25" s="423">
        <v>2400000.0</v>
      </c>
      <c r="D25" s="422">
        <v>2019.0</v>
      </c>
      <c r="E25" s="422" t="s">
        <v>2174</v>
      </c>
      <c r="F25" s="26" t="s">
        <v>50</v>
      </c>
      <c r="G25" s="425" t="s">
        <v>142</v>
      </c>
      <c r="H25" s="426"/>
      <c r="I25" s="422">
        <v>1.0</v>
      </c>
      <c r="J25" s="27" t="str">
        <f t="shared" si="1"/>
        <v/>
      </c>
      <c r="K25" s="110"/>
      <c r="L25" s="26" t="s">
        <v>571</v>
      </c>
      <c r="M25" s="465" t="s">
        <v>778</v>
      </c>
      <c r="N25" s="427"/>
      <c r="O25" s="32">
        <v>310.0</v>
      </c>
    </row>
    <row r="26">
      <c r="A26" s="103" t="s">
        <v>727</v>
      </c>
      <c r="B26" s="420" t="s">
        <v>728</v>
      </c>
      <c r="C26" s="22">
        <v>2000000.0</v>
      </c>
      <c r="D26" s="26">
        <v>2019.0</v>
      </c>
      <c r="E26" s="26" t="s">
        <v>2175</v>
      </c>
      <c r="F26" s="26" t="s">
        <v>2163</v>
      </c>
      <c r="G26" s="26" t="s">
        <v>51</v>
      </c>
      <c r="H26" s="26"/>
      <c r="I26" s="26">
        <v>1.0</v>
      </c>
      <c r="J26" s="27" t="str">
        <f t="shared" si="1"/>
        <v/>
      </c>
      <c r="K26" s="28"/>
      <c r="L26" s="105" t="s">
        <v>725</v>
      </c>
      <c r="M26" s="106" t="s">
        <v>730</v>
      </c>
      <c r="N26" s="107"/>
      <c r="O26" s="32">
        <v>336.0</v>
      </c>
    </row>
    <row r="27">
      <c r="A27" s="103" t="s">
        <v>734</v>
      </c>
      <c r="B27" s="420" t="s">
        <v>735</v>
      </c>
      <c r="C27" s="22">
        <v>1800000.0</v>
      </c>
      <c r="D27" s="26">
        <v>2019.0</v>
      </c>
      <c r="E27" s="26" t="s">
        <v>2176</v>
      </c>
      <c r="F27" s="26" t="s">
        <v>28</v>
      </c>
      <c r="G27" s="26" t="s">
        <v>51</v>
      </c>
      <c r="H27" s="26" t="s">
        <v>29</v>
      </c>
      <c r="I27" s="26">
        <v>4.0</v>
      </c>
      <c r="J27" s="27" t="str">
        <f t="shared" si="1"/>
        <v/>
      </c>
      <c r="K27" s="28"/>
      <c r="L27" s="105" t="s">
        <v>325</v>
      </c>
      <c r="M27" s="106" t="s">
        <v>737</v>
      </c>
      <c r="N27" s="107"/>
      <c r="O27" s="32">
        <v>334.0</v>
      </c>
    </row>
    <row r="28">
      <c r="A28" s="103" t="s">
        <v>766</v>
      </c>
      <c r="B28" s="420"/>
      <c r="C28" s="22">
        <v>1800000.0</v>
      </c>
      <c r="D28" s="26">
        <v>2019.0</v>
      </c>
      <c r="E28" s="26" t="s">
        <v>2166</v>
      </c>
      <c r="F28" s="26" t="s">
        <v>28</v>
      </c>
      <c r="G28" s="26" t="s">
        <v>23</v>
      </c>
      <c r="H28" s="28"/>
      <c r="I28" s="26">
        <v>1.0</v>
      </c>
      <c r="J28" s="27" t="str">
        <f t="shared" si="1"/>
        <v/>
      </c>
      <c r="K28" s="28"/>
      <c r="L28" s="105" t="s">
        <v>725</v>
      </c>
      <c r="M28" s="106" t="s">
        <v>762</v>
      </c>
      <c r="N28" s="109"/>
      <c r="O28" s="32">
        <v>316.0</v>
      </c>
    </row>
    <row r="29">
      <c r="A29" s="103" t="s">
        <v>758</v>
      </c>
      <c r="B29" s="420"/>
      <c r="C29" s="22">
        <v>1000000.0</v>
      </c>
      <c r="D29" s="26">
        <v>2019.0</v>
      </c>
      <c r="E29" s="26" t="s">
        <v>2168</v>
      </c>
      <c r="F29" s="26" t="s">
        <v>28</v>
      </c>
      <c r="G29" s="26" t="s">
        <v>23</v>
      </c>
      <c r="H29" s="28"/>
      <c r="I29" s="26">
        <v>1.0</v>
      </c>
      <c r="J29" s="27" t="str">
        <f t="shared" si="1"/>
        <v/>
      </c>
      <c r="K29" s="28"/>
      <c r="L29" s="105" t="s">
        <v>227</v>
      </c>
      <c r="M29" s="106" t="s">
        <v>747</v>
      </c>
      <c r="N29" s="109"/>
      <c r="O29" s="32">
        <v>321.0</v>
      </c>
    </row>
    <row r="30">
      <c r="A30" s="103" t="s">
        <v>770</v>
      </c>
      <c r="B30" s="420"/>
      <c r="C30" s="22">
        <v>1000000.0</v>
      </c>
      <c r="D30" s="26">
        <v>2019.0</v>
      </c>
      <c r="E30" s="26" t="s">
        <v>2166</v>
      </c>
      <c r="F30" s="26" t="s">
        <v>43</v>
      </c>
      <c r="G30" s="26" t="s">
        <v>51</v>
      </c>
      <c r="H30" s="28"/>
      <c r="I30" s="26">
        <v>1.0</v>
      </c>
      <c r="J30" s="27" t="str">
        <f t="shared" si="1"/>
        <v/>
      </c>
      <c r="K30" s="28"/>
      <c r="L30" s="105" t="s">
        <v>725</v>
      </c>
      <c r="M30" s="106" t="s">
        <v>762</v>
      </c>
      <c r="N30" s="109"/>
      <c r="O30" s="32">
        <v>312.0</v>
      </c>
    </row>
    <row r="31">
      <c r="A31" s="103" t="s">
        <v>759</v>
      </c>
      <c r="B31" s="420"/>
      <c r="C31" s="22">
        <v>700000.0</v>
      </c>
      <c r="D31" s="26">
        <v>2019.0</v>
      </c>
      <c r="E31" s="26" t="s">
        <v>2168</v>
      </c>
      <c r="F31" s="26" t="s">
        <v>28</v>
      </c>
      <c r="G31" s="26" t="s">
        <v>23</v>
      </c>
      <c r="H31" s="28"/>
      <c r="I31" s="26">
        <v>1.0</v>
      </c>
      <c r="J31" s="27" t="str">
        <f t="shared" si="1"/>
        <v/>
      </c>
      <c r="K31" s="28"/>
      <c r="L31" s="105" t="s">
        <v>227</v>
      </c>
      <c r="M31" s="106" t="s">
        <v>747</v>
      </c>
      <c r="N31" s="109"/>
      <c r="O31" s="32">
        <v>320.0</v>
      </c>
    </row>
    <row r="32">
      <c r="A32" s="103" t="s">
        <v>767</v>
      </c>
      <c r="B32" s="420"/>
      <c r="C32" s="22">
        <v>450000.0</v>
      </c>
      <c r="D32" s="26">
        <v>2019.0</v>
      </c>
      <c r="E32" s="26" t="s">
        <v>2166</v>
      </c>
      <c r="F32" s="26" t="s">
        <v>58</v>
      </c>
      <c r="G32" s="26" t="s">
        <v>23</v>
      </c>
      <c r="H32" s="28"/>
      <c r="I32" s="26">
        <v>1.0</v>
      </c>
      <c r="J32" s="27" t="str">
        <f t="shared" si="1"/>
        <v/>
      </c>
      <c r="K32" s="28"/>
      <c r="L32" s="105" t="s">
        <v>725</v>
      </c>
      <c r="M32" s="106" t="s">
        <v>762</v>
      </c>
      <c r="N32" s="109"/>
      <c r="O32" s="32">
        <v>315.0</v>
      </c>
    </row>
    <row r="33">
      <c r="A33" s="421" t="s">
        <v>911</v>
      </c>
      <c r="B33" s="422" t="s">
        <v>912</v>
      </c>
      <c r="C33" s="22">
        <v>5.5E8</v>
      </c>
      <c r="D33" s="422">
        <v>2018.0</v>
      </c>
      <c r="E33" s="422" t="s">
        <v>2177</v>
      </c>
      <c r="F33" s="422" t="s">
        <v>64</v>
      </c>
      <c r="G33" s="440" t="s">
        <v>51</v>
      </c>
      <c r="H33" s="426"/>
      <c r="I33" s="422">
        <v>4.0</v>
      </c>
      <c r="J33" s="429">
        <v>1.1E9</v>
      </c>
      <c r="K33" s="110"/>
      <c r="L33" s="26" t="s">
        <v>571</v>
      </c>
      <c r="M33" s="465" t="s">
        <v>915</v>
      </c>
      <c r="N33" s="431"/>
      <c r="O33" s="32">
        <v>276.0</v>
      </c>
    </row>
    <row r="34">
      <c r="A34" s="20" t="s">
        <v>996</v>
      </c>
      <c r="B34" s="26"/>
      <c r="C34" s="22">
        <v>5.5E8</v>
      </c>
      <c r="D34" s="26">
        <v>2013.0</v>
      </c>
      <c r="E34" s="26" t="s">
        <v>2178</v>
      </c>
      <c r="F34" s="26" t="s">
        <v>28</v>
      </c>
      <c r="G34" s="26" t="s">
        <v>23</v>
      </c>
      <c r="H34" s="28"/>
      <c r="I34" s="26">
        <v>2.0</v>
      </c>
      <c r="J34" s="27">
        <v>1.0E9</v>
      </c>
      <c r="K34" s="28"/>
      <c r="L34" s="34" t="s">
        <v>1423</v>
      </c>
      <c r="M34" s="106" t="s">
        <v>1424</v>
      </c>
      <c r="N34" s="466" t="s">
        <v>1425</v>
      </c>
      <c r="O34" s="32">
        <v>150.0</v>
      </c>
    </row>
    <row r="35">
      <c r="A35" s="52" t="s">
        <v>1010</v>
      </c>
      <c r="B35" s="53"/>
      <c r="C35" s="22">
        <v>5.2E8</v>
      </c>
      <c r="D35" s="26">
        <v>2017.0</v>
      </c>
      <c r="E35" s="34" t="s">
        <v>2179</v>
      </c>
      <c r="F35" s="26" t="s">
        <v>28</v>
      </c>
      <c r="G35" s="26" t="s">
        <v>51</v>
      </c>
      <c r="H35" s="34"/>
      <c r="I35" s="26">
        <v>4.0</v>
      </c>
      <c r="J35" s="27">
        <v>7.11E8</v>
      </c>
      <c r="K35" s="53"/>
      <c r="L35" s="53" t="s">
        <v>325</v>
      </c>
      <c r="M35" s="135" t="s">
        <v>1013</v>
      </c>
      <c r="N35" s="136"/>
      <c r="O35" s="32">
        <v>251.0</v>
      </c>
    </row>
    <row r="36">
      <c r="A36" s="20" t="s">
        <v>996</v>
      </c>
      <c r="B36" s="111"/>
      <c r="C36" s="22">
        <v>5.0E8</v>
      </c>
      <c r="D36" s="26">
        <v>2016.0</v>
      </c>
      <c r="E36" s="26" t="s">
        <v>2180</v>
      </c>
      <c r="F36" s="26" t="s">
        <v>28</v>
      </c>
      <c r="G36" s="26" t="s">
        <v>23</v>
      </c>
      <c r="H36" s="28"/>
      <c r="I36" s="26">
        <v>2.0</v>
      </c>
      <c r="J36" s="27">
        <v>5.0E8</v>
      </c>
      <c r="K36" s="28"/>
      <c r="L36" s="34" t="s">
        <v>1096</v>
      </c>
      <c r="M36" s="106" t="s">
        <v>1097</v>
      </c>
      <c r="N36" s="109"/>
      <c r="O36" s="32">
        <v>230.0</v>
      </c>
    </row>
    <row r="37">
      <c r="A37" s="20" t="s">
        <v>588</v>
      </c>
      <c r="B37" s="111"/>
      <c r="C37" s="22">
        <v>4.19E8</v>
      </c>
      <c r="D37" s="26">
        <v>2019.0</v>
      </c>
      <c r="E37" s="26" t="s">
        <v>2181</v>
      </c>
      <c r="F37" s="26" t="s">
        <v>28</v>
      </c>
      <c r="G37" s="26" t="s">
        <v>51</v>
      </c>
      <c r="H37" s="28"/>
      <c r="I37" s="26">
        <v>2.0</v>
      </c>
      <c r="J37" s="27">
        <v>4.2E8</v>
      </c>
      <c r="K37" s="28"/>
      <c r="L37" s="34" t="s">
        <v>798</v>
      </c>
      <c r="M37" s="35" t="s">
        <v>799</v>
      </c>
      <c r="N37" s="31"/>
      <c r="O37" s="32">
        <v>304.0</v>
      </c>
    </row>
    <row r="38">
      <c r="A38" s="52" t="s">
        <v>1201</v>
      </c>
      <c r="B38" s="34" t="s">
        <v>1202</v>
      </c>
      <c r="C38" s="22">
        <v>4.12E8</v>
      </c>
      <c r="D38" s="26">
        <v>2016.0</v>
      </c>
      <c r="E38" s="34" t="s">
        <v>2182</v>
      </c>
      <c r="F38" s="115" t="s">
        <v>28</v>
      </c>
      <c r="G38" s="115" t="s">
        <v>23</v>
      </c>
      <c r="H38" s="53"/>
      <c r="I38" s="130">
        <v>1.0</v>
      </c>
      <c r="J38" s="27">
        <v>4.12E8</v>
      </c>
      <c r="K38" s="28"/>
      <c r="L38" s="34" t="s">
        <v>571</v>
      </c>
      <c r="M38" s="146" t="s">
        <v>1205</v>
      </c>
      <c r="N38" s="155"/>
      <c r="O38" s="32">
        <v>203.0</v>
      </c>
    </row>
    <row r="39">
      <c r="A39" s="421" t="s">
        <v>843</v>
      </c>
      <c r="B39" s="422"/>
      <c r="C39" s="423">
        <v>3.83E8</v>
      </c>
      <c r="D39" s="422">
        <v>2018.0</v>
      </c>
      <c r="E39" s="422" t="s">
        <v>2183</v>
      </c>
      <c r="F39" s="422" t="s">
        <v>43</v>
      </c>
      <c r="G39" s="419" t="s">
        <v>23</v>
      </c>
      <c r="H39" s="426"/>
      <c r="I39" s="422">
        <v>3.0</v>
      </c>
      <c r="J39" s="429">
        <v>3.83E8</v>
      </c>
      <c r="K39" s="110"/>
      <c r="L39" s="26" t="s">
        <v>846</v>
      </c>
      <c r="M39" s="465" t="s">
        <v>847</v>
      </c>
      <c r="N39" s="465" t="s">
        <v>848</v>
      </c>
      <c r="O39" s="32">
        <v>292.0</v>
      </c>
    </row>
    <row r="40">
      <c r="A40" s="20" t="s">
        <v>810</v>
      </c>
      <c r="B40" s="51"/>
      <c r="C40" s="22">
        <v>3.8E8</v>
      </c>
      <c r="D40" s="26">
        <v>2019.0</v>
      </c>
      <c r="E40" s="26" t="s">
        <v>2184</v>
      </c>
      <c r="F40" s="26" t="s">
        <v>50</v>
      </c>
      <c r="G40" s="26" t="s">
        <v>51</v>
      </c>
      <c r="H40" s="28"/>
      <c r="I40" s="26">
        <v>2.0</v>
      </c>
      <c r="J40" s="27">
        <v>3.8E8</v>
      </c>
      <c r="K40" s="28"/>
      <c r="L40" s="34" t="s">
        <v>813</v>
      </c>
      <c r="M40" s="467" t="s">
        <v>814</v>
      </c>
      <c r="N40" s="31"/>
      <c r="O40" s="32">
        <v>300.0</v>
      </c>
    </row>
    <row r="41">
      <c r="A41" s="137" t="s">
        <v>1037</v>
      </c>
      <c r="B41" s="138" t="s">
        <v>1038</v>
      </c>
      <c r="C41" s="22">
        <v>3.4E8</v>
      </c>
      <c r="D41" s="26">
        <v>2017.0</v>
      </c>
      <c r="E41" s="26" t="s">
        <v>2185</v>
      </c>
      <c r="F41" s="139" t="s">
        <v>28</v>
      </c>
      <c r="G41" s="419" t="s">
        <v>142</v>
      </c>
      <c r="H41" s="53"/>
      <c r="I41" s="26">
        <v>2.0</v>
      </c>
      <c r="J41" s="27">
        <v>3.4E8</v>
      </c>
      <c r="K41" s="53"/>
      <c r="L41" s="34" t="s">
        <v>507</v>
      </c>
      <c r="M41" s="106" t="s">
        <v>1041</v>
      </c>
      <c r="N41" s="117"/>
      <c r="O41" s="32">
        <v>244.0</v>
      </c>
    </row>
    <row r="42">
      <c r="A42" s="421" t="s">
        <v>407</v>
      </c>
      <c r="B42" s="422"/>
      <c r="C42" s="423">
        <v>3.3E8</v>
      </c>
      <c r="D42" s="422">
        <v>2018.0</v>
      </c>
      <c r="E42" s="422" t="s">
        <v>2186</v>
      </c>
      <c r="F42" s="422" t="s">
        <v>50</v>
      </c>
      <c r="G42" s="422" t="s">
        <v>51</v>
      </c>
      <c r="H42" s="426"/>
      <c r="I42" s="422">
        <v>1.0</v>
      </c>
      <c r="J42" s="429">
        <v>3.3E8</v>
      </c>
      <c r="K42" s="110"/>
      <c r="L42" s="26" t="s">
        <v>286</v>
      </c>
      <c r="M42" s="465" t="s">
        <v>936</v>
      </c>
      <c r="N42" s="431"/>
      <c r="O42" s="32">
        <v>271.0</v>
      </c>
    </row>
    <row r="43">
      <c r="A43" s="52" t="s">
        <v>782</v>
      </c>
      <c r="B43" s="428"/>
      <c r="C43" s="22">
        <v>2.75265298E8</v>
      </c>
      <c r="D43" s="422">
        <v>2019.0</v>
      </c>
      <c r="E43" s="425" t="s">
        <v>2187</v>
      </c>
      <c r="F43" s="425" t="s">
        <v>28</v>
      </c>
      <c r="G43" s="425" t="s">
        <v>51</v>
      </c>
      <c r="H43" s="428"/>
      <c r="I43" s="422">
        <v>2.0</v>
      </c>
      <c r="J43" s="429">
        <v>2.75E8</v>
      </c>
      <c r="K43" s="428"/>
      <c r="L43" s="425" t="s">
        <v>85</v>
      </c>
      <c r="M43" s="467" t="s">
        <v>785</v>
      </c>
      <c r="N43" s="428"/>
      <c r="O43" s="32">
        <v>308.0</v>
      </c>
    </row>
    <row r="44">
      <c r="A44" s="20" t="s">
        <v>356</v>
      </c>
      <c r="B44" s="51"/>
      <c r="C44" s="22">
        <v>2.5E8</v>
      </c>
      <c r="D44" s="26">
        <v>2020.0</v>
      </c>
      <c r="E44" s="26" t="s">
        <v>2188</v>
      </c>
      <c r="F44" s="26" t="s">
        <v>28</v>
      </c>
      <c r="G44" s="26" t="s">
        <v>51</v>
      </c>
      <c r="H44" s="28"/>
      <c r="I44" s="26">
        <v>1.0</v>
      </c>
      <c r="J44" s="27">
        <v>2.5E8</v>
      </c>
      <c r="K44" s="28"/>
      <c r="L44" s="34" t="s">
        <v>278</v>
      </c>
      <c r="M44" s="468" t="s">
        <v>656</v>
      </c>
      <c r="N44" s="31"/>
      <c r="O44" s="32">
        <v>354.0</v>
      </c>
    </row>
    <row r="45">
      <c r="A45" s="421" t="s">
        <v>831</v>
      </c>
      <c r="B45" s="422"/>
      <c r="C45" s="423">
        <v>2.02E8</v>
      </c>
      <c r="D45" s="422">
        <v>2018.0</v>
      </c>
      <c r="E45" s="422" t="s">
        <v>2189</v>
      </c>
      <c r="F45" s="26" t="s">
        <v>28</v>
      </c>
      <c r="G45" s="430" t="s">
        <v>51</v>
      </c>
      <c r="H45" s="426"/>
      <c r="I45" s="422">
        <v>2.0</v>
      </c>
      <c r="J45" s="27">
        <f>IF(C45&gt;100000000,C45,"")</f>
        <v>202000000</v>
      </c>
      <c r="K45" s="110"/>
      <c r="L45" s="26" t="s">
        <v>834</v>
      </c>
      <c r="M45" s="465" t="s">
        <v>835</v>
      </c>
      <c r="N45" s="427"/>
      <c r="O45" s="32">
        <v>295.0</v>
      </c>
    </row>
    <row r="46">
      <c r="A46" s="20" t="s">
        <v>985</v>
      </c>
      <c r="B46" s="98" t="s">
        <v>986</v>
      </c>
      <c r="C46" s="22">
        <v>2.0E8</v>
      </c>
      <c r="D46" s="26">
        <v>2018.0</v>
      </c>
      <c r="E46" s="26" t="s">
        <v>2190</v>
      </c>
      <c r="F46" s="26" t="s">
        <v>50</v>
      </c>
      <c r="G46" s="26" t="s">
        <v>51</v>
      </c>
      <c r="H46" s="28"/>
      <c r="I46" s="26">
        <v>1.0</v>
      </c>
      <c r="J46" s="27">
        <v>2.0E8</v>
      </c>
      <c r="K46" s="28"/>
      <c r="L46" s="34" t="s">
        <v>410</v>
      </c>
      <c r="M46" s="467" t="s">
        <v>988</v>
      </c>
      <c r="N46" s="31"/>
      <c r="O46" s="32">
        <v>258.0</v>
      </c>
    </row>
    <row r="47">
      <c r="A47" s="114" t="s">
        <v>1506</v>
      </c>
      <c r="B47" s="115" t="s">
        <v>1507</v>
      </c>
      <c r="C47" s="22">
        <v>2.0E8</v>
      </c>
      <c r="D47" s="26">
        <v>2013.0</v>
      </c>
      <c r="E47" s="34" t="s">
        <v>2191</v>
      </c>
      <c r="F47" s="26" t="s">
        <v>58</v>
      </c>
      <c r="G47" s="130" t="s">
        <v>59</v>
      </c>
      <c r="H47" s="28"/>
      <c r="I47" s="26">
        <v>2.0</v>
      </c>
      <c r="J47" s="27">
        <v>2.0E8</v>
      </c>
      <c r="K47" s="28"/>
      <c r="L47" s="34" t="s">
        <v>1509</v>
      </c>
      <c r="M47" s="106" t="s">
        <v>1510</v>
      </c>
      <c r="N47" s="106" t="s">
        <v>1511</v>
      </c>
      <c r="O47" s="32">
        <v>127.0</v>
      </c>
    </row>
    <row r="48">
      <c r="A48" s="137" t="s">
        <v>1229</v>
      </c>
      <c r="B48" s="142"/>
      <c r="C48" s="119">
        <v>1.98E8</v>
      </c>
      <c r="D48" s="26">
        <v>2015.0</v>
      </c>
      <c r="E48" s="26" t="s">
        <v>2192</v>
      </c>
      <c r="F48" s="53" t="s">
        <v>28</v>
      </c>
      <c r="G48" s="26" t="s">
        <v>51</v>
      </c>
      <c r="H48" s="53"/>
      <c r="I48" s="26">
        <v>2.0</v>
      </c>
      <c r="J48" s="27">
        <v>1.98E8</v>
      </c>
      <c r="K48" s="53"/>
      <c r="L48" s="53" t="s">
        <v>1232</v>
      </c>
      <c r="M48" s="152" t="s">
        <v>1233</v>
      </c>
      <c r="N48" s="158" t="s">
        <v>1234</v>
      </c>
      <c r="O48" s="32">
        <v>196.0</v>
      </c>
    </row>
    <row r="49">
      <c r="A49" s="20" t="s">
        <v>1171</v>
      </c>
      <c r="B49" s="138"/>
      <c r="C49" s="22">
        <v>1.64E8</v>
      </c>
      <c r="D49" s="26">
        <v>2016.0</v>
      </c>
      <c r="E49" s="26" t="s">
        <v>2193</v>
      </c>
      <c r="F49" s="26" t="s">
        <v>28</v>
      </c>
      <c r="G49" s="26" t="s">
        <v>23</v>
      </c>
      <c r="H49" s="28"/>
      <c r="I49" s="26">
        <v>1.0</v>
      </c>
      <c r="J49" s="27">
        <v>1.64E8</v>
      </c>
      <c r="K49" s="28"/>
      <c r="L49" s="34" t="s">
        <v>30</v>
      </c>
      <c r="M49" s="106" t="s">
        <v>1174</v>
      </c>
      <c r="N49" s="113"/>
      <c r="O49" s="32">
        <v>211.0</v>
      </c>
    </row>
    <row r="50">
      <c r="A50" s="103" t="s">
        <v>744</v>
      </c>
      <c r="B50" s="420"/>
      <c r="C50" s="22">
        <v>1.62E8</v>
      </c>
      <c r="D50" s="26">
        <v>2019.0</v>
      </c>
      <c r="E50" s="26" t="s">
        <v>2168</v>
      </c>
      <c r="F50" s="26" t="s">
        <v>409</v>
      </c>
      <c r="G50" s="26" t="s">
        <v>23</v>
      </c>
      <c r="H50" s="28"/>
      <c r="I50" s="26">
        <v>1.0</v>
      </c>
      <c r="J50" s="27">
        <f>IF(C50&gt;100000000,C50,"")</f>
        <v>162000000</v>
      </c>
      <c r="K50" s="28"/>
      <c r="L50" s="105" t="s">
        <v>227</v>
      </c>
      <c r="M50" s="106" t="s">
        <v>747</v>
      </c>
      <c r="N50" s="109"/>
      <c r="O50" s="32">
        <v>332.0</v>
      </c>
    </row>
    <row r="51">
      <c r="A51" s="165" t="s">
        <v>1390</v>
      </c>
      <c r="B51" s="130" t="s">
        <v>1391</v>
      </c>
      <c r="C51" s="22">
        <v>1.6E8</v>
      </c>
      <c r="D51" s="26">
        <v>2013.0</v>
      </c>
      <c r="E51" s="26" t="s">
        <v>2194</v>
      </c>
      <c r="F51" s="26" t="s">
        <v>58</v>
      </c>
      <c r="G51" s="130" t="s">
        <v>23</v>
      </c>
      <c r="H51" s="130" t="s">
        <v>29</v>
      </c>
      <c r="I51" s="26">
        <v>5.0</v>
      </c>
      <c r="J51" s="27">
        <v>1.6E8</v>
      </c>
      <c r="K51" s="28"/>
      <c r="L51" s="34" t="s">
        <v>1394</v>
      </c>
      <c r="M51" s="106" t="s">
        <v>1395</v>
      </c>
      <c r="N51" s="113"/>
      <c r="O51" s="32">
        <v>156.0</v>
      </c>
    </row>
    <row r="52">
      <c r="A52" s="433" t="s">
        <v>888</v>
      </c>
      <c r="B52" s="430" t="s">
        <v>889</v>
      </c>
      <c r="C52" s="434">
        <v>1.5E8</v>
      </c>
      <c r="D52" s="438">
        <v>2018.0</v>
      </c>
      <c r="E52" s="425" t="s">
        <v>2195</v>
      </c>
      <c r="F52" s="430" t="s">
        <v>2163</v>
      </c>
      <c r="G52" s="430" t="s">
        <v>23</v>
      </c>
      <c r="H52" s="435"/>
      <c r="I52" s="438">
        <v>1.0</v>
      </c>
      <c r="J52" s="27">
        <v>1.5E8</v>
      </c>
      <c r="K52" s="120"/>
      <c r="L52" s="112" t="s">
        <v>507</v>
      </c>
      <c r="M52" s="436" t="s">
        <v>892</v>
      </c>
      <c r="N52" s="432"/>
      <c r="O52" s="32">
        <v>281.0</v>
      </c>
    </row>
    <row r="53">
      <c r="A53" s="165" t="s">
        <v>1342</v>
      </c>
      <c r="B53" s="28"/>
      <c r="C53" s="22">
        <v>1.45E8</v>
      </c>
      <c r="D53" s="26">
        <v>2014.0</v>
      </c>
      <c r="E53" s="26" t="s">
        <v>2196</v>
      </c>
      <c r="F53" s="130" t="s">
        <v>28</v>
      </c>
      <c r="G53" s="130" t="s">
        <v>23</v>
      </c>
      <c r="H53" s="130" t="s">
        <v>29</v>
      </c>
      <c r="I53" s="130">
        <v>1.0</v>
      </c>
      <c r="J53" s="27">
        <v>1.45E8</v>
      </c>
      <c r="K53" s="28"/>
      <c r="L53" s="34" t="s">
        <v>591</v>
      </c>
      <c r="M53" s="106" t="s">
        <v>1345</v>
      </c>
      <c r="N53" s="113"/>
      <c r="O53" s="32">
        <v>169.0</v>
      </c>
    </row>
    <row r="54">
      <c r="A54" s="52" t="s">
        <v>1075</v>
      </c>
      <c r="B54" s="53"/>
      <c r="C54" s="22">
        <v>1.43E8</v>
      </c>
      <c r="D54" s="26">
        <v>2017.0</v>
      </c>
      <c r="E54" s="34" t="s">
        <v>2197</v>
      </c>
      <c r="F54" s="26" t="s">
        <v>58</v>
      </c>
      <c r="G54" s="26" t="s">
        <v>23</v>
      </c>
      <c r="H54" s="115" t="s">
        <v>29</v>
      </c>
      <c r="I54" s="26">
        <v>4.0</v>
      </c>
      <c r="J54" s="27">
        <v>1.43E8</v>
      </c>
      <c r="K54" s="53"/>
      <c r="L54" s="53" t="s">
        <v>1079</v>
      </c>
      <c r="M54" s="135" t="s">
        <v>1080</v>
      </c>
      <c r="N54" s="136"/>
      <c r="O54" s="32">
        <v>234.0</v>
      </c>
    </row>
    <row r="55">
      <c r="A55" s="103" t="s">
        <v>718</v>
      </c>
      <c r="B55" s="420"/>
      <c r="C55" s="22">
        <v>1.39E8</v>
      </c>
      <c r="D55" s="26">
        <v>2019.0</v>
      </c>
      <c r="E55" s="26" t="s">
        <v>2198</v>
      </c>
      <c r="F55" s="26" t="s">
        <v>28</v>
      </c>
      <c r="G55" s="26" t="s">
        <v>23</v>
      </c>
      <c r="H55" s="26"/>
      <c r="I55" s="26">
        <v>2.0</v>
      </c>
      <c r="J55" s="27">
        <v>1.39E8</v>
      </c>
      <c r="K55" s="28"/>
      <c r="L55" s="105" t="s">
        <v>571</v>
      </c>
      <c r="M55" s="106" t="s">
        <v>721</v>
      </c>
      <c r="N55" s="107"/>
      <c r="O55" s="32">
        <v>339.0</v>
      </c>
    </row>
    <row r="56">
      <c r="A56" s="165" t="s">
        <v>1822</v>
      </c>
      <c r="B56" s="130" t="s">
        <v>1823</v>
      </c>
      <c r="C56" s="22">
        <v>1.3E8</v>
      </c>
      <c r="D56" s="26">
        <v>2009.0</v>
      </c>
      <c r="E56" s="26" t="s">
        <v>2199</v>
      </c>
      <c r="F56" s="26" t="s">
        <v>58</v>
      </c>
      <c r="G56" s="130" t="s">
        <v>23</v>
      </c>
      <c r="H56" s="130" t="s">
        <v>29</v>
      </c>
      <c r="I56" s="26">
        <v>3.0</v>
      </c>
      <c r="J56" s="27">
        <v>1.3E8</v>
      </c>
      <c r="K56" s="28"/>
      <c r="L56" s="105" t="s">
        <v>1826</v>
      </c>
      <c r="M56" s="106" t="s">
        <v>1827</v>
      </c>
      <c r="N56" s="109"/>
      <c r="O56" s="32">
        <v>48.0</v>
      </c>
    </row>
    <row r="57">
      <c r="A57" s="421" t="s">
        <v>898</v>
      </c>
      <c r="B57" s="422" t="s">
        <v>899</v>
      </c>
      <c r="C57" s="423">
        <v>1.2E8</v>
      </c>
      <c r="D57" s="422">
        <v>2018.0</v>
      </c>
      <c r="E57" s="422" t="s">
        <v>2200</v>
      </c>
      <c r="F57" s="422" t="s">
        <v>2163</v>
      </c>
      <c r="G57" s="422" t="s">
        <v>51</v>
      </c>
      <c r="H57" s="422" t="s">
        <v>29</v>
      </c>
      <c r="I57" s="422">
        <v>1.0</v>
      </c>
      <c r="J57" s="27">
        <v>1.2E8</v>
      </c>
      <c r="K57" s="110"/>
      <c r="L57" s="26" t="s">
        <v>902</v>
      </c>
      <c r="M57" s="465" t="s">
        <v>903</v>
      </c>
      <c r="N57" s="431"/>
      <c r="O57" s="32">
        <v>279.0</v>
      </c>
    </row>
    <row r="58">
      <c r="A58" s="20" t="s">
        <v>1085</v>
      </c>
      <c r="B58" s="138"/>
      <c r="C58" s="22">
        <v>1.17E8</v>
      </c>
      <c r="D58" s="26">
        <v>2016.0</v>
      </c>
      <c r="E58" s="26" t="s">
        <v>2201</v>
      </c>
      <c r="F58" s="26" t="s">
        <v>28</v>
      </c>
      <c r="G58" s="26" t="s">
        <v>23</v>
      </c>
      <c r="H58" s="28"/>
      <c r="I58" s="26">
        <v>1.0</v>
      </c>
      <c r="J58" s="27">
        <v>1.17E8</v>
      </c>
      <c r="K58" s="28"/>
      <c r="L58" s="53" t="s">
        <v>1088</v>
      </c>
      <c r="M58" s="106" t="s">
        <v>1089</v>
      </c>
      <c r="N58" s="106" t="s">
        <v>1090</v>
      </c>
      <c r="O58" s="32">
        <v>232.0</v>
      </c>
    </row>
    <row r="59">
      <c r="A59" s="20" t="s">
        <v>635</v>
      </c>
      <c r="B59" s="51"/>
      <c r="C59" s="22">
        <v>1.15E8</v>
      </c>
      <c r="D59" s="26">
        <v>2020.0</v>
      </c>
      <c r="E59" s="26" t="s">
        <v>2202</v>
      </c>
      <c r="F59" s="26" t="s">
        <v>129</v>
      </c>
      <c r="G59" s="26" t="s">
        <v>23</v>
      </c>
      <c r="H59" s="28"/>
      <c r="I59" s="26">
        <v>2.0</v>
      </c>
      <c r="J59" s="27">
        <v>1.15E8</v>
      </c>
      <c r="K59" s="28"/>
      <c r="L59" s="34" t="s">
        <v>571</v>
      </c>
      <c r="M59" s="468" t="s">
        <v>638</v>
      </c>
      <c r="N59" s="31"/>
      <c r="O59" s="32">
        <v>358.0</v>
      </c>
    </row>
    <row r="60">
      <c r="A60" s="20" t="s">
        <v>1158</v>
      </c>
      <c r="B60" s="111" t="s">
        <v>1159</v>
      </c>
      <c r="C60" s="22">
        <v>1.71E8</v>
      </c>
      <c r="D60" s="26">
        <v>2016.0</v>
      </c>
      <c r="E60" s="26" t="s">
        <v>2203</v>
      </c>
      <c r="F60" s="26" t="s">
        <v>28</v>
      </c>
      <c r="G60" s="26" t="s">
        <v>23</v>
      </c>
      <c r="H60" s="28"/>
      <c r="I60" s="26">
        <v>4.0</v>
      </c>
      <c r="J60" s="27">
        <v>1.0E8</v>
      </c>
      <c r="K60" s="28"/>
      <c r="L60" s="53" t="s">
        <v>886</v>
      </c>
      <c r="M60" s="106" t="s">
        <v>1161</v>
      </c>
      <c r="N60" s="113"/>
      <c r="O60" s="32">
        <v>214.0</v>
      </c>
    </row>
    <row r="61">
      <c r="A61" s="20" t="s">
        <v>789</v>
      </c>
      <c r="B61" s="111"/>
      <c r="C61" s="22">
        <v>1.0E8</v>
      </c>
      <c r="D61" s="26">
        <v>2019.0</v>
      </c>
      <c r="E61" s="26" t="s">
        <v>2204</v>
      </c>
      <c r="F61" s="26" t="s">
        <v>58</v>
      </c>
      <c r="G61" s="26" t="s">
        <v>23</v>
      </c>
      <c r="H61" s="28"/>
      <c r="I61" s="26">
        <v>3.0</v>
      </c>
      <c r="J61" s="27">
        <v>1.0E8</v>
      </c>
      <c r="K61" s="28"/>
      <c r="L61" s="34" t="s">
        <v>278</v>
      </c>
      <c r="M61" s="467" t="s">
        <v>791</v>
      </c>
      <c r="N61" s="31"/>
      <c r="O61" s="32">
        <v>306.0</v>
      </c>
    </row>
    <row r="62">
      <c r="A62" s="421" t="s">
        <v>839</v>
      </c>
      <c r="B62" s="422"/>
      <c r="C62" s="423">
        <v>1.0E8</v>
      </c>
      <c r="D62" s="422">
        <v>2018.0</v>
      </c>
      <c r="E62" s="422" t="s">
        <v>2205</v>
      </c>
      <c r="F62" s="422" t="s">
        <v>28</v>
      </c>
      <c r="G62" s="419" t="s">
        <v>23</v>
      </c>
      <c r="H62" s="426"/>
      <c r="I62" s="422">
        <v>1.0</v>
      </c>
      <c r="J62" s="429">
        <v>1.0E8</v>
      </c>
      <c r="K62" s="110"/>
      <c r="L62" s="26" t="s">
        <v>841</v>
      </c>
      <c r="M62" s="465" t="s">
        <v>842</v>
      </c>
      <c r="N62" s="431"/>
      <c r="O62" s="32">
        <v>293.0</v>
      </c>
    </row>
    <row r="63">
      <c r="A63" s="421" t="s">
        <v>907</v>
      </c>
      <c r="B63" s="126" t="s">
        <v>908</v>
      </c>
      <c r="C63" s="423">
        <v>1.0E8</v>
      </c>
      <c r="D63" s="422">
        <v>2018.0</v>
      </c>
      <c r="E63" s="422" t="s">
        <v>2206</v>
      </c>
      <c r="F63" s="422" t="s">
        <v>2163</v>
      </c>
      <c r="G63" s="422" t="s">
        <v>51</v>
      </c>
      <c r="H63" s="426"/>
      <c r="I63" s="422">
        <v>5.0</v>
      </c>
      <c r="J63" s="27">
        <v>1.0E8</v>
      </c>
      <c r="K63" s="110"/>
      <c r="L63" s="26" t="s">
        <v>85</v>
      </c>
      <c r="M63" s="465" t="s">
        <v>910</v>
      </c>
      <c r="N63" s="431"/>
      <c r="O63" s="32">
        <v>277.0</v>
      </c>
    </row>
    <row r="64">
      <c r="A64" s="165" t="s">
        <v>1953</v>
      </c>
      <c r="B64" s="130" t="s">
        <v>1954</v>
      </c>
      <c r="C64" s="22">
        <v>9.4E7</v>
      </c>
      <c r="D64" s="26">
        <v>2007.0</v>
      </c>
      <c r="E64" s="26" t="s">
        <v>2207</v>
      </c>
      <c r="F64" s="130" t="s">
        <v>43</v>
      </c>
      <c r="G64" s="130" t="s">
        <v>23</v>
      </c>
      <c r="H64" s="28"/>
      <c r="I64" s="26">
        <v>3.0</v>
      </c>
      <c r="J64" s="27">
        <v>9.4E7</v>
      </c>
      <c r="K64" s="28"/>
      <c r="L64" s="120" t="s">
        <v>608</v>
      </c>
      <c r="M64" s="106" t="s">
        <v>1957</v>
      </c>
      <c r="N64" s="109"/>
      <c r="O64" s="32">
        <v>14.0</v>
      </c>
    </row>
    <row r="65">
      <c r="A65" s="165" t="s">
        <v>1324</v>
      </c>
      <c r="B65" s="111" t="s">
        <v>1970</v>
      </c>
      <c r="C65" s="22">
        <v>9.2E7</v>
      </c>
      <c r="D65" s="26">
        <v>2004.0</v>
      </c>
      <c r="E65" s="26" t="s">
        <v>2208</v>
      </c>
      <c r="F65" s="130" t="s">
        <v>28</v>
      </c>
      <c r="G65" s="26" t="s">
        <v>59</v>
      </c>
      <c r="H65" s="28"/>
      <c r="I65" s="130">
        <v>1.0</v>
      </c>
      <c r="J65" s="27">
        <v>9.2E7</v>
      </c>
      <c r="K65" s="28"/>
      <c r="L65" s="120" t="s">
        <v>1088</v>
      </c>
      <c r="M65" s="106" t="s">
        <v>2003</v>
      </c>
      <c r="N65" s="109"/>
      <c r="O65" s="32">
        <v>2.0</v>
      </c>
    </row>
    <row r="66">
      <c r="A66" s="114" t="s">
        <v>1310</v>
      </c>
      <c r="B66" s="115" t="s">
        <v>1311</v>
      </c>
      <c r="C66" s="22">
        <v>8.0E7</v>
      </c>
      <c r="D66" s="26">
        <v>2015.0</v>
      </c>
      <c r="E66" s="34" t="s">
        <v>2209</v>
      </c>
      <c r="F66" s="26" t="s">
        <v>258</v>
      </c>
      <c r="G66" s="115" t="s">
        <v>23</v>
      </c>
      <c r="H66" s="115" t="s">
        <v>29</v>
      </c>
      <c r="I66" s="26">
        <v>2.0</v>
      </c>
      <c r="J66" s="27">
        <v>8.0E7</v>
      </c>
      <c r="K66" s="53"/>
      <c r="L66" s="34" t="s">
        <v>688</v>
      </c>
      <c r="M66" s="135" t="s">
        <v>1314</v>
      </c>
      <c r="N66" s="19"/>
      <c r="O66" s="32">
        <v>177.0</v>
      </c>
    </row>
    <row r="67">
      <c r="A67" s="114" t="s">
        <v>1354</v>
      </c>
      <c r="B67" s="53"/>
      <c r="C67" s="22">
        <v>7.6E7</v>
      </c>
      <c r="D67" s="26">
        <v>2014.0</v>
      </c>
      <c r="E67" s="34" t="s">
        <v>2210</v>
      </c>
      <c r="F67" s="26" t="s">
        <v>58</v>
      </c>
      <c r="G67" s="115" t="s">
        <v>23</v>
      </c>
      <c r="H67" s="115" t="s">
        <v>29</v>
      </c>
      <c r="I67" s="26">
        <v>3.0</v>
      </c>
      <c r="J67" s="27">
        <v>7.6E7</v>
      </c>
      <c r="K67" s="53"/>
      <c r="L67" s="53" t="s">
        <v>1357</v>
      </c>
      <c r="M67" s="116" t="s">
        <v>1358</v>
      </c>
      <c r="N67" s="19"/>
      <c r="O67" s="32">
        <v>166.0</v>
      </c>
    </row>
    <row r="68">
      <c r="A68" s="20" t="s">
        <v>1285</v>
      </c>
      <c r="B68" s="111" t="s">
        <v>1286</v>
      </c>
      <c r="C68" s="22">
        <v>7.0E7</v>
      </c>
      <c r="D68" s="26">
        <v>2015.0</v>
      </c>
      <c r="E68" s="26" t="s">
        <v>2211</v>
      </c>
      <c r="F68" s="26" t="s">
        <v>28</v>
      </c>
      <c r="G68" s="26" t="s">
        <v>23</v>
      </c>
      <c r="H68" s="26" t="s">
        <v>29</v>
      </c>
      <c r="I68" s="26">
        <v>5.0</v>
      </c>
      <c r="J68" s="27">
        <v>7.0E7</v>
      </c>
      <c r="K68" s="28"/>
      <c r="L68" s="53" t="s">
        <v>1289</v>
      </c>
      <c r="M68" s="106" t="s">
        <v>1290</v>
      </c>
      <c r="N68" s="113"/>
      <c r="O68" s="32">
        <v>183.0</v>
      </c>
    </row>
    <row r="69">
      <c r="A69" s="20" t="s">
        <v>214</v>
      </c>
      <c r="B69" s="28"/>
      <c r="C69" s="22">
        <v>6.87E7</v>
      </c>
      <c r="D69" s="26">
        <v>2012.0</v>
      </c>
      <c r="E69" s="26" t="s">
        <v>2212</v>
      </c>
      <c r="F69" s="26" t="s">
        <v>28</v>
      </c>
      <c r="G69" s="26" t="s">
        <v>23</v>
      </c>
      <c r="H69" s="28"/>
      <c r="I69" s="26">
        <v>1.0</v>
      </c>
      <c r="J69" s="27">
        <v>6.87E7</v>
      </c>
      <c r="K69" s="28"/>
      <c r="L69" s="53" t="s">
        <v>1625</v>
      </c>
      <c r="M69" s="106" t="s">
        <v>1626</v>
      </c>
      <c r="N69" s="113"/>
      <c r="O69" s="32">
        <v>99.0</v>
      </c>
    </row>
    <row r="70">
      <c r="A70" s="20" t="s">
        <v>288</v>
      </c>
      <c r="B70" s="26"/>
      <c r="C70" s="22">
        <v>5.7E7</v>
      </c>
      <c r="D70" s="150">
        <v>2017.0</v>
      </c>
      <c r="E70" s="26" t="s">
        <v>2213</v>
      </c>
      <c r="F70" s="26" t="s">
        <v>2163</v>
      </c>
      <c r="G70" s="26" t="s">
        <v>23</v>
      </c>
      <c r="H70" s="26" t="s">
        <v>29</v>
      </c>
      <c r="I70" s="26">
        <v>1.0</v>
      </c>
      <c r="J70" s="27">
        <v>5.7E7</v>
      </c>
      <c r="K70" s="120"/>
      <c r="L70" s="105" t="s">
        <v>867</v>
      </c>
      <c r="M70" s="106" t="s">
        <v>1002</v>
      </c>
      <c r="N70" s="113"/>
      <c r="O70" s="32">
        <v>254.0</v>
      </c>
    </row>
    <row r="71">
      <c r="A71" s="421" t="s">
        <v>588</v>
      </c>
      <c r="B71" s="422"/>
      <c r="C71" s="423">
        <v>5.0E7</v>
      </c>
      <c r="D71" s="422">
        <v>2018.0</v>
      </c>
      <c r="E71" s="422" t="s">
        <v>2214</v>
      </c>
      <c r="F71" s="422" t="s">
        <v>28</v>
      </c>
      <c r="G71" s="422" t="s">
        <v>23</v>
      </c>
      <c r="H71" s="422" t="s">
        <v>29</v>
      </c>
      <c r="I71" s="422">
        <v>1.0</v>
      </c>
      <c r="J71" s="27">
        <v>5.0E7</v>
      </c>
      <c r="K71" s="110"/>
      <c r="L71" s="26" t="s">
        <v>507</v>
      </c>
      <c r="M71" s="465" t="s">
        <v>856</v>
      </c>
      <c r="N71" s="431"/>
      <c r="O71" s="32">
        <v>290.0</v>
      </c>
    </row>
    <row r="72">
      <c r="A72" s="114" t="s">
        <v>1515</v>
      </c>
      <c r="B72" s="53"/>
      <c r="C72" s="22">
        <v>3.8E7</v>
      </c>
      <c r="D72" s="26">
        <v>2013.0</v>
      </c>
      <c r="E72" s="34" t="s">
        <v>2215</v>
      </c>
      <c r="F72" s="115" t="s">
        <v>50</v>
      </c>
      <c r="G72" s="115" t="s">
        <v>23</v>
      </c>
      <c r="H72" s="115" t="s">
        <v>29</v>
      </c>
      <c r="I72" s="26">
        <v>5.0</v>
      </c>
      <c r="J72" s="27">
        <v>3.8E7</v>
      </c>
      <c r="K72" s="53"/>
      <c r="L72" s="53" t="s">
        <v>1515</v>
      </c>
      <c r="M72" s="135" t="s">
        <v>1517</v>
      </c>
      <c r="N72" s="136"/>
      <c r="O72" s="32">
        <v>125.0</v>
      </c>
    </row>
    <row r="73">
      <c r="A73" s="20" t="s">
        <v>698</v>
      </c>
      <c r="B73" s="98" t="s">
        <v>699</v>
      </c>
      <c r="C73" s="22">
        <v>3.0E7</v>
      </c>
      <c r="D73" s="26">
        <v>2019.0</v>
      </c>
      <c r="E73" s="26" t="s">
        <v>2216</v>
      </c>
      <c r="F73" s="26" t="s">
        <v>43</v>
      </c>
      <c r="G73" s="26" t="s">
        <v>23</v>
      </c>
      <c r="H73" s="28"/>
      <c r="I73" s="26">
        <v>3.0</v>
      </c>
      <c r="J73" s="27">
        <v>3.0E7</v>
      </c>
      <c r="K73" s="28"/>
      <c r="L73" s="34" t="s">
        <v>702</v>
      </c>
      <c r="M73" s="468" t="s">
        <v>703</v>
      </c>
      <c r="N73" s="31"/>
      <c r="O73" s="32">
        <v>344.0</v>
      </c>
    </row>
    <row r="74">
      <c r="A74" s="20" t="s">
        <v>805</v>
      </c>
      <c r="B74" s="98" t="s">
        <v>806</v>
      </c>
      <c r="C74" s="22">
        <v>2.6E7</v>
      </c>
      <c r="D74" s="26">
        <v>2019.0</v>
      </c>
      <c r="E74" s="26" t="s">
        <v>2217</v>
      </c>
      <c r="F74" s="26" t="s">
        <v>28</v>
      </c>
      <c r="G74" s="26" t="s">
        <v>23</v>
      </c>
      <c r="H74" s="28"/>
      <c r="I74" s="26">
        <v>3.0</v>
      </c>
      <c r="J74" s="27">
        <v>2.6E7</v>
      </c>
      <c r="K74" s="28"/>
      <c r="L74" s="34" t="s">
        <v>247</v>
      </c>
      <c r="M74" s="467" t="s">
        <v>809</v>
      </c>
      <c r="N74" s="31"/>
      <c r="O74" s="32">
        <v>302.0</v>
      </c>
    </row>
    <row r="75">
      <c r="A75" s="52" t="s">
        <v>644</v>
      </c>
      <c r="B75" s="52" t="s">
        <v>645</v>
      </c>
      <c r="C75" s="22">
        <v>2.2E7</v>
      </c>
      <c r="D75" s="26">
        <v>2020.0</v>
      </c>
      <c r="E75" s="26" t="s">
        <v>2218</v>
      </c>
      <c r="F75" s="26" t="s">
        <v>28</v>
      </c>
      <c r="G75" s="26" t="s">
        <v>23</v>
      </c>
      <c r="H75" s="28"/>
      <c r="I75" s="26">
        <v>2.0</v>
      </c>
      <c r="J75" s="27">
        <v>2.2E7</v>
      </c>
      <c r="K75" s="28"/>
      <c r="L75" s="34" t="s">
        <v>648</v>
      </c>
      <c r="M75" s="468" t="s">
        <v>649</v>
      </c>
      <c r="N75" s="31"/>
      <c r="O75" s="32">
        <v>356.0</v>
      </c>
    </row>
    <row r="76">
      <c r="A76" s="20" t="s">
        <v>690</v>
      </c>
      <c r="B76" s="51"/>
      <c r="C76" s="22">
        <v>1.06E7</v>
      </c>
      <c r="D76" s="26">
        <v>2020.0</v>
      </c>
      <c r="E76" s="26" t="s">
        <v>2219</v>
      </c>
      <c r="F76" s="26" t="s">
        <v>43</v>
      </c>
      <c r="G76" s="26" t="s">
        <v>23</v>
      </c>
      <c r="H76" s="28"/>
      <c r="I76" s="26">
        <v>2.0</v>
      </c>
      <c r="J76" s="27">
        <v>1.06E7</v>
      </c>
      <c r="K76" s="28"/>
      <c r="L76" s="34" t="s">
        <v>571</v>
      </c>
      <c r="M76" s="467" t="s">
        <v>693</v>
      </c>
      <c r="N76" s="31"/>
      <c r="O76" s="32">
        <v>346.0</v>
      </c>
    </row>
    <row r="77">
      <c r="A77" s="20" t="s">
        <v>650</v>
      </c>
      <c r="B77" s="51"/>
      <c r="C77" s="22">
        <v>9000000.0</v>
      </c>
      <c r="D77" s="26">
        <v>2020.0</v>
      </c>
      <c r="E77" s="26" t="s">
        <v>2220</v>
      </c>
      <c r="F77" s="26" t="s">
        <v>22</v>
      </c>
      <c r="G77" s="26" t="s">
        <v>23</v>
      </c>
      <c r="H77" s="28"/>
      <c r="I77" s="26">
        <v>3.0</v>
      </c>
      <c r="J77" s="27">
        <v>9000000.0</v>
      </c>
      <c r="K77" s="28"/>
      <c r="L77" s="34" t="s">
        <v>147</v>
      </c>
      <c r="M77" s="468" t="s">
        <v>653</v>
      </c>
      <c r="N77" s="31"/>
      <c r="O77" s="32">
        <v>355.0</v>
      </c>
    </row>
    <row r="78">
      <c r="A78" s="20" t="s">
        <v>657</v>
      </c>
      <c r="B78" s="51"/>
      <c r="C78" s="22">
        <v>6900000.0</v>
      </c>
      <c r="D78" s="26">
        <v>2020.0</v>
      </c>
      <c r="E78" s="26" t="s">
        <v>2221</v>
      </c>
      <c r="F78" s="26" t="s">
        <v>64</v>
      </c>
      <c r="G78" s="26" t="s">
        <v>659</v>
      </c>
      <c r="H78" s="28"/>
      <c r="I78" s="26">
        <v>4.0</v>
      </c>
      <c r="J78" s="27">
        <v>6900000.0</v>
      </c>
      <c r="K78" s="28"/>
      <c r="L78" s="34" t="s">
        <v>571</v>
      </c>
      <c r="M78" s="468" t="s">
        <v>660</v>
      </c>
      <c r="N78" s="31"/>
      <c r="O78" s="32">
        <v>353.0</v>
      </c>
    </row>
    <row r="79">
      <c r="A79" s="20" t="s">
        <v>685</v>
      </c>
      <c r="B79" s="51"/>
      <c r="C79" s="22">
        <v>6500000.0</v>
      </c>
      <c r="D79" s="26">
        <v>2020.0</v>
      </c>
      <c r="E79" s="26" t="s">
        <v>2222</v>
      </c>
      <c r="F79" s="26" t="s">
        <v>64</v>
      </c>
      <c r="G79" s="26" t="s">
        <v>51</v>
      </c>
      <c r="H79" s="28"/>
      <c r="I79" s="26">
        <v>2.0</v>
      </c>
      <c r="J79" s="27">
        <v>6500000.0</v>
      </c>
      <c r="K79" s="28"/>
      <c r="L79" s="34" t="s">
        <v>688</v>
      </c>
      <c r="M79" s="467" t="s">
        <v>689</v>
      </c>
      <c r="N79" s="31"/>
      <c r="O79" s="32">
        <v>347.0</v>
      </c>
    </row>
    <row r="80">
      <c r="A80" s="20" t="s">
        <v>675</v>
      </c>
      <c r="B80" s="51"/>
      <c r="C80" s="22">
        <v>5200000.0</v>
      </c>
      <c r="D80" s="26">
        <v>2020.0</v>
      </c>
      <c r="E80" s="26" t="s">
        <v>2223</v>
      </c>
      <c r="F80" s="26" t="s">
        <v>43</v>
      </c>
      <c r="G80" s="26" t="s">
        <v>59</v>
      </c>
      <c r="H80" s="28"/>
      <c r="I80" s="26">
        <v>2.0</v>
      </c>
      <c r="J80" s="27">
        <v>5200000.0</v>
      </c>
      <c r="K80" s="28"/>
      <c r="L80" s="34" t="s">
        <v>678</v>
      </c>
      <c r="M80" s="468" t="s">
        <v>679</v>
      </c>
      <c r="N80" s="31"/>
      <c r="O80" s="32">
        <v>349.0</v>
      </c>
    </row>
    <row r="81">
      <c r="A81" s="20" t="s">
        <v>694</v>
      </c>
      <c r="B81" s="51"/>
      <c r="C81" s="22">
        <v>5000000.0</v>
      </c>
      <c r="D81" s="26">
        <v>2020.0</v>
      </c>
      <c r="E81" s="26" t="s">
        <v>2224</v>
      </c>
      <c r="F81" s="26" t="s">
        <v>22</v>
      </c>
      <c r="G81" s="26" t="s">
        <v>51</v>
      </c>
      <c r="H81" s="28"/>
      <c r="I81" s="26">
        <v>2.0</v>
      </c>
      <c r="J81" s="27">
        <v>5000000.0</v>
      </c>
      <c r="K81" s="28"/>
      <c r="L81" s="34" t="s">
        <v>696</v>
      </c>
      <c r="M81" s="467" t="s">
        <v>697</v>
      </c>
      <c r="N81" s="31"/>
      <c r="O81" s="32">
        <v>345.0</v>
      </c>
    </row>
    <row r="82">
      <c r="A82" s="20" t="s">
        <v>800</v>
      </c>
      <c r="B82" s="98" t="s">
        <v>801</v>
      </c>
      <c r="C82" s="22">
        <v>4900000.0</v>
      </c>
      <c r="D82" s="26">
        <v>2019.0</v>
      </c>
      <c r="E82" s="26" t="s">
        <v>2225</v>
      </c>
      <c r="F82" s="26" t="s">
        <v>22</v>
      </c>
      <c r="G82" s="26" t="s">
        <v>23</v>
      </c>
      <c r="H82" s="28"/>
      <c r="I82" s="26">
        <v>2.0</v>
      </c>
      <c r="J82" s="27">
        <v>4900000.0</v>
      </c>
      <c r="K82" s="28"/>
      <c r="L82" s="34" t="s">
        <v>725</v>
      </c>
      <c r="M82" s="467" t="s">
        <v>804</v>
      </c>
      <c r="N82" s="31"/>
      <c r="O82" s="32">
        <v>303.0</v>
      </c>
    </row>
    <row r="83">
      <c r="A83" s="20" t="s">
        <v>1315</v>
      </c>
      <c r="B83" s="111"/>
      <c r="C83" s="22">
        <v>4500000.0</v>
      </c>
      <c r="D83" s="26">
        <v>2015.0</v>
      </c>
      <c r="E83" s="26" t="s">
        <v>2226</v>
      </c>
      <c r="F83" s="26" t="s">
        <v>258</v>
      </c>
      <c r="G83" s="26" t="s">
        <v>23</v>
      </c>
      <c r="H83" s="28"/>
      <c r="I83" s="26">
        <v>4.0</v>
      </c>
      <c r="J83" s="27">
        <v>4500000.0</v>
      </c>
      <c r="K83" s="28"/>
      <c r="L83" s="34" t="s">
        <v>1318</v>
      </c>
      <c r="M83" s="467" t="s">
        <v>1319</v>
      </c>
      <c r="N83" s="31"/>
      <c r="O83" s="32">
        <v>176.0</v>
      </c>
    </row>
    <row r="84">
      <c r="A84" s="20" t="s">
        <v>661</v>
      </c>
      <c r="B84" s="51"/>
      <c r="C84" s="22">
        <v>900000.0</v>
      </c>
      <c r="D84" s="26">
        <v>2020.0</v>
      </c>
      <c r="E84" s="26" t="s">
        <v>2227</v>
      </c>
      <c r="F84" s="26" t="s">
        <v>43</v>
      </c>
      <c r="G84" s="26" t="s">
        <v>51</v>
      </c>
      <c r="H84" s="28"/>
      <c r="I84" s="26">
        <v>1.0</v>
      </c>
      <c r="J84" s="27">
        <v>900000.0</v>
      </c>
      <c r="K84" s="28"/>
      <c r="L84" s="34" t="s">
        <v>664</v>
      </c>
      <c r="M84" s="468" t="s">
        <v>665</v>
      </c>
      <c r="N84" s="31"/>
      <c r="O84" s="32">
        <v>352.0</v>
      </c>
    </row>
    <row r="85">
      <c r="A85" s="20" t="s">
        <v>671</v>
      </c>
      <c r="B85" s="51"/>
      <c r="C85" s="22">
        <v>600000.0</v>
      </c>
      <c r="D85" s="26">
        <v>2020.0</v>
      </c>
      <c r="E85" s="26" t="s">
        <v>2228</v>
      </c>
      <c r="F85" s="26" t="s">
        <v>43</v>
      </c>
      <c r="G85" s="26" t="s">
        <v>23</v>
      </c>
      <c r="H85" s="28"/>
      <c r="I85" s="26">
        <v>1.0</v>
      </c>
      <c r="J85" s="27">
        <v>600000.0</v>
      </c>
      <c r="K85" s="28"/>
      <c r="L85" s="34" t="s">
        <v>475</v>
      </c>
      <c r="M85" s="468" t="s">
        <v>674</v>
      </c>
      <c r="N85" s="31"/>
      <c r="O85" s="32">
        <v>350.0</v>
      </c>
    </row>
    <row r="86">
      <c r="A86" s="20" t="s">
        <v>680</v>
      </c>
      <c r="B86" s="51"/>
      <c r="C86" s="22">
        <v>500000.0</v>
      </c>
      <c r="D86" s="26">
        <v>2020.0</v>
      </c>
      <c r="E86" s="26" t="s">
        <v>2229</v>
      </c>
      <c r="F86" s="26" t="s">
        <v>2163</v>
      </c>
      <c r="G86" s="26" t="s">
        <v>23</v>
      </c>
      <c r="H86" s="28"/>
      <c r="I86" s="26">
        <v>1.0</v>
      </c>
      <c r="J86" s="27">
        <v>500000.0</v>
      </c>
      <c r="K86" s="28"/>
      <c r="L86" s="34" t="s">
        <v>683</v>
      </c>
      <c r="M86" s="415" t="s">
        <v>684</v>
      </c>
      <c r="N86" s="31"/>
      <c r="O86" s="32">
        <v>348.0</v>
      </c>
    </row>
    <row r="87">
      <c r="A87" s="20" t="s">
        <v>631</v>
      </c>
      <c r="B87" s="51"/>
      <c r="C87" s="22">
        <v>300000.0</v>
      </c>
      <c r="D87" s="26">
        <v>2020.0</v>
      </c>
      <c r="E87" s="26" t="s">
        <v>2230</v>
      </c>
      <c r="F87" s="26" t="s">
        <v>236</v>
      </c>
      <c r="G87" s="26" t="s">
        <v>23</v>
      </c>
      <c r="H87" s="28"/>
      <c r="I87" s="26">
        <v>3.0</v>
      </c>
      <c r="J87" s="27">
        <v>300000.0</v>
      </c>
      <c r="K87" s="28"/>
      <c r="L87" s="34" t="s">
        <v>34</v>
      </c>
      <c r="M87" s="468" t="s">
        <v>634</v>
      </c>
      <c r="N87" s="31"/>
      <c r="O87" s="32">
        <v>359.0</v>
      </c>
    </row>
    <row r="88">
      <c r="A88" s="20" t="s">
        <v>639</v>
      </c>
      <c r="B88" s="51"/>
      <c r="C88" s="22">
        <v>387000.0</v>
      </c>
      <c r="D88" s="26">
        <v>2020.0</v>
      </c>
      <c r="E88" s="26" t="s">
        <v>2231</v>
      </c>
      <c r="F88" s="26" t="s">
        <v>64</v>
      </c>
      <c r="G88" s="26" t="s">
        <v>23</v>
      </c>
      <c r="H88" s="28"/>
      <c r="I88" s="26">
        <v>2.0</v>
      </c>
      <c r="J88" s="27">
        <v>287000.0</v>
      </c>
      <c r="K88" s="28"/>
      <c r="L88" s="34" t="s">
        <v>642</v>
      </c>
      <c r="M88" s="468" t="s">
        <v>643</v>
      </c>
      <c r="N88" s="31"/>
      <c r="O88" s="32">
        <v>357.0</v>
      </c>
    </row>
    <row r="89">
      <c r="A89" s="20" t="s">
        <v>979</v>
      </c>
      <c r="B89" s="98" t="s">
        <v>980</v>
      </c>
      <c r="C89" s="22">
        <v>1100.0</v>
      </c>
      <c r="D89" s="26">
        <v>2016.0</v>
      </c>
      <c r="E89" s="26" t="s">
        <v>2232</v>
      </c>
      <c r="F89" s="26" t="s">
        <v>58</v>
      </c>
      <c r="G89" s="26" t="s">
        <v>59</v>
      </c>
      <c r="H89" s="28"/>
      <c r="I89" s="26">
        <v>5.0</v>
      </c>
      <c r="J89" s="27">
        <v>188000.0</v>
      </c>
      <c r="K89" s="28"/>
      <c r="L89" s="34" t="s">
        <v>983</v>
      </c>
      <c r="M89" s="467" t="s">
        <v>984</v>
      </c>
      <c r="N89" s="31"/>
      <c r="O89" s="32">
        <v>259.0</v>
      </c>
    </row>
    <row r="90">
      <c r="A90" s="20" t="s">
        <v>666</v>
      </c>
      <c r="B90" s="51"/>
      <c r="C90" s="22">
        <v>150000.0</v>
      </c>
      <c r="D90" s="26">
        <v>2020.0</v>
      </c>
      <c r="E90" s="26" t="s">
        <v>2233</v>
      </c>
      <c r="F90" s="26" t="s">
        <v>43</v>
      </c>
      <c r="G90" s="26" t="s">
        <v>23</v>
      </c>
      <c r="H90" s="28"/>
      <c r="I90" s="26">
        <v>1.0</v>
      </c>
      <c r="J90" s="27">
        <v>150000.0</v>
      </c>
      <c r="K90" s="28"/>
      <c r="L90" s="34" t="s">
        <v>669</v>
      </c>
      <c r="M90" s="468" t="s">
        <v>670</v>
      </c>
      <c r="N90" s="31"/>
      <c r="O90" s="32">
        <v>351.0</v>
      </c>
    </row>
    <row r="91">
      <c r="A91" s="421" t="s">
        <v>865</v>
      </c>
      <c r="B91" s="422"/>
      <c r="C91" s="423">
        <v>9.2283889E7</v>
      </c>
      <c r="D91" s="422">
        <v>2018.0</v>
      </c>
      <c r="E91" s="422" t="s">
        <v>2234</v>
      </c>
      <c r="F91" s="422" t="s">
        <v>28</v>
      </c>
      <c r="G91" s="419" t="s">
        <v>23</v>
      </c>
      <c r="H91" s="426"/>
      <c r="I91" s="422">
        <v>1.0</v>
      </c>
      <c r="J91" s="57"/>
      <c r="K91" s="123"/>
      <c r="L91" s="26" t="s">
        <v>867</v>
      </c>
      <c r="M91" s="465" t="s">
        <v>868</v>
      </c>
      <c r="N91" s="431"/>
      <c r="O91" s="32">
        <v>287.0</v>
      </c>
    </row>
    <row r="92">
      <c r="A92" s="20" t="s">
        <v>1187</v>
      </c>
      <c r="B92" s="26" t="s">
        <v>1188</v>
      </c>
      <c r="C92" s="22">
        <v>8.52E7</v>
      </c>
      <c r="D92" s="26">
        <v>2016.0</v>
      </c>
      <c r="E92" s="26" t="s">
        <v>2235</v>
      </c>
      <c r="F92" s="26" t="s">
        <v>28</v>
      </c>
      <c r="G92" s="130" t="s">
        <v>23</v>
      </c>
      <c r="H92" s="28"/>
      <c r="I92" s="26">
        <v>1.0</v>
      </c>
      <c r="J92" s="57"/>
      <c r="K92" s="28"/>
      <c r="L92" s="53" t="s">
        <v>571</v>
      </c>
      <c r="M92" s="106" t="s">
        <v>1190</v>
      </c>
      <c r="N92" s="113"/>
      <c r="O92" s="32">
        <v>207.0</v>
      </c>
    </row>
    <row r="93">
      <c r="A93" s="165" t="s">
        <v>1663</v>
      </c>
      <c r="B93" s="28"/>
      <c r="C93" s="22">
        <v>7.7E7</v>
      </c>
      <c r="D93" s="26">
        <v>2011.0</v>
      </c>
      <c r="E93" s="26" t="s">
        <v>2236</v>
      </c>
      <c r="F93" s="130" t="s">
        <v>236</v>
      </c>
      <c r="G93" s="130" t="s">
        <v>23</v>
      </c>
      <c r="H93" s="130" t="s">
        <v>29</v>
      </c>
      <c r="I93" s="130">
        <v>1.0</v>
      </c>
      <c r="J93" s="57"/>
      <c r="K93" s="28"/>
      <c r="L93" s="34" t="s">
        <v>1665</v>
      </c>
      <c r="M93" s="106" t="s">
        <v>1666</v>
      </c>
      <c r="N93" s="113"/>
      <c r="O93" s="32">
        <v>89.0</v>
      </c>
    </row>
    <row r="94">
      <c r="A94" s="165" t="s">
        <v>1777</v>
      </c>
      <c r="B94" s="28"/>
      <c r="C94" s="22">
        <v>7.6E7</v>
      </c>
      <c r="D94" s="26">
        <v>2009.0</v>
      </c>
      <c r="E94" s="26" t="s">
        <v>2237</v>
      </c>
      <c r="F94" s="130" t="s">
        <v>1676</v>
      </c>
      <c r="G94" s="26" t="s">
        <v>1034</v>
      </c>
      <c r="H94" s="130" t="s">
        <v>29</v>
      </c>
      <c r="I94" s="26">
        <v>2.0</v>
      </c>
      <c r="J94" s="57"/>
      <c r="K94" s="28"/>
      <c r="L94" s="105" t="s">
        <v>410</v>
      </c>
      <c r="M94" s="106" t="s">
        <v>1858</v>
      </c>
      <c r="N94" s="113"/>
      <c r="O94" s="32">
        <v>40.0</v>
      </c>
    </row>
    <row r="95">
      <c r="A95" s="165" t="s">
        <v>1526</v>
      </c>
      <c r="B95" s="28"/>
      <c r="C95" s="22">
        <v>7.0E7</v>
      </c>
      <c r="D95" s="26">
        <v>2013.0</v>
      </c>
      <c r="E95" s="26" t="s">
        <v>2238</v>
      </c>
      <c r="F95" s="130" t="s">
        <v>43</v>
      </c>
      <c r="G95" s="130" t="s">
        <v>23</v>
      </c>
      <c r="H95" s="130" t="s">
        <v>29</v>
      </c>
      <c r="I95" s="26">
        <v>3.0</v>
      </c>
      <c r="J95" s="57"/>
      <c r="K95" s="28"/>
      <c r="L95" s="34" t="s">
        <v>1528</v>
      </c>
      <c r="M95" s="106" t="s">
        <v>1529</v>
      </c>
      <c r="N95" s="432"/>
      <c r="O95" s="32">
        <v>122.0</v>
      </c>
    </row>
    <row r="96">
      <c r="A96" s="20" t="s">
        <v>1091</v>
      </c>
      <c r="B96" s="138"/>
      <c r="C96" s="22">
        <v>6.5E7</v>
      </c>
      <c r="D96" s="26">
        <v>2016.0</v>
      </c>
      <c r="E96" s="26" t="s">
        <v>2239</v>
      </c>
      <c r="F96" s="26" t="s">
        <v>28</v>
      </c>
      <c r="G96" s="26" t="s">
        <v>23</v>
      </c>
      <c r="H96" s="28"/>
      <c r="I96" s="26">
        <v>1.0</v>
      </c>
      <c r="J96" s="57"/>
      <c r="K96" s="28"/>
      <c r="L96" s="34" t="s">
        <v>30</v>
      </c>
      <c r="M96" s="106" t="s">
        <v>1093</v>
      </c>
      <c r="N96" s="113"/>
      <c r="O96" s="32">
        <v>231.0</v>
      </c>
    </row>
    <row r="97">
      <c r="A97" s="114" t="s">
        <v>1459</v>
      </c>
      <c r="B97" s="115" t="s">
        <v>1460</v>
      </c>
      <c r="C97" s="22">
        <v>5.8E7</v>
      </c>
      <c r="D97" s="26">
        <v>2013.0</v>
      </c>
      <c r="E97" s="34" t="s">
        <v>2240</v>
      </c>
      <c r="F97" s="115" t="s">
        <v>236</v>
      </c>
      <c r="G97" s="115" t="s">
        <v>23</v>
      </c>
      <c r="H97" s="53"/>
      <c r="I97" s="26">
        <v>2.0</v>
      </c>
      <c r="J97" s="57"/>
      <c r="K97" s="53"/>
      <c r="L97" s="34" t="s">
        <v>905</v>
      </c>
      <c r="M97" s="106" t="s">
        <v>1462</v>
      </c>
      <c r="N97" s="19"/>
      <c r="O97" s="32">
        <v>139.0</v>
      </c>
    </row>
    <row r="98">
      <c r="A98" s="114" t="s">
        <v>1377</v>
      </c>
      <c r="B98" s="53"/>
      <c r="C98" s="22">
        <v>5.6E7</v>
      </c>
      <c r="D98" s="26">
        <v>2014.0</v>
      </c>
      <c r="E98" s="34" t="s">
        <v>2241</v>
      </c>
      <c r="F98" s="115" t="s">
        <v>43</v>
      </c>
      <c r="G98" s="115" t="s">
        <v>23</v>
      </c>
      <c r="H98" s="115" t="s">
        <v>29</v>
      </c>
      <c r="I98" s="26">
        <v>3.0</v>
      </c>
      <c r="J98" s="57"/>
      <c r="K98" s="53"/>
      <c r="L98" s="53" t="s">
        <v>702</v>
      </c>
      <c r="M98" s="116" t="s">
        <v>1379</v>
      </c>
      <c r="N98" s="19"/>
      <c r="O98" s="32">
        <v>160.0</v>
      </c>
    </row>
    <row r="99">
      <c r="A99" s="52" t="s">
        <v>1103</v>
      </c>
      <c r="B99" s="111" t="s">
        <v>1104</v>
      </c>
      <c r="C99" s="22">
        <v>5.5E7</v>
      </c>
      <c r="D99" s="26">
        <v>2016.0</v>
      </c>
      <c r="E99" s="26" t="s">
        <v>2242</v>
      </c>
      <c r="F99" s="26" t="s">
        <v>64</v>
      </c>
      <c r="G99" s="26" t="s">
        <v>23</v>
      </c>
      <c r="H99" s="28"/>
      <c r="I99" s="26">
        <v>5.0</v>
      </c>
      <c r="J99" s="57"/>
      <c r="K99" s="28"/>
      <c r="L99" s="53" t="s">
        <v>1106</v>
      </c>
      <c r="M99" s="106" t="s">
        <v>1107</v>
      </c>
      <c r="N99" s="113"/>
      <c r="O99" s="32">
        <v>228.0</v>
      </c>
    </row>
    <row r="100">
      <c r="A100" s="165" t="s">
        <v>1415</v>
      </c>
      <c r="B100" s="130" t="s">
        <v>1416</v>
      </c>
      <c r="C100" s="22">
        <v>5.0E7</v>
      </c>
      <c r="D100" s="26">
        <v>2013.0</v>
      </c>
      <c r="E100" s="26" t="s">
        <v>2243</v>
      </c>
      <c r="F100" s="130" t="s">
        <v>28</v>
      </c>
      <c r="G100" s="130" t="s">
        <v>23</v>
      </c>
      <c r="H100" s="28"/>
      <c r="I100" s="26">
        <v>1.0</v>
      </c>
      <c r="J100" s="57"/>
      <c r="K100" s="28"/>
      <c r="L100" s="34" t="s">
        <v>1418</v>
      </c>
      <c r="M100" s="116" t="s">
        <v>1419</v>
      </c>
      <c r="N100" s="166" t="s">
        <v>1420</v>
      </c>
      <c r="O100" s="32">
        <v>151.0</v>
      </c>
    </row>
    <row r="101">
      <c r="A101" s="165" t="s">
        <v>1475</v>
      </c>
      <c r="B101" s="130" t="s">
        <v>1476</v>
      </c>
      <c r="C101" s="22">
        <v>5.0E7</v>
      </c>
      <c r="D101" s="26">
        <v>2013.0</v>
      </c>
      <c r="E101" s="26" t="s">
        <v>2244</v>
      </c>
      <c r="F101" s="130" t="s">
        <v>28</v>
      </c>
      <c r="G101" s="130" t="s">
        <v>23</v>
      </c>
      <c r="H101" s="28"/>
      <c r="I101" s="130">
        <v>1.0</v>
      </c>
      <c r="J101" s="57"/>
      <c r="K101" s="28"/>
      <c r="L101" s="105" t="s">
        <v>1478</v>
      </c>
      <c r="M101" s="106" t="s">
        <v>1479</v>
      </c>
      <c r="N101" s="166" t="s">
        <v>1480</v>
      </c>
      <c r="O101" s="32">
        <v>134.0</v>
      </c>
    </row>
    <row r="102">
      <c r="A102" s="20" t="s">
        <v>1116</v>
      </c>
      <c r="B102" s="138"/>
      <c r="C102" s="22">
        <v>4.9611709E7</v>
      </c>
      <c r="D102" s="26">
        <v>2016.0</v>
      </c>
      <c r="E102" s="34" t="s">
        <v>2245</v>
      </c>
      <c r="F102" s="26" t="s">
        <v>64</v>
      </c>
      <c r="G102" s="26" t="s">
        <v>23</v>
      </c>
      <c r="H102" s="28"/>
      <c r="I102" s="26">
        <v>2.0</v>
      </c>
      <c r="J102" s="57"/>
      <c r="K102" s="28"/>
      <c r="L102" s="53" t="s">
        <v>591</v>
      </c>
      <c r="M102" s="106" t="s">
        <v>1118</v>
      </c>
      <c r="N102" s="113"/>
      <c r="O102" s="32">
        <v>225.0</v>
      </c>
    </row>
    <row r="103">
      <c r="A103" s="103" t="s">
        <v>722</v>
      </c>
      <c r="B103" s="420" t="s">
        <v>723</v>
      </c>
      <c r="C103" s="22">
        <v>4.9E7</v>
      </c>
      <c r="D103" s="26">
        <v>2019.0</v>
      </c>
      <c r="E103" s="26" t="s">
        <v>2246</v>
      </c>
      <c r="F103" s="26" t="s">
        <v>38</v>
      </c>
      <c r="G103" s="26" t="s">
        <v>51</v>
      </c>
      <c r="H103" s="26" t="s">
        <v>29</v>
      </c>
      <c r="I103" s="26">
        <v>1.0</v>
      </c>
      <c r="J103" s="27"/>
      <c r="K103" s="28"/>
      <c r="L103" s="105" t="s">
        <v>725</v>
      </c>
      <c r="M103" s="106" t="s">
        <v>726</v>
      </c>
      <c r="N103" s="107"/>
      <c r="O103" s="32">
        <v>337.0</v>
      </c>
    </row>
    <row r="104">
      <c r="A104" s="421" t="s">
        <v>929</v>
      </c>
      <c r="B104" s="422" t="s">
        <v>930</v>
      </c>
      <c r="C104" s="423">
        <v>4.8E7</v>
      </c>
      <c r="D104" s="422">
        <v>2018.0</v>
      </c>
      <c r="E104" s="422" t="s">
        <v>2247</v>
      </c>
      <c r="F104" s="422" t="s">
        <v>28</v>
      </c>
      <c r="G104" s="422" t="s">
        <v>51</v>
      </c>
      <c r="H104" s="426"/>
      <c r="I104" s="422">
        <v>2.0</v>
      </c>
      <c r="J104" s="57"/>
      <c r="K104" s="110"/>
      <c r="L104" s="26" t="s">
        <v>932</v>
      </c>
      <c r="M104" s="465" t="s">
        <v>933</v>
      </c>
      <c r="N104" s="431"/>
      <c r="O104" s="32">
        <v>272.0</v>
      </c>
    </row>
    <row r="105">
      <c r="A105" s="20" t="s">
        <v>1060</v>
      </c>
      <c r="B105" s="26"/>
      <c r="C105" s="22">
        <v>4.62E7</v>
      </c>
      <c r="D105" s="150">
        <v>2017.0</v>
      </c>
      <c r="E105" s="26" t="s">
        <v>2248</v>
      </c>
      <c r="F105" s="26" t="s">
        <v>129</v>
      </c>
      <c r="G105" s="26" t="s">
        <v>23</v>
      </c>
      <c r="H105" s="28"/>
      <c r="I105" s="26">
        <v>4.0</v>
      </c>
      <c r="J105" s="57"/>
      <c r="K105" s="110"/>
      <c r="L105" s="26" t="s">
        <v>1062</v>
      </c>
      <c r="M105" s="106" t="s">
        <v>1063</v>
      </c>
      <c r="N105" s="113"/>
      <c r="O105" s="32">
        <v>238.0</v>
      </c>
    </row>
    <row r="106">
      <c r="A106" s="442" t="s">
        <v>976</v>
      </c>
      <c r="B106" s="445"/>
      <c r="C106" s="444">
        <v>4.5E7</v>
      </c>
      <c r="D106" s="445">
        <v>2018.0</v>
      </c>
      <c r="E106" s="445" t="s">
        <v>2249</v>
      </c>
      <c r="F106" s="445" t="s">
        <v>43</v>
      </c>
      <c r="G106" s="445" t="s">
        <v>23</v>
      </c>
      <c r="H106" s="445" t="s">
        <v>29</v>
      </c>
      <c r="I106" s="445">
        <v>3.0</v>
      </c>
      <c r="J106" s="454"/>
      <c r="K106" s="452"/>
      <c r="L106" s="445" t="s">
        <v>880</v>
      </c>
      <c r="M106" s="469" t="s">
        <v>978</v>
      </c>
      <c r="N106" s="453"/>
      <c r="O106" s="32">
        <v>260.0</v>
      </c>
    </row>
    <row r="107">
      <c r="A107" s="44" t="s">
        <v>1592</v>
      </c>
      <c r="B107" s="26" t="s">
        <v>1593</v>
      </c>
      <c r="C107" s="22">
        <v>4.35E7</v>
      </c>
      <c r="D107" s="26">
        <v>2012.0</v>
      </c>
      <c r="E107" s="26" t="s">
        <v>2250</v>
      </c>
      <c r="F107" s="26" t="s">
        <v>28</v>
      </c>
      <c r="G107" s="26" t="s">
        <v>23</v>
      </c>
      <c r="H107" s="28"/>
      <c r="I107" s="26">
        <v>1.0</v>
      </c>
      <c r="J107" s="57"/>
      <c r="K107" s="28"/>
      <c r="L107" s="53" t="s">
        <v>608</v>
      </c>
      <c r="M107" s="106" t="s">
        <v>1595</v>
      </c>
      <c r="N107" s="106" t="s">
        <v>1596</v>
      </c>
      <c r="O107" s="32">
        <v>106.0</v>
      </c>
    </row>
    <row r="108">
      <c r="A108" s="20" t="s">
        <v>1191</v>
      </c>
      <c r="B108" s="26"/>
      <c r="C108" s="22">
        <v>4.3E7</v>
      </c>
      <c r="D108" s="26">
        <v>2016.0</v>
      </c>
      <c r="E108" s="26" t="s">
        <v>2251</v>
      </c>
      <c r="F108" s="26" t="s">
        <v>28</v>
      </c>
      <c r="G108" s="26" t="s">
        <v>23</v>
      </c>
      <c r="H108" s="28"/>
      <c r="I108" s="26">
        <v>4.0</v>
      </c>
      <c r="J108" s="57"/>
      <c r="K108" s="28"/>
      <c r="L108" s="53" t="s">
        <v>34</v>
      </c>
      <c r="M108" s="106" t="s">
        <v>1193</v>
      </c>
      <c r="N108" s="113"/>
      <c r="O108" s="32">
        <v>206.0</v>
      </c>
    </row>
    <row r="109">
      <c r="A109" s="20" t="s">
        <v>1166</v>
      </c>
      <c r="B109" s="26" t="s">
        <v>1167</v>
      </c>
      <c r="C109" s="22">
        <v>4.0E7</v>
      </c>
      <c r="D109" s="26">
        <v>2016.0</v>
      </c>
      <c r="E109" s="26" t="s">
        <v>2252</v>
      </c>
      <c r="F109" s="26" t="s">
        <v>28</v>
      </c>
      <c r="G109" s="26" t="s">
        <v>23</v>
      </c>
      <c r="H109" s="28"/>
      <c r="I109" s="26">
        <v>4.0</v>
      </c>
      <c r="J109" s="57"/>
      <c r="K109" s="28"/>
      <c r="L109" s="34" t="s">
        <v>1169</v>
      </c>
      <c r="M109" s="146" t="s">
        <v>1170</v>
      </c>
      <c r="N109" s="113"/>
      <c r="O109" s="32">
        <v>212.0</v>
      </c>
    </row>
    <row r="110">
      <c r="A110" s="165" t="s">
        <v>1403</v>
      </c>
      <c r="B110" s="130" t="s">
        <v>1404</v>
      </c>
      <c r="C110" s="22">
        <v>4.0E7</v>
      </c>
      <c r="D110" s="26">
        <v>2013.0</v>
      </c>
      <c r="E110" s="111" t="s">
        <v>2253</v>
      </c>
      <c r="F110" s="130" t="s">
        <v>28</v>
      </c>
      <c r="G110" s="130" t="s">
        <v>23</v>
      </c>
      <c r="H110" s="28"/>
      <c r="I110" s="130">
        <v>1.0</v>
      </c>
      <c r="J110" s="57"/>
      <c r="K110" s="28"/>
      <c r="L110" s="105" t="s">
        <v>1406</v>
      </c>
      <c r="M110" s="166" t="s">
        <v>1407</v>
      </c>
      <c r="N110" s="106" t="s">
        <v>1408</v>
      </c>
      <c r="O110" s="32">
        <v>153.0</v>
      </c>
    </row>
    <row r="111">
      <c r="A111" s="165" t="s">
        <v>1997</v>
      </c>
      <c r="B111" s="130" t="s">
        <v>1998</v>
      </c>
      <c r="C111" s="22">
        <v>4.0E7</v>
      </c>
      <c r="D111" s="26">
        <v>2005.0</v>
      </c>
      <c r="E111" s="26" t="s">
        <v>2254</v>
      </c>
      <c r="F111" s="26" t="s">
        <v>58</v>
      </c>
      <c r="G111" s="130" t="s">
        <v>23</v>
      </c>
      <c r="H111" s="130" t="s">
        <v>29</v>
      </c>
      <c r="I111" s="26">
        <v>3.0</v>
      </c>
      <c r="J111" s="57"/>
      <c r="K111" s="28"/>
      <c r="L111" s="34" t="s">
        <v>410</v>
      </c>
      <c r="M111" s="106" t="s">
        <v>2000</v>
      </c>
      <c r="N111" s="113"/>
      <c r="O111" s="32">
        <v>3.0</v>
      </c>
    </row>
    <row r="112">
      <c r="A112" s="433" t="s">
        <v>857</v>
      </c>
      <c r="B112" s="430"/>
      <c r="C112" s="434">
        <v>3.7E7</v>
      </c>
      <c r="D112" s="422">
        <v>2018.0</v>
      </c>
      <c r="E112" s="425" t="s">
        <v>2255</v>
      </c>
      <c r="F112" s="430" t="s">
        <v>43</v>
      </c>
      <c r="G112" s="430" t="s">
        <v>51</v>
      </c>
      <c r="H112" s="435"/>
      <c r="I112" s="422">
        <v>2.0</v>
      </c>
      <c r="J112" s="57"/>
      <c r="K112" s="120"/>
      <c r="L112" s="112" t="s">
        <v>859</v>
      </c>
      <c r="M112" s="436" t="s">
        <v>860</v>
      </c>
      <c r="N112" s="437" t="s">
        <v>861</v>
      </c>
      <c r="O112" s="32">
        <v>289.0</v>
      </c>
    </row>
    <row r="113">
      <c r="A113" s="159" t="s">
        <v>1258</v>
      </c>
      <c r="B113" s="115" t="s">
        <v>1259</v>
      </c>
      <c r="C113" s="22">
        <v>3.7E7</v>
      </c>
      <c r="D113" s="26">
        <v>2015.0</v>
      </c>
      <c r="E113" s="34" t="s">
        <v>2256</v>
      </c>
      <c r="F113" s="115" t="s">
        <v>28</v>
      </c>
      <c r="G113" s="115" t="s">
        <v>23</v>
      </c>
      <c r="H113" s="53"/>
      <c r="I113" s="26">
        <v>1.0</v>
      </c>
      <c r="J113" s="57"/>
      <c r="K113" s="53"/>
      <c r="L113" s="53" t="s">
        <v>702</v>
      </c>
      <c r="M113" s="160" t="s">
        <v>1261</v>
      </c>
      <c r="N113" s="19"/>
      <c r="O113" s="32">
        <v>190.0</v>
      </c>
    </row>
    <row r="114">
      <c r="A114" s="165" t="s">
        <v>1742</v>
      </c>
      <c r="B114" s="419" t="s">
        <v>1743</v>
      </c>
      <c r="C114" s="22">
        <v>3.5E7</v>
      </c>
      <c r="D114" s="26">
        <v>2011.0</v>
      </c>
      <c r="E114" s="26" t="s">
        <v>2257</v>
      </c>
      <c r="F114" s="130" t="s">
        <v>28</v>
      </c>
      <c r="G114" s="130" t="s">
        <v>23</v>
      </c>
      <c r="H114" s="28"/>
      <c r="I114" s="26">
        <v>3.0</v>
      </c>
      <c r="J114" s="57"/>
      <c r="K114" s="28"/>
      <c r="L114" s="53" t="s">
        <v>1745</v>
      </c>
      <c r="M114" s="106" t="s">
        <v>1746</v>
      </c>
      <c r="N114" s="113"/>
      <c r="O114" s="32">
        <v>67.0</v>
      </c>
    </row>
    <row r="115">
      <c r="A115" s="421" t="s">
        <v>960</v>
      </c>
      <c r="B115" s="422"/>
      <c r="C115" s="423">
        <v>3.2E7</v>
      </c>
      <c r="D115" s="422">
        <v>2018.0</v>
      </c>
      <c r="E115" s="422" t="s">
        <v>2258</v>
      </c>
      <c r="F115" s="422" t="s">
        <v>129</v>
      </c>
      <c r="G115" s="419" t="s">
        <v>51</v>
      </c>
      <c r="H115" s="426"/>
      <c r="I115" s="422">
        <v>1.0</v>
      </c>
      <c r="J115" s="429"/>
      <c r="K115" s="110"/>
      <c r="L115" s="26" t="s">
        <v>85</v>
      </c>
      <c r="M115" s="465" t="s">
        <v>962</v>
      </c>
      <c r="N115" s="431"/>
      <c r="O115" s="32">
        <v>264.0</v>
      </c>
    </row>
    <row r="116">
      <c r="A116" s="20" t="s">
        <v>996</v>
      </c>
      <c r="B116" s="26"/>
      <c r="C116" s="22">
        <v>3.2E7</v>
      </c>
      <c r="D116" s="26">
        <v>2017.0</v>
      </c>
      <c r="E116" s="26" t="s">
        <v>2259</v>
      </c>
      <c r="F116" s="26" t="s">
        <v>28</v>
      </c>
      <c r="G116" s="26" t="s">
        <v>23</v>
      </c>
      <c r="H116" s="28"/>
      <c r="I116" s="26">
        <v>4.0</v>
      </c>
      <c r="J116" s="57"/>
      <c r="K116" s="28"/>
      <c r="L116" s="53" t="s">
        <v>998</v>
      </c>
      <c r="M116" s="106" t="s">
        <v>999</v>
      </c>
      <c r="N116" s="113"/>
      <c r="O116" s="32">
        <v>255.0</v>
      </c>
    </row>
    <row r="117">
      <c r="A117" s="165" t="s">
        <v>1831</v>
      </c>
      <c r="B117" s="130" t="s">
        <v>1832</v>
      </c>
      <c r="C117" s="22">
        <v>3.2E7</v>
      </c>
      <c r="D117" s="26">
        <v>2009.0</v>
      </c>
      <c r="E117" s="26" t="s">
        <v>2260</v>
      </c>
      <c r="F117" s="130" t="s">
        <v>1834</v>
      </c>
      <c r="G117" s="130" t="s">
        <v>23</v>
      </c>
      <c r="H117" s="130" t="s">
        <v>29</v>
      </c>
      <c r="I117" s="26">
        <v>1.0</v>
      </c>
      <c r="J117" s="57"/>
      <c r="K117" s="28"/>
      <c r="L117" s="120" t="s">
        <v>34</v>
      </c>
      <c r="M117" s="106" t="s">
        <v>1835</v>
      </c>
      <c r="N117" s="113"/>
      <c r="O117" s="32">
        <v>46.0</v>
      </c>
    </row>
    <row r="118">
      <c r="A118" s="20" t="s">
        <v>1017</v>
      </c>
      <c r="B118" s="26"/>
      <c r="C118" s="22">
        <v>3.1E7</v>
      </c>
      <c r="D118" s="150">
        <v>2017.0</v>
      </c>
      <c r="E118" s="26" t="s">
        <v>2261</v>
      </c>
      <c r="F118" s="26" t="s">
        <v>2163</v>
      </c>
      <c r="G118" s="127" t="s">
        <v>51</v>
      </c>
      <c r="H118" s="28"/>
      <c r="I118" s="26">
        <v>4.0</v>
      </c>
      <c r="J118" s="57"/>
      <c r="K118" s="110"/>
      <c r="L118" s="26" t="s">
        <v>571</v>
      </c>
      <c r="M118" s="106" t="s">
        <v>1019</v>
      </c>
      <c r="N118" s="113"/>
      <c r="O118" s="32">
        <v>249.0</v>
      </c>
    </row>
    <row r="119">
      <c r="A119" s="421" t="s">
        <v>588</v>
      </c>
      <c r="B119" s="422"/>
      <c r="C119" s="423">
        <v>2.9E7</v>
      </c>
      <c r="D119" s="422">
        <v>2018.0</v>
      </c>
      <c r="E119" s="422" t="s">
        <v>2262</v>
      </c>
      <c r="F119" s="422" t="s">
        <v>28</v>
      </c>
      <c r="G119" s="422" t="s">
        <v>23</v>
      </c>
      <c r="H119" s="426"/>
      <c r="I119" s="422">
        <v>2.0</v>
      </c>
      <c r="J119" s="57"/>
      <c r="K119" s="110"/>
      <c r="L119" s="26" t="s">
        <v>973</v>
      </c>
      <c r="M119" s="465" t="s">
        <v>974</v>
      </c>
      <c r="N119" s="465" t="s">
        <v>975</v>
      </c>
      <c r="O119" s="32">
        <v>261.0</v>
      </c>
    </row>
    <row r="120">
      <c r="A120" s="20" t="s">
        <v>792</v>
      </c>
      <c r="B120" s="111" t="s">
        <v>793</v>
      </c>
      <c r="C120" s="22">
        <v>2.78E7</v>
      </c>
      <c r="D120" s="26">
        <v>2019.0</v>
      </c>
      <c r="E120" s="26" t="s">
        <v>2263</v>
      </c>
      <c r="F120" s="26" t="s">
        <v>50</v>
      </c>
      <c r="G120" s="26" t="s">
        <v>51</v>
      </c>
      <c r="H120" s="28"/>
      <c r="I120" s="26">
        <v>5.0</v>
      </c>
      <c r="J120" s="27"/>
      <c r="K120" s="28"/>
      <c r="L120" s="34" t="s">
        <v>507</v>
      </c>
      <c r="M120" s="467" t="s">
        <v>795</v>
      </c>
      <c r="N120" s="31"/>
      <c r="O120" s="32">
        <v>305.0</v>
      </c>
    </row>
    <row r="121">
      <c r="A121" s="421" t="s">
        <v>942</v>
      </c>
      <c r="B121" s="422"/>
      <c r="C121" s="423">
        <v>2.7E7</v>
      </c>
      <c r="D121" s="422">
        <v>2018.0</v>
      </c>
      <c r="E121" s="422" t="s">
        <v>2264</v>
      </c>
      <c r="F121" s="422" t="s">
        <v>28</v>
      </c>
      <c r="G121" s="422" t="s">
        <v>23</v>
      </c>
      <c r="H121" s="426"/>
      <c r="I121" s="422">
        <v>2.0</v>
      </c>
      <c r="J121" s="57"/>
      <c r="K121" s="110"/>
      <c r="L121" s="26" t="s">
        <v>314</v>
      </c>
      <c r="M121" s="465" t="s">
        <v>944</v>
      </c>
      <c r="N121" s="431"/>
      <c r="O121" s="32">
        <v>269.0</v>
      </c>
    </row>
    <row r="122">
      <c r="A122" s="165" t="s">
        <v>1973</v>
      </c>
      <c r="B122" s="28"/>
      <c r="C122" s="22">
        <v>2.65E7</v>
      </c>
      <c r="D122" s="26">
        <v>2006.0</v>
      </c>
      <c r="E122" s="26" t="s">
        <v>2265</v>
      </c>
      <c r="F122" s="130" t="s">
        <v>1975</v>
      </c>
      <c r="G122" s="26" t="s">
        <v>1034</v>
      </c>
      <c r="H122" s="28"/>
      <c r="I122" s="26">
        <v>2.0</v>
      </c>
      <c r="J122" s="57"/>
      <c r="K122" s="28"/>
      <c r="L122" s="105" t="s">
        <v>1976</v>
      </c>
      <c r="M122" s="106" t="s">
        <v>1977</v>
      </c>
      <c r="N122" s="106" t="s">
        <v>1978</v>
      </c>
      <c r="O122" s="32">
        <v>9.0</v>
      </c>
    </row>
    <row r="123">
      <c r="A123" s="20" t="s">
        <v>1123</v>
      </c>
      <c r="B123" s="26" t="s">
        <v>1124</v>
      </c>
      <c r="C123" s="22">
        <v>2.5E7</v>
      </c>
      <c r="D123" s="26">
        <v>2016.0</v>
      </c>
      <c r="E123" s="26" t="s">
        <v>2266</v>
      </c>
      <c r="F123" s="26" t="s">
        <v>28</v>
      </c>
      <c r="G123" s="26" t="s">
        <v>23</v>
      </c>
      <c r="H123" s="28"/>
      <c r="I123" s="26">
        <v>2.0</v>
      </c>
      <c r="J123" s="57"/>
      <c r="K123" s="28"/>
      <c r="L123" s="53" t="s">
        <v>608</v>
      </c>
      <c r="M123" s="106" t="s">
        <v>1126</v>
      </c>
      <c r="N123" s="113"/>
      <c r="O123" s="32">
        <v>223.0</v>
      </c>
    </row>
    <row r="124">
      <c r="A124" s="165" t="s">
        <v>1960</v>
      </c>
      <c r="B124" s="130" t="s">
        <v>1961</v>
      </c>
      <c r="C124" s="22">
        <v>2.5E7</v>
      </c>
      <c r="D124" s="26">
        <v>2007.0</v>
      </c>
      <c r="E124" s="26" t="s">
        <v>2267</v>
      </c>
      <c r="F124" s="130" t="s">
        <v>64</v>
      </c>
      <c r="G124" s="26" t="s">
        <v>1034</v>
      </c>
      <c r="H124" s="28"/>
      <c r="I124" s="130">
        <v>1.0</v>
      </c>
      <c r="J124" s="57"/>
      <c r="K124" s="28"/>
      <c r="L124" s="53" t="s">
        <v>905</v>
      </c>
      <c r="M124" s="106" t="s">
        <v>1963</v>
      </c>
      <c r="N124" s="113"/>
      <c r="O124" s="32">
        <v>12.0</v>
      </c>
    </row>
    <row r="125">
      <c r="A125" s="165" t="s">
        <v>1728</v>
      </c>
      <c r="B125" s="28"/>
      <c r="C125" s="22">
        <v>2.46E7</v>
      </c>
      <c r="D125" s="26">
        <v>2011.0</v>
      </c>
      <c r="E125" s="26" t="s">
        <v>2268</v>
      </c>
      <c r="F125" s="130" t="s">
        <v>236</v>
      </c>
      <c r="G125" s="130" t="s">
        <v>23</v>
      </c>
      <c r="H125" s="28"/>
      <c r="I125" s="26">
        <v>3.0</v>
      </c>
      <c r="J125" s="57"/>
      <c r="K125" s="28"/>
      <c r="L125" s="34" t="s">
        <v>1224</v>
      </c>
      <c r="M125" s="106" t="s">
        <v>1730</v>
      </c>
      <c r="N125" s="113"/>
      <c r="O125" s="32">
        <v>71.0</v>
      </c>
    </row>
    <row r="126">
      <c r="A126" s="165" t="s">
        <v>1576</v>
      </c>
      <c r="B126" s="28"/>
      <c r="C126" s="22">
        <v>2.4E7</v>
      </c>
      <c r="D126" s="26">
        <v>2012.0</v>
      </c>
      <c r="E126" s="111" t="s">
        <v>2269</v>
      </c>
      <c r="F126" s="130" t="s">
        <v>28</v>
      </c>
      <c r="G126" s="130" t="s">
        <v>23</v>
      </c>
      <c r="H126" s="28"/>
      <c r="I126" s="26">
        <v>2.0</v>
      </c>
      <c r="J126" s="57"/>
      <c r="K126" s="28"/>
      <c r="L126" s="53" t="s">
        <v>278</v>
      </c>
      <c r="M126" s="106" t="s">
        <v>1578</v>
      </c>
      <c r="N126" s="113"/>
      <c r="O126" s="32">
        <v>110.0</v>
      </c>
    </row>
    <row r="127">
      <c r="A127" s="165" t="s">
        <v>1485</v>
      </c>
      <c r="B127" s="28"/>
      <c r="C127" s="22">
        <v>2.2E7</v>
      </c>
      <c r="D127" s="26">
        <v>2013.0</v>
      </c>
      <c r="E127" s="26" t="s">
        <v>2270</v>
      </c>
      <c r="F127" s="130" t="s">
        <v>1227</v>
      </c>
      <c r="G127" s="130" t="s">
        <v>23</v>
      </c>
      <c r="H127" s="28"/>
      <c r="I127" s="130">
        <v>1.0</v>
      </c>
      <c r="J127" s="57"/>
      <c r="K127" s="28"/>
      <c r="L127" s="53" t="s">
        <v>286</v>
      </c>
      <c r="M127" s="106" t="s">
        <v>1487</v>
      </c>
      <c r="N127" s="113"/>
      <c r="O127" s="32">
        <v>132.0</v>
      </c>
    </row>
    <row r="128">
      <c r="A128" s="114" t="s">
        <v>1262</v>
      </c>
      <c r="B128" s="53"/>
      <c r="C128" s="22">
        <v>2.15E7</v>
      </c>
      <c r="D128" s="26">
        <v>2015.0</v>
      </c>
      <c r="E128" s="34" t="s">
        <v>2271</v>
      </c>
      <c r="F128" s="115" t="s">
        <v>64</v>
      </c>
      <c r="G128" s="115" t="s">
        <v>23</v>
      </c>
      <c r="H128" s="53"/>
      <c r="I128" s="26">
        <v>5.0</v>
      </c>
      <c r="J128" s="57"/>
      <c r="K128" s="53"/>
      <c r="L128" s="53" t="s">
        <v>905</v>
      </c>
      <c r="M128" s="160" t="s">
        <v>1264</v>
      </c>
      <c r="N128" s="116" t="s">
        <v>1265</v>
      </c>
      <c r="O128" s="32">
        <v>189.0</v>
      </c>
    </row>
    <row r="129">
      <c r="A129" s="103" t="s">
        <v>712</v>
      </c>
      <c r="B129" s="420"/>
      <c r="C129" s="22">
        <v>2.0E7</v>
      </c>
      <c r="D129" s="26">
        <v>2019.0</v>
      </c>
      <c r="E129" s="26" t="s">
        <v>2272</v>
      </c>
      <c r="F129" s="26" t="s">
        <v>258</v>
      </c>
      <c r="G129" s="26" t="s">
        <v>51</v>
      </c>
      <c r="H129" s="26"/>
      <c r="I129" s="26">
        <v>4.0</v>
      </c>
      <c r="J129" s="27"/>
      <c r="K129" s="28"/>
      <c r="L129" s="105" t="s">
        <v>571</v>
      </c>
      <c r="M129" s="106" t="s">
        <v>714</v>
      </c>
      <c r="N129" s="107"/>
      <c r="O129" s="32">
        <v>341.0</v>
      </c>
    </row>
    <row r="130">
      <c r="A130" s="114" t="s">
        <v>1380</v>
      </c>
      <c r="B130" s="53"/>
      <c r="C130" s="22">
        <v>2.0E7</v>
      </c>
      <c r="D130" s="26">
        <v>2014.0</v>
      </c>
      <c r="E130" s="34" t="s">
        <v>2273</v>
      </c>
      <c r="F130" s="26" t="s">
        <v>58</v>
      </c>
      <c r="G130" s="115" t="s">
        <v>59</v>
      </c>
      <c r="H130" s="53"/>
      <c r="I130" s="26">
        <v>5.0</v>
      </c>
      <c r="J130" s="57"/>
      <c r="K130" s="53"/>
      <c r="L130" s="53" t="s">
        <v>1382</v>
      </c>
      <c r="M130" s="116" t="s">
        <v>1383</v>
      </c>
      <c r="N130" s="19"/>
      <c r="O130" s="32">
        <v>159.0</v>
      </c>
    </row>
    <row r="131">
      <c r="A131" s="165" t="s">
        <v>1324</v>
      </c>
      <c r="B131" s="111" t="s">
        <v>1970</v>
      </c>
      <c r="C131" s="22">
        <v>2.0E7</v>
      </c>
      <c r="D131" s="26">
        <v>2006.0</v>
      </c>
      <c r="E131" s="26" t="s">
        <v>2274</v>
      </c>
      <c r="F131" s="130" t="s">
        <v>28</v>
      </c>
      <c r="G131" s="419" t="s">
        <v>142</v>
      </c>
      <c r="H131" s="130" t="s">
        <v>29</v>
      </c>
      <c r="I131" s="130">
        <v>1.0</v>
      </c>
      <c r="J131" s="57"/>
      <c r="K131" s="28"/>
      <c r="L131" s="120" t="s">
        <v>34</v>
      </c>
      <c r="M131" s="106" t="s">
        <v>1972</v>
      </c>
      <c r="N131" s="113"/>
      <c r="O131" s="32">
        <v>10.0</v>
      </c>
    </row>
    <row r="132">
      <c r="A132" s="159" t="s">
        <v>1888</v>
      </c>
      <c r="B132" s="115" t="s">
        <v>1889</v>
      </c>
      <c r="C132" s="22">
        <v>1.8E7</v>
      </c>
      <c r="D132" s="26">
        <v>2008.0</v>
      </c>
      <c r="E132" s="34" t="s">
        <v>2275</v>
      </c>
      <c r="F132" s="115" t="s">
        <v>28</v>
      </c>
      <c r="G132" s="115" t="s">
        <v>23</v>
      </c>
      <c r="H132" s="53"/>
      <c r="I132" s="26">
        <v>3.0</v>
      </c>
      <c r="J132" s="57"/>
      <c r="K132" s="53"/>
      <c r="L132" s="34" t="s">
        <v>1826</v>
      </c>
      <c r="M132" s="135" t="s">
        <v>1891</v>
      </c>
      <c r="N132" s="19"/>
      <c r="O132" s="32">
        <v>32.0</v>
      </c>
    </row>
    <row r="133">
      <c r="A133" s="131" t="s">
        <v>989</v>
      </c>
      <c r="B133" s="132"/>
      <c r="C133" s="133">
        <v>1.75E7</v>
      </c>
      <c r="D133" s="26">
        <v>2017.0</v>
      </c>
      <c r="E133" s="105" t="s">
        <v>2276</v>
      </c>
      <c r="F133" s="120" t="s">
        <v>28</v>
      </c>
      <c r="G133" s="120" t="s">
        <v>23</v>
      </c>
      <c r="H133" s="120"/>
      <c r="I133" s="150">
        <v>4.0</v>
      </c>
      <c r="J133" s="57"/>
      <c r="K133" s="120"/>
      <c r="L133" s="120" t="s">
        <v>608</v>
      </c>
      <c r="M133" s="122" t="s">
        <v>991</v>
      </c>
      <c r="N133" s="117"/>
      <c r="O133" s="32">
        <v>257.0</v>
      </c>
    </row>
    <row r="134">
      <c r="A134" s="20" t="s">
        <v>1049</v>
      </c>
      <c r="B134" s="26" t="s">
        <v>1050</v>
      </c>
      <c r="C134" s="22">
        <v>1.7E7</v>
      </c>
      <c r="D134" s="26">
        <v>2017.0</v>
      </c>
      <c r="E134" s="26" t="s">
        <v>2277</v>
      </c>
      <c r="F134" s="26" t="s">
        <v>28</v>
      </c>
      <c r="G134" s="26" t="s">
        <v>23</v>
      </c>
      <c r="H134" s="28"/>
      <c r="I134" s="26">
        <v>4.0</v>
      </c>
      <c r="J134" s="57"/>
      <c r="K134" s="28"/>
      <c r="L134" s="53" t="s">
        <v>1052</v>
      </c>
      <c r="M134" s="106" t="s">
        <v>1053</v>
      </c>
      <c r="N134" s="113"/>
      <c r="O134" s="32">
        <v>241.0</v>
      </c>
    </row>
    <row r="135">
      <c r="A135" s="165" t="s">
        <v>1922</v>
      </c>
      <c r="B135" s="28"/>
      <c r="C135" s="22">
        <v>1.7E7</v>
      </c>
      <c r="D135" s="26">
        <v>2008.0</v>
      </c>
      <c r="E135" s="26" t="s">
        <v>2278</v>
      </c>
      <c r="F135" s="130" t="s">
        <v>129</v>
      </c>
      <c r="G135" s="26" t="s">
        <v>1034</v>
      </c>
      <c r="H135" s="28"/>
      <c r="I135" s="130">
        <v>1.0</v>
      </c>
      <c r="J135" s="57"/>
      <c r="K135" s="28"/>
      <c r="L135" s="34" t="s">
        <v>1643</v>
      </c>
      <c r="M135" s="106" t="s">
        <v>1924</v>
      </c>
      <c r="N135" s="109"/>
      <c r="O135" s="32">
        <v>23.0</v>
      </c>
    </row>
    <row r="136">
      <c r="A136" s="144" t="s">
        <v>1182</v>
      </c>
      <c r="B136" s="138" t="s">
        <v>1183</v>
      </c>
      <c r="C136" s="119">
        <v>1.5E7</v>
      </c>
      <c r="D136" s="26">
        <v>2016.0</v>
      </c>
      <c r="E136" s="50" t="s">
        <v>2279</v>
      </c>
      <c r="F136" s="26" t="s">
        <v>2163</v>
      </c>
      <c r="G136" s="28" t="s">
        <v>23</v>
      </c>
      <c r="H136" s="53"/>
      <c r="I136" s="28">
        <v>1.0</v>
      </c>
      <c r="J136" s="57"/>
      <c r="K136" s="53"/>
      <c r="L136" s="53" t="s">
        <v>1185</v>
      </c>
      <c r="M136" s="153" t="s">
        <v>1186</v>
      </c>
      <c r="N136" s="117"/>
      <c r="O136" s="32">
        <v>208.0</v>
      </c>
    </row>
    <row r="137">
      <c r="A137" s="52" t="s">
        <v>1296</v>
      </c>
      <c r="B137" s="115"/>
      <c r="C137" s="22">
        <v>1.5E7</v>
      </c>
      <c r="D137" s="26">
        <v>2015.0</v>
      </c>
      <c r="E137" s="34" t="s">
        <v>2280</v>
      </c>
      <c r="F137" s="34" t="s">
        <v>129</v>
      </c>
      <c r="G137" s="115" t="s">
        <v>23</v>
      </c>
      <c r="H137" s="53"/>
      <c r="I137" s="26">
        <v>3.0</v>
      </c>
      <c r="J137" s="57"/>
      <c r="K137" s="53"/>
      <c r="L137" s="53" t="s">
        <v>286</v>
      </c>
      <c r="M137" s="146" t="s">
        <v>1298</v>
      </c>
      <c r="N137" s="19"/>
      <c r="O137" s="32">
        <v>181.0</v>
      </c>
    </row>
    <row r="138">
      <c r="A138" s="421" t="s">
        <v>878</v>
      </c>
      <c r="B138" s="422"/>
      <c r="C138" s="423">
        <v>1.48E7</v>
      </c>
      <c r="D138" s="422">
        <v>2018.0</v>
      </c>
      <c r="E138" s="422" t="s">
        <v>2281</v>
      </c>
      <c r="F138" s="422" t="s">
        <v>28</v>
      </c>
      <c r="G138" s="422" t="s">
        <v>51</v>
      </c>
      <c r="H138" s="426"/>
      <c r="I138" s="422">
        <v>2.0</v>
      </c>
      <c r="J138" s="57"/>
      <c r="K138" s="110"/>
      <c r="L138" s="26" t="s">
        <v>880</v>
      </c>
      <c r="M138" s="465" t="s">
        <v>881</v>
      </c>
      <c r="N138" s="431"/>
      <c r="O138" s="32">
        <v>284.0</v>
      </c>
    </row>
    <row r="139">
      <c r="A139" s="421" t="s">
        <v>873</v>
      </c>
      <c r="B139" s="422" t="s">
        <v>874</v>
      </c>
      <c r="C139" s="423">
        <v>1.4E7</v>
      </c>
      <c r="D139" s="422">
        <v>2018.0</v>
      </c>
      <c r="E139" s="422" t="s">
        <v>2282</v>
      </c>
      <c r="F139" s="422" t="s">
        <v>2163</v>
      </c>
      <c r="G139" s="422" t="s">
        <v>23</v>
      </c>
      <c r="H139" s="426"/>
      <c r="I139" s="422">
        <v>2.0</v>
      </c>
      <c r="J139" s="57"/>
      <c r="K139" s="110"/>
      <c r="L139" s="26" t="s">
        <v>876</v>
      </c>
      <c r="M139" s="465" t="s">
        <v>877</v>
      </c>
      <c r="N139" s="431"/>
      <c r="O139" s="32">
        <v>285.0</v>
      </c>
    </row>
    <row r="140">
      <c r="A140" s="114" t="s">
        <v>1564</v>
      </c>
      <c r="B140" s="115" t="s">
        <v>1565</v>
      </c>
      <c r="C140" s="22">
        <v>1.4E7</v>
      </c>
      <c r="D140" s="26">
        <v>2012.0</v>
      </c>
      <c r="E140" s="34" t="s">
        <v>2283</v>
      </c>
      <c r="F140" s="115" t="s">
        <v>236</v>
      </c>
      <c r="G140" s="115" t="s">
        <v>23</v>
      </c>
      <c r="H140" s="53"/>
      <c r="I140" s="26">
        <v>2.0</v>
      </c>
      <c r="J140" s="57"/>
      <c r="K140" s="53"/>
      <c r="L140" s="34" t="s">
        <v>278</v>
      </c>
      <c r="M140" s="135" t="s">
        <v>1567</v>
      </c>
      <c r="N140" s="19"/>
      <c r="O140" s="32">
        <v>113.0</v>
      </c>
    </row>
    <row r="141">
      <c r="A141" s="165" t="s">
        <v>1751</v>
      </c>
      <c r="B141" s="419" t="s">
        <v>1752</v>
      </c>
      <c r="C141" s="22">
        <v>1.32E7</v>
      </c>
      <c r="D141" s="26">
        <v>2011.0</v>
      </c>
      <c r="E141" s="26" t="s">
        <v>2284</v>
      </c>
      <c r="F141" s="130" t="s">
        <v>28</v>
      </c>
      <c r="G141" s="130" t="s">
        <v>23</v>
      </c>
      <c r="H141" s="28"/>
      <c r="I141" s="26">
        <v>2.0</v>
      </c>
      <c r="J141" s="57"/>
      <c r="K141" s="28"/>
      <c r="L141" s="34" t="s">
        <v>286</v>
      </c>
      <c r="M141" s="106" t="s">
        <v>1754</v>
      </c>
      <c r="N141" s="113"/>
      <c r="O141" s="32">
        <v>65.0</v>
      </c>
    </row>
    <row r="142">
      <c r="A142" s="20" t="s">
        <v>1235</v>
      </c>
      <c r="B142" s="26" t="s">
        <v>1236</v>
      </c>
      <c r="C142" s="22">
        <v>1.3E7</v>
      </c>
      <c r="D142" s="26">
        <v>2015.0</v>
      </c>
      <c r="E142" s="26" t="s">
        <v>2285</v>
      </c>
      <c r="F142" s="26" t="s">
        <v>28</v>
      </c>
      <c r="G142" s="26" t="s">
        <v>23</v>
      </c>
      <c r="H142" s="28"/>
      <c r="I142" s="26">
        <v>1.0</v>
      </c>
      <c r="J142" s="57"/>
      <c r="K142" s="28"/>
      <c r="L142" s="34" t="s">
        <v>147</v>
      </c>
      <c r="M142" s="106" t="s">
        <v>1238</v>
      </c>
      <c r="N142" s="106" t="s">
        <v>1239</v>
      </c>
      <c r="O142" s="32">
        <v>195.0</v>
      </c>
    </row>
    <row r="143">
      <c r="A143" s="114" t="s">
        <v>1610</v>
      </c>
      <c r="B143" s="53"/>
      <c r="C143" s="22">
        <v>1.2367232E7</v>
      </c>
      <c r="D143" s="26">
        <v>2012.0</v>
      </c>
      <c r="E143" s="34" t="s">
        <v>2286</v>
      </c>
      <c r="F143" s="130" t="s">
        <v>1612</v>
      </c>
      <c r="G143" s="419" t="s">
        <v>142</v>
      </c>
      <c r="H143" s="115" t="s">
        <v>29</v>
      </c>
      <c r="I143" s="26">
        <v>2.0</v>
      </c>
      <c r="J143" s="57"/>
      <c r="K143" s="53"/>
      <c r="L143" s="53" t="s">
        <v>1613</v>
      </c>
      <c r="M143" s="135" t="s">
        <v>1614</v>
      </c>
      <c r="N143" s="116" t="s">
        <v>1615</v>
      </c>
      <c r="O143" s="32">
        <v>102.0</v>
      </c>
    </row>
    <row r="144">
      <c r="A144" s="20" t="s">
        <v>1098</v>
      </c>
      <c r="B144" s="111" t="s">
        <v>1099</v>
      </c>
      <c r="C144" s="22">
        <v>1.15E7</v>
      </c>
      <c r="D144" s="26">
        <v>2016.0</v>
      </c>
      <c r="E144" s="26" t="s">
        <v>2287</v>
      </c>
      <c r="F144" s="26" t="s">
        <v>38</v>
      </c>
      <c r="G144" s="26" t="s">
        <v>23</v>
      </c>
      <c r="H144" s="26" t="s">
        <v>29</v>
      </c>
      <c r="I144" s="26">
        <v>5.0</v>
      </c>
      <c r="J144" s="57"/>
      <c r="K144" s="28"/>
      <c r="L144" s="53" t="s">
        <v>1101</v>
      </c>
      <c r="M144" s="106" t="s">
        <v>1102</v>
      </c>
      <c r="N144" s="113"/>
      <c r="O144" s="32">
        <v>229.0</v>
      </c>
    </row>
    <row r="145">
      <c r="A145" s="165" t="s">
        <v>1892</v>
      </c>
      <c r="B145" s="130" t="s">
        <v>1893</v>
      </c>
      <c r="C145" s="22">
        <v>1.11E7</v>
      </c>
      <c r="D145" s="26">
        <v>2008.0</v>
      </c>
      <c r="E145" s="26" t="s">
        <v>2288</v>
      </c>
      <c r="F145" s="26" t="s">
        <v>38</v>
      </c>
      <c r="G145" s="130" t="s">
        <v>59</v>
      </c>
      <c r="H145" s="28"/>
      <c r="I145" s="26">
        <v>2.0</v>
      </c>
      <c r="J145" s="57"/>
      <c r="K145" s="28"/>
      <c r="L145" s="34" t="s">
        <v>1895</v>
      </c>
      <c r="M145" s="106" t="s">
        <v>1896</v>
      </c>
      <c r="N145" s="432"/>
      <c r="O145" s="32">
        <v>31.0</v>
      </c>
    </row>
    <row r="146">
      <c r="A146" s="114" t="s">
        <v>1221</v>
      </c>
      <c r="B146" s="115" t="s">
        <v>1222</v>
      </c>
      <c r="C146" s="22">
        <v>1.1E7</v>
      </c>
      <c r="D146" s="26">
        <v>2015.0</v>
      </c>
      <c r="E146" s="34" t="s">
        <v>2289</v>
      </c>
      <c r="F146" s="26" t="s">
        <v>258</v>
      </c>
      <c r="G146" s="115" t="s">
        <v>23</v>
      </c>
      <c r="H146" s="53"/>
      <c r="I146" s="26">
        <v>5.0</v>
      </c>
      <c r="J146" s="57"/>
      <c r="K146" s="53"/>
      <c r="L146" s="34" t="s">
        <v>1224</v>
      </c>
      <c r="M146" s="157" t="s">
        <v>1225</v>
      </c>
      <c r="N146" s="19"/>
      <c r="O146" s="32">
        <v>198.0</v>
      </c>
    </row>
    <row r="147">
      <c r="A147" s="421" t="s">
        <v>862</v>
      </c>
      <c r="B147" s="422"/>
      <c r="C147" s="423">
        <v>1.0E7</v>
      </c>
      <c r="D147" s="422">
        <v>2018.0</v>
      </c>
      <c r="E147" s="422" t="s">
        <v>2290</v>
      </c>
      <c r="F147" s="422" t="s">
        <v>129</v>
      </c>
      <c r="G147" s="422" t="s">
        <v>23</v>
      </c>
      <c r="H147" s="426"/>
      <c r="I147" s="422">
        <v>1.0</v>
      </c>
      <c r="J147" s="57"/>
      <c r="K147" s="110"/>
      <c r="L147" s="26" t="s">
        <v>147</v>
      </c>
      <c r="M147" s="465" t="s">
        <v>864</v>
      </c>
      <c r="N147" s="431"/>
      <c r="O147" s="32">
        <v>288.0</v>
      </c>
    </row>
    <row r="148">
      <c r="A148" s="20" t="s">
        <v>1194</v>
      </c>
      <c r="B148" s="26"/>
      <c r="C148" s="22">
        <v>1.0E7</v>
      </c>
      <c r="D148" s="26">
        <v>2016.0</v>
      </c>
      <c r="E148" s="34" t="s">
        <v>2291</v>
      </c>
      <c r="F148" s="26" t="s">
        <v>28</v>
      </c>
      <c r="G148" s="26" t="s">
        <v>23</v>
      </c>
      <c r="H148" s="28"/>
      <c r="I148" s="26">
        <v>2.0</v>
      </c>
      <c r="J148" s="57"/>
      <c r="K148" s="28"/>
      <c r="L148" s="53" t="s">
        <v>1196</v>
      </c>
      <c r="M148" s="106" t="s">
        <v>1197</v>
      </c>
      <c r="N148" s="113"/>
      <c r="O148" s="32">
        <v>205.0</v>
      </c>
    </row>
    <row r="149">
      <c r="A149" s="156" t="s">
        <v>499</v>
      </c>
      <c r="B149" s="115" t="s">
        <v>1218</v>
      </c>
      <c r="C149" s="22">
        <v>1.0E7</v>
      </c>
      <c r="D149" s="26">
        <v>2015.0</v>
      </c>
      <c r="E149" s="34" t="s">
        <v>2292</v>
      </c>
      <c r="F149" s="26" t="s">
        <v>258</v>
      </c>
      <c r="G149" s="115" t="s">
        <v>23</v>
      </c>
      <c r="H149" s="53"/>
      <c r="I149" s="130">
        <v>1.0</v>
      </c>
      <c r="J149" s="57"/>
      <c r="K149" s="53"/>
      <c r="L149" s="53" t="s">
        <v>499</v>
      </c>
      <c r="M149" s="157" t="s">
        <v>1220</v>
      </c>
      <c r="N149" s="19"/>
      <c r="O149" s="32">
        <v>199.0</v>
      </c>
    </row>
    <row r="150">
      <c r="A150" s="114" t="s">
        <v>1334</v>
      </c>
      <c r="B150" s="53"/>
      <c r="C150" s="22">
        <v>1.0E7</v>
      </c>
      <c r="D150" s="26">
        <v>2014.0</v>
      </c>
      <c r="E150" s="34" t="s">
        <v>2293</v>
      </c>
      <c r="F150" s="34" t="s">
        <v>38</v>
      </c>
      <c r="G150" s="115" t="s">
        <v>23</v>
      </c>
      <c r="H150" s="53"/>
      <c r="I150" s="26">
        <v>2.0</v>
      </c>
      <c r="J150" s="57"/>
      <c r="K150" s="53"/>
      <c r="L150" s="53" t="s">
        <v>1336</v>
      </c>
      <c r="M150" s="116" t="s">
        <v>1337</v>
      </c>
      <c r="N150" s="19"/>
      <c r="O150" s="32">
        <v>171.0</v>
      </c>
    </row>
    <row r="151">
      <c r="A151" s="20" t="s">
        <v>1679</v>
      </c>
      <c r="B151" s="28"/>
      <c r="C151" s="22">
        <v>1.0E7</v>
      </c>
      <c r="D151" s="26">
        <v>2011.0</v>
      </c>
      <c r="E151" s="26" t="s">
        <v>2294</v>
      </c>
      <c r="F151" s="130" t="s">
        <v>28</v>
      </c>
      <c r="G151" s="130" t="s">
        <v>23</v>
      </c>
      <c r="H151" s="28"/>
      <c r="I151" s="130">
        <v>1.0</v>
      </c>
      <c r="J151" s="57"/>
      <c r="K151" s="28"/>
      <c r="L151" s="105" t="s">
        <v>1681</v>
      </c>
      <c r="M151" s="106" t="s">
        <v>1682</v>
      </c>
      <c r="N151" s="113"/>
      <c r="O151" s="32">
        <v>85.0</v>
      </c>
    </row>
    <row r="152">
      <c r="A152" s="44" t="s">
        <v>1130</v>
      </c>
      <c r="B152" s="26" t="s">
        <v>1131</v>
      </c>
      <c r="C152" s="22">
        <v>9500000.0</v>
      </c>
      <c r="D152" s="26">
        <v>2016.0</v>
      </c>
      <c r="E152" s="26" t="s">
        <v>2295</v>
      </c>
      <c r="F152" s="26" t="s">
        <v>28</v>
      </c>
      <c r="G152" s="26" t="s">
        <v>23</v>
      </c>
      <c r="H152" s="28"/>
      <c r="I152" s="26">
        <v>1.0</v>
      </c>
      <c r="J152" s="57"/>
      <c r="K152" s="28"/>
      <c r="L152" s="53" t="s">
        <v>1133</v>
      </c>
      <c r="M152" s="106" t="s">
        <v>1134</v>
      </c>
      <c r="N152" s="113"/>
      <c r="O152" s="32">
        <v>221.0</v>
      </c>
    </row>
    <row r="153">
      <c r="A153" s="165" t="s">
        <v>1616</v>
      </c>
      <c r="B153" s="53"/>
      <c r="C153" s="22">
        <v>9000000.0</v>
      </c>
      <c r="D153" s="26">
        <v>2012.0</v>
      </c>
      <c r="E153" s="26" t="s">
        <v>2296</v>
      </c>
      <c r="F153" s="130" t="s">
        <v>64</v>
      </c>
      <c r="G153" s="130" t="s">
        <v>23</v>
      </c>
      <c r="H153" s="28"/>
      <c r="I153" s="26">
        <v>2.0</v>
      </c>
      <c r="J153" s="57"/>
      <c r="K153" s="28"/>
      <c r="L153" s="53" t="s">
        <v>410</v>
      </c>
      <c r="M153" s="106" t="s">
        <v>1618</v>
      </c>
      <c r="N153" s="113"/>
      <c r="O153" s="32">
        <v>101.0</v>
      </c>
    </row>
    <row r="154">
      <c r="A154" s="114" t="s">
        <v>1583</v>
      </c>
      <c r="B154" s="115" t="s">
        <v>1584</v>
      </c>
      <c r="C154" s="22">
        <v>8700000.0</v>
      </c>
      <c r="D154" s="26">
        <v>2012.0</v>
      </c>
      <c r="E154" s="34" t="s">
        <v>2297</v>
      </c>
      <c r="F154" s="130" t="s">
        <v>129</v>
      </c>
      <c r="G154" s="115" t="s">
        <v>23</v>
      </c>
      <c r="H154" s="53"/>
      <c r="I154" s="26">
        <v>2.0</v>
      </c>
      <c r="J154" s="57"/>
      <c r="K154" s="53"/>
      <c r="L154" s="34" t="s">
        <v>1586</v>
      </c>
      <c r="M154" s="135" t="s">
        <v>1587</v>
      </c>
      <c r="N154" s="116" t="s">
        <v>1588</v>
      </c>
      <c r="O154" s="32">
        <v>108.0</v>
      </c>
    </row>
    <row r="155">
      <c r="A155" s="165" t="s">
        <v>1948</v>
      </c>
      <c r="B155" s="130" t="s">
        <v>1949</v>
      </c>
      <c r="C155" s="22">
        <v>8637405.0</v>
      </c>
      <c r="D155" s="26">
        <v>2007.0</v>
      </c>
      <c r="E155" s="26" t="s">
        <v>2298</v>
      </c>
      <c r="F155" s="130" t="s">
        <v>43</v>
      </c>
      <c r="G155" s="130" t="s">
        <v>59</v>
      </c>
      <c r="H155" s="28"/>
      <c r="I155" s="130">
        <v>1.0</v>
      </c>
      <c r="J155" s="57"/>
      <c r="K155" s="28"/>
      <c r="L155" s="34" t="s">
        <v>1951</v>
      </c>
      <c r="M155" s="106" t="s">
        <v>1952</v>
      </c>
      <c r="N155" s="113"/>
      <c r="O155" s="32">
        <v>15.0</v>
      </c>
    </row>
    <row r="156">
      <c r="A156" s="165" t="s">
        <v>1720</v>
      </c>
      <c r="B156" s="130" t="s">
        <v>1721</v>
      </c>
      <c r="C156" s="22">
        <v>8600000.0</v>
      </c>
      <c r="D156" s="26">
        <v>2011.0</v>
      </c>
      <c r="E156" s="26" t="s">
        <v>2299</v>
      </c>
      <c r="F156" s="26" t="s">
        <v>258</v>
      </c>
      <c r="G156" s="26" t="s">
        <v>1034</v>
      </c>
      <c r="H156" s="130" t="s">
        <v>29</v>
      </c>
      <c r="I156" s="26">
        <v>4.0</v>
      </c>
      <c r="J156" s="57"/>
      <c r="K156" s="28"/>
      <c r="L156" s="105" t="s">
        <v>1723</v>
      </c>
      <c r="M156" s="106" t="s">
        <v>1724</v>
      </c>
      <c r="N156" s="113"/>
      <c r="O156" s="32">
        <v>73.0</v>
      </c>
    </row>
    <row r="157">
      <c r="A157" s="165" t="s">
        <v>1938</v>
      </c>
      <c r="B157" s="435"/>
      <c r="C157" s="22">
        <v>8500000.0</v>
      </c>
      <c r="D157" s="26">
        <v>2007.0</v>
      </c>
      <c r="E157" s="26" t="s">
        <v>2300</v>
      </c>
      <c r="F157" s="26" t="s">
        <v>58</v>
      </c>
      <c r="G157" s="130" t="s">
        <v>59</v>
      </c>
      <c r="H157" s="28"/>
      <c r="I157" s="26">
        <v>3.0</v>
      </c>
      <c r="J157" s="57"/>
      <c r="K157" s="28"/>
      <c r="L157" s="53" t="s">
        <v>1940</v>
      </c>
      <c r="M157" s="106" t="s">
        <v>1941</v>
      </c>
      <c r="N157" s="113"/>
      <c r="O157" s="32">
        <v>18.0</v>
      </c>
    </row>
    <row r="158">
      <c r="A158" s="114" t="s">
        <v>1597</v>
      </c>
      <c r="B158" s="53"/>
      <c r="C158" s="22">
        <v>8000000.0</v>
      </c>
      <c r="D158" s="26">
        <v>2012.0</v>
      </c>
      <c r="E158" s="34" t="s">
        <v>2301</v>
      </c>
      <c r="F158" s="130" t="s">
        <v>28</v>
      </c>
      <c r="G158" s="26" t="s">
        <v>23</v>
      </c>
      <c r="H158" s="53"/>
      <c r="I158" s="26">
        <v>1.0</v>
      </c>
      <c r="J158" s="57"/>
      <c r="K158" s="53"/>
      <c r="L158" s="53" t="s">
        <v>1599</v>
      </c>
      <c r="M158" s="135" t="s">
        <v>1600</v>
      </c>
      <c r="N158" s="136"/>
      <c r="O158" s="32">
        <v>105.0</v>
      </c>
    </row>
    <row r="159">
      <c r="A159" s="165" t="s">
        <v>1601</v>
      </c>
      <c r="B159" s="28"/>
      <c r="C159" s="22">
        <v>8000000.0</v>
      </c>
      <c r="D159" s="26">
        <v>2012.0</v>
      </c>
      <c r="E159" s="26" t="s">
        <v>2302</v>
      </c>
      <c r="F159" s="130" t="s">
        <v>28</v>
      </c>
      <c r="G159" s="130" t="s">
        <v>23</v>
      </c>
      <c r="H159" s="28"/>
      <c r="I159" s="130">
        <v>1.0</v>
      </c>
      <c r="J159" s="57"/>
      <c r="K159" s="28"/>
      <c r="L159" s="53" t="s">
        <v>278</v>
      </c>
      <c r="M159" s="106" t="s">
        <v>1603</v>
      </c>
      <c r="N159" s="113"/>
      <c r="O159" s="32">
        <v>104.0</v>
      </c>
    </row>
    <row r="160">
      <c r="A160" s="20" t="s">
        <v>1112</v>
      </c>
      <c r="B160" s="143" t="s">
        <v>1113</v>
      </c>
      <c r="C160" s="22">
        <v>7000000.0</v>
      </c>
      <c r="D160" s="26">
        <v>2016.0</v>
      </c>
      <c r="E160" s="26" t="s">
        <v>2303</v>
      </c>
      <c r="F160" s="26" t="s">
        <v>236</v>
      </c>
      <c r="G160" s="26" t="s">
        <v>23</v>
      </c>
      <c r="H160" s="28"/>
      <c r="I160" s="26">
        <v>1.0</v>
      </c>
      <c r="J160" s="57"/>
      <c r="K160" s="28"/>
      <c r="L160" s="34" t="s">
        <v>147</v>
      </c>
      <c r="M160" s="106" t="s">
        <v>1115</v>
      </c>
      <c r="N160" s="113"/>
      <c r="O160" s="32">
        <v>226.0</v>
      </c>
    </row>
    <row r="161">
      <c r="A161" s="20" t="s">
        <v>1210</v>
      </c>
      <c r="B161" s="26"/>
      <c r="C161" s="22">
        <v>6600000.0</v>
      </c>
      <c r="D161" s="26">
        <v>2016.0</v>
      </c>
      <c r="E161" s="26" t="s">
        <v>2304</v>
      </c>
      <c r="F161" s="26" t="s">
        <v>28</v>
      </c>
      <c r="G161" s="26" t="s">
        <v>23</v>
      </c>
      <c r="H161" s="28"/>
      <c r="I161" s="26">
        <v>5.0</v>
      </c>
      <c r="J161" s="57"/>
      <c r="K161" s="28"/>
      <c r="L161" s="53" t="s">
        <v>1212</v>
      </c>
      <c r="M161" s="106" t="s">
        <v>1213</v>
      </c>
      <c r="N161" s="113"/>
      <c r="O161" s="32">
        <v>201.0</v>
      </c>
    </row>
    <row r="162">
      <c r="A162" s="165" t="s">
        <v>1554</v>
      </c>
      <c r="B162" s="53"/>
      <c r="C162" s="22">
        <v>6500000.0</v>
      </c>
      <c r="D162" s="26">
        <v>2012.0</v>
      </c>
      <c r="E162" s="26" t="s">
        <v>2305</v>
      </c>
      <c r="F162" s="115" t="s">
        <v>64</v>
      </c>
      <c r="G162" s="419" t="s">
        <v>142</v>
      </c>
      <c r="H162" s="28"/>
      <c r="I162" s="26">
        <v>2.0</v>
      </c>
      <c r="J162" s="57"/>
      <c r="K162" s="28"/>
      <c r="L162" s="53" t="s">
        <v>1556</v>
      </c>
      <c r="M162" s="106" t="s">
        <v>1557</v>
      </c>
      <c r="N162" s="113"/>
      <c r="O162" s="32">
        <v>115.0</v>
      </c>
    </row>
    <row r="163">
      <c r="A163" s="20" t="s">
        <v>1250</v>
      </c>
      <c r="B163" s="26" t="s">
        <v>1251</v>
      </c>
      <c r="C163" s="22">
        <v>6400000.0</v>
      </c>
      <c r="D163" s="26">
        <v>2015.0</v>
      </c>
      <c r="E163" s="26" t="s">
        <v>2306</v>
      </c>
      <c r="F163" s="26" t="s">
        <v>28</v>
      </c>
      <c r="G163" s="26" t="s">
        <v>23</v>
      </c>
      <c r="H163" s="28"/>
      <c r="I163" s="26">
        <v>5.0</v>
      </c>
      <c r="J163" s="57"/>
      <c r="K163" s="28"/>
      <c r="L163" s="53" t="s">
        <v>325</v>
      </c>
      <c r="M163" s="106" t="s">
        <v>1253</v>
      </c>
      <c r="N163" s="106" t="s">
        <v>1254</v>
      </c>
      <c r="O163" s="32">
        <v>192.0</v>
      </c>
    </row>
    <row r="164">
      <c r="A164" s="165" t="s">
        <v>1964</v>
      </c>
      <c r="B164" s="130" t="s">
        <v>1965</v>
      </c>
      <c r="C164" s="22">
        <v>6300000.0</v>
      </c>
      <c r="D164" s="26">
        <v>2007.0</v>
      </c>
      <c r="E164" s="26" t="s">
        <v>2307</v>
      </c>
      <c r="F164" s="26" t="s">
        <v>58</v>
      </c>
      <c r="G164" s="130" t="s">
        <v>23</v>
      </c>
      <c r="H164" s="28"/>
      <c r="I164" s="130">
        <v>1.0</v>
      </c>
      <c r="J164" s="57"/>
      <c r="K164" s="28"/>
      <c r="L164" s="105" t="s">
        <v>1967</v>
      </c>
      <c r="M164" s="106" t="s">
        <v>1968</v>
      </c>
      <c r="N164" s="106" t="s">
        <v>1969</v>
      </c>
      <c r="O164" s="32">
        <v>11.0</v>
      </c>
    </row>
    <row r="165">
      <c r="A165" s="52" t="s">
        <v>1068</v>
      </c>
      <c r="B165" s="53"/>
      <c r="C165" s="22">
        <v>6000000.0</v>
      </c>
      <c r="D165" s="26">
        <v>2017.0</v>
      </c>
      <c r="E165" s="34" t="s">
        <v>2308</v>
      </c>
      <c r="F165" s="26" t="s">
        <v>28</v>
      </c>
      <c r="G165" s="26" t="s">
        <v>23</v>
      </c>
      <c r="H165" s="115"/>
      <c r="I165" s="26">
        <v>1.0</v>
      </c>
      <c r="J165" s="57"/>
      <c r="K165" s="53"/>
      <c r="L165" s="53" t="s">
        <v>314</v>
      </c>
      <c r="M165" s="135" t="s">
        <v>1070</v>
      </c>
      <c r="N165" s="136"/>
      <c r="O165" s="32">
        <v>236.0</v>
      </c>
    </row>
    <row r="166">
      <c r="A166" s="114" t="s">
        <v>588</v>
      </c>
      <c r="B166" s="53"/>
      <c r="C166" s="22">
        <v>6000000.0</v>
      </c>
      <c r="D166" s="26">
        <v>2013.0</v>
      </c>
      <c r="E166" s="34" t="s">
        <v>2309</v>
      </c>
      <c r="F166" s="130" t="s">
        <v>28</v>
      </c>
      <c r="G166" s="419" t="s">
        <v>142</v>
      </c>
      <c r="H166" s="53"/>
      <c r="I166" s="130">
        <v>1.0</v>
      </c>
      <c r="J166" s="57"/>
      <c r="K166" s="53"/>
      <c r="L166" s="53" t="s">
        <v>588</v>
      </c>
      <c r="M166" s="135" t="s">
        <v>1474</v>
      </c>
      <c r="N166" s="19"/>
      <c r="O166" s="32">
        <v>135.0</v>
      </c>
    </row>
    <row r="167">
      <c r="A167" s="165" t="s">
        <v>1530</v>
      </c>
      <c r="B167" s="28"/>
      <c r="C167" s="22">
        <v>6000000.0</v>
      </c>
      <c r="D167" s="26">
        <v>2012.0</v>
      </c>
      <c r="E167" s="26" t="s">
        <v>2310</v>
      </c>
      <c r="F167" s="130" t="s">
        <v>28</v>
      </c>
      <c r="G167" s="130" t="s">
        <v>23</v>
      </c>
      <c r="H167" s="28"/>
      <c r="I167" s="130">
        <v>1.0</v>
      </c>
      <c r="J167" s="57"/>
      <c r="K167" s="28"/>
      <c r="L167" s="105" t="s">
        <v>571</v>
      </c>
      <c r="M167" s="106" t="s">
        <v>1532</v>
      </c>
      <c r="N167" s="113"/>
      <c r="O167" s="32">
        <v>121.0</v>
      </c>
    </row>
    <row r="168">
      <c r="A168" s="165" t="s">
        <v>1907</v>
      </c>
      <c r="B168" s="28"/>
      <c r="C168" s="22">
        <v>6000000.0</v>
      </c>
      <c r="D168" s="26">
        <v>2008.0</v>
      </c>
      <c r="E168" s="26" t="s">
        <v>2311</v>
      </c>
      <c r="F168" s="130" t="s">
        <v>64</v>
      </c>
      <c r="G168" s="26" t="s">
        <v>23</v>
      </c>
      <c r="H168" s="28"/>
      <c r="I168" s="130">
        <v>1.0</v>
      </c>
      <c r="J168" s="57"/>
      <c r="K168" s="28"/>
      <c r="L168" s="120" t="s">
        <v>905</v>
      </c>
      <c r="M168" s="106" t="s">
        <v>1909</v>
      </c>
      <c r="N168" s="166" t="s">
        <v>1910</v>
      </c>
      <c r="O168" s="32">
        <v>27.0</v>
      </c>
    </row>
    <row r="169">
      <c r="A169" s="20" t="s">
        <v>1330</v>
      </c>
      <c r="B169" s="138"/>
      <c r="C169" s="22">
        <v>5190396.0</v>
      </c>
      <c r="D169" s="26">
        <v>2014.0</v>
      </c>
      <c r="E169" s="26" t="s">
        <v>2312</v>
      </c>
      <c r="F169" s="26" t="s">
        <v>64</v>
      </c>
      <c r="G169" s="419" t="s">
        <v>142</v>
      </c>
      <c r="H169" s="28"/>
      <c r="I169" s="26">
        <v>2.0</v>
      </c>
      <c r="J169" s="57"/>
      <c r="K169" s="28"/>
      <c r="L169" s="34" t="s">
        <v>1332</v>
      </c>
      <c r="M169" s="106" t="s">
        <v>1333</v>
      </c>
      <c r="N169" s="113"/>
      <c r="O169" s="32">
        <v>172.0</v>
      </c>
    </row>
    <row r="170">
      <c r="A170" s="20" t="s">
        <v>786</v>
      </c>
      <c r="B170" s="111"/>
      <c r="C170" s="22">
        <v>5000000.0</v>
      </c>
      <c r="D170" s="26">
        <v>2019.0</v>
      </c>
      <c r="E170" s="26" t="s">
        <v>2313</v>
      </c>
      <c r="F170" s="26" t="s">
        <v>64</v>
      </c>
      <c r="G170" s="26" t="s">
        <v>23</v>
      </c>
      <c r="H170" s="28"/>
      <c r="I170" s="26">
        <v>2.0</v>
      </c>
      <c r="J170" s="27"/>
      <c r="K170" s="28"/>
      <c r="L170" s="34" t="s">
        <v>571</v>
      </c>
      <c r="M170" s="467" t="s">
        <v>788</v>
      </c>
      <c r="N170" s="31"/>
      <c r="O170" s="32">
        <v>307.0</v>
      </c>
    </row>
    <row r="171">
      <c r="A171" s="433" t="s">
        <v>869</v>
      </c>
      <c r="B171" s="430" t="s">
        <v>870</v>
      </c>
      <c r="C171" s="434">
        <v>5000000.0</v>
      </c>
      <c r="D171" s="438">
        <v>2018.0</v>
      </c>
      <c r="E171" s="425" t="s">
        <v>2314</v>
      </c>
      <c r="F171" s="430" t="s">
        <v>43</v>
      </c>
      <c r="G171" s="430" t="s">
        <v>23</v>
      </c>
      <c r="H171" s="419" t="s">
        <v>29</v>
      </c>
      <c r="I171" s="422">
        <v>3.0</v>
      </c>
      <c r="J171" s="57"/>
      <c r="K171" s="120"/>
      <c r="L171" s="112" t="s">
        <v>688</v>
      </c>
      <c r="M171" s="436" t="s">
        <v>872</v>
      </c>
      <c r="N171" s="432"/>
      <c r="O171" s="32">
        <v>286.0</v>
      </c>
    </row>
    <row r="172">
      <c r="A172" s="442" t="s">
        <v>945</v>
      </c>
      <c r="B172" s="443"/>
      <c r="C172" s="444">
        <v>5000000.0</v>
      </c>
      <c r="D172" s="445">
        <v>2018.0</v>
      </c>
      <c r="E172" s="445" t="s">
        <v>2315</v>
      </c>
      <c r="F172" s="445" t="s">
        <v>43</v>
      </c>
      <c r="G172" s="447" t="s">
        <v>142</v>
      </c>
      <c r="H172" s="448"/>
      <c r="I172" s="445">
        <v>1.0</v>
      </c>
      <c r="J172" s="449"/>
      <c r="K172" s="448"/>
      <c r="L172" s="447" t="s">
        <v>507</v>
      </c>
      <c r="M172" s="469" t="s">
        <v>947</v>
      </c>
      <c r="N172" s="451"/>
      <c r="O172" s="32">
        <v>268.0</v>
      </c>
    </row>
    <row r="173">
      <c r="A173" s="144" t="s">
        <v>1142</v>
      </c>
      <c r="B173" s="142"/>
      <c r="C173" s="22">
        <v>5000000.0</v>
      </c>
      <c r="D173" s="26">
        <v>2016.0</v>
      </c>
      <c r="E173" s="34" t="s">
        <v>2316</v>
      </c>
      <c r="F173" s="28" t="s">
        <v>64</v>
      </c>
      <c r="G173" s="28" t="s">
        <v>23</v>
      </c>
      <c r="H173" s="53"/>
      <c r="I173" s="26">
        <v>2.0</v>
      </c>
      <c r="J173" s="57"/>
      <c r="K173" s="53"/>
      <c r="L173" s="34" t="s">
        <v>286</v>
      </c>
      <c r="M173" s="106" t="s">
        <v>1144</v>
      </c>
      <c r="N173" s="117"/>
      <c r="O173" s="32">
        <v>218.0</v>
      </c>
    </row>
    <row r="174">
      <c r="A174" s="52" t="s">
        <v>1373</v>
      </c>
      <c r="B174" s="53"/>
      <c r="C174" s="22">
        <v>5000000.0</v>
      </c>
      <c r="D174" s="26">
        <v>2014.0</v>
      </c>
      <c r="E174" s="34" t="s">
        <v>2317</v>
      </c>
      <c r="F174" s="115" t="s">
        <v>28</v>
      </c>
      <c r="G174" s="115" t="s">
        <v>23</v>
      </c>
      <c r="H174" s="115" t="s">
        <v>29</v>
      </c>
      <c r="I174" s="130">
        <v>1.0</v>
      </c>
      <c r="J174" s="57"/>
      <c r="K174" s="53"/>
      <c r="L174" s="53" t="s">
        <v>1375</v>
      </c>
      <c r="M174" s="116" t="s">
        <v>1376</v>
      </c>
      <c r="N174" s="19"/>
      <c r="O174" s="32">
        <v>161.0</v>
      </c>
    </row>
    <row r="175">
      <c r="A175" s="165" t="s">
        <v>1836</v>
      </c>
      <c r="B175" s="130" t="s">
        <v>1837</v>
      </c>
      <c r="C175" s="22">
        <v>5000000.0</v>
      </c>
      <c r="D175" s="26">
        <v>2009.0</v>
      </c>
      <c r="E175" s="26" t="s">
        <v>2318</v>
      </c>
      <c r="F175" s="26" t="s">
        <v>58</v>
      </c>
      <c r="G175" s="130" t="s">
        <v>23</v>
      </c>
      <c r="H175" s="130" t="s">
        <v>29</v>
      </c>
      <c r="I175" s="130">
        <v>1.0</v>
      </c>
      <c r="J175" s="57"/>
      <c r="K175" s="28"/>
      <c r="L175" s="120" t="s">
        <v>1839</v>
      </c>
      <c r="M175" s="106" t="s">
        <v>1840</v>
      </c>
      <c r="N175" s="113"/>
      <c r="O175" s="32">
        <v>45.0</v>
      </c>
    </row>
    <row r="176">
      <c r="A176" s="165" t="s">
        <v>1763</v>
      </c>
      <c r="B176" s="130" t="s">
        <v>1764</v>
      </c>
      <c r="C176" s="22">
        <v>4901432.0</v>
      </c>
      <c r="D176" s="26">
        <v>2011.0</v>
      </c>
      <c r="E176" s="26" t="s">
        <v>2319</v>
      </c>
      <c r="F176" s="26" t="s">
        <v>1766</v>
      </c>
      <c r="G176" s="26" t="s">
        <v>1034</v>
      </c>
      <c r="H176" s="28"/>
      <c r="I176" s="26">
        <v>4.0</v>
      </c>
      <c r="J176" s="57"/>
      <c r="K176" s="28"/>
      <c r="L176" s="34" t="s">
        <v>286</v>
      </c>
      <c r="M176" s="106" t="s">
        <v>1767</v>
      </c>
      <c r="N176" s="113"/>
      <c r="O176" s="32">
        <v>62.0</v>
      </c>
    </row>
    <row r="177">
      <c r="A177" s="165" t="s">
        <v>1426</v>
      </c>
      <c r="B177" s="28"/>
      <c r="C177" s="22">
        <v>4600000.0</v>
      </c>
      <c r="D177" s="26">
        <v>2013.0</v>
      </c>
      <c r="E177" s="111" t="s">
        <v>2320</v>
      </c>
      <c r="F177" s="130" t="s">
        <v>71</v>
      </c>
      <c r="G177" s="130" t="s">
        <v>23</v>
      </c>
      <c r="H177" s="28"/>
      <c r="I177" s="26">
        <v>2.0</v>
      </c>
      <c r="J177" s="57"/>
      <c r="K177" s="28"/>
      <c r="L177" s="34" t="s">
        <v>905</v>
      </c>
      <c r="M177" s="106" t="s">
        <v>1428</v>
      </c>
      <c r="N177" s="113"/>
      <c r="O177" s="32">
        <v>149.0</v>
      </c>
    </row>
    <row r="178">
      <c r="A178" s="163" t="s">
        <v>1327</v>
      </c>
      <c r="B178" s="28"/>
      <c r="C178" s="22">
        <v>4500000.0</v>
      </c>
      <c r="D178" s="26">
        <v>2014.0</v>
      </c>
      <c r="E178" s="26" t="s">
        <v>2321</v>
      </c>
      <c r="F178" s="26" t="s">
        <v>258</v>
      </c>
      <c r="G178" s="130" t="s">
        <v>23</v>
      </c>
      <c r="H178" s="130" t="s">
        <v>29</v>
      </c>
      <c r="I178" s="26">
        <v>2.0</v>
      </c>
      <c r="J178" s="57"/>
      <c r="K178" s="28"/>
      <c r="L178" s="53" t="s">
        <v>1088</v>
      </c>
      <c r="M178" s="166" t="s">
        <v>1329</v>
      </c>
      <c r="N178" s="113"/>
      <c r="O178" s="32">
        <v>173.0</v>
      </c>
    </row>
    <row r="179">
      <c r="A179" s="167" t="s">
        <v>1871</v>
      </c>
      <c r="B179" s="130" t="s">
        <v>1872</v>
      </c>
      <c r="C179" s="22">
        <v>4500000.0</v>
      </c>
      <c r="D179" s="26">
        <v>2008.0</v>
      </c>
      <c r="E179" s="26" t="s">
        <v>2322</v>
      </c>
      <c r="F179" s="26" t="s">
        <v>58</v>
      </c>
      <c r="G179" s="26" t="s">
        <v>1034</v>
      </c>
      <c r="H179" s="28"/>
      <c r="I179" s="130">
        <v>1.0</v>
      </c>
      <c r="J179" s="57"/>
      <c r="K179" s="28"/>
      <c r="L179" s="105" t="s">
        <v>286</v>
      </c>
      <c r="M179" s="106" t="s">
        <v>1874</v>
      </c>
      <c r="N179" s="113"/>
      <c r="O179" s="32">
        <v>36.0</v>
      </c>
    </row>
    <row r="180">
      <c r="A180" s="161" t="s">
        <v>1760</v>
      </c>
      <c r="B180" s="28"/>
      <c r="C180" s="22">
        <v>4243434.0</v>
      </c>
      <c r="D180" s="26">
        <v>2011.0</v>
      </c>
      <c r="E180" s="26" t="s">
        <v>2323</v>
      </c>
      <c r="F180" s="26" t="s">
        <v>258</v>
      </c>
      <c r="G180" s="26" t="s">
        <v>1034</v>
      </c>
      <c r="H180" s="28"/>
      <c r="I180" s="26">
        <v>2.0</v>
      </c>
      <c r="J180" s="57"/>
      <c r="K180" s="53"/>
      <c r="L180" s="105" t="s">
        <v>1106</v>
      </c>
      <c r="M180" s="135" t="s">
        <v>1762</v>
      </c>
      <c r="N180" s="136"/>
      <c r="O180" s="32">
        <v>63.0</v>
      </c>
    </row>
    <row r="181">
      <c r="A181" s="236" t="s">
        <v>704</v>
      </c>
      <c r="B181" s="420"/>
      <c r="C181" s="22">
        <v>4200000.0</v>
      </c>
      <c r="D181" s="26">
        <v>2019.0</v>
      </c>
      <c r="E181" s="26" t="s">
        <v>2324</v>
      </c>
      <c r="F181" s="26" t="s">
        <v>58</v>
      </c>
      <c r="G181" s="26" t="s">
        <v>59</v>
      </c>
      <c r="H181" s="26"/>
      <c r="I181" s="26">
        <v>2.0</v>
      </c>
      <c r="J181" s="27"/>
      <c r="K181" s="28"/>
      <c r="L181" s="105" t="s">
        <v>706</v>
      </c>
      <c r="M181" s="106" t="s">
        <v>707</v>
      </c>
      <c r="N181" s="107"/>
      <c r="O181" s="32">
        <v>343.0</v>
      </c>
    </row>
    <row r="182">
      <c r="A182" s="167" t="s">
        <v>1862</v>
      </c>
      <c r="B182" s="130" t="s">
        <v>1863</v>
      </c>
      <c r="C182" s="22">
        <v>4200000.0</v>
      </c>
      <c r="D182" s="26">
        <v>2008.0</v>
      </c>
      <c r="E182" s="34" t="s">
        <v>2325</v>
      </c>
      <c r="F182" s="130" t="s">
        <v>43</v>
      </c>
      <c r="G182" s="130" t="s">
        <v>23</v>
      </c>
      <c r="H182" s="28"/>
      <c r="I182" s="26">
        <v>3.0</v>
      </c>
      <c r="J182" s="57"/>
      <c r="K182" s="28"/>
      <c r="L182" s="34" t="s">
        <v>1865</v>
      </c>
      <c r="M182" s="106" t="s">
        <v>1866</v>
      </c>
      <c r="N182" s="113"/>
      <c r="O182" s="32">
        <v>38.0</v>
      </c>
    </row>
    <row r="183">
      <c r="A183" s="161" t="s">
        <v>1266</v>
      </c>
      <c r="B183" s="53"/>
      <c r="C183" s="22">
        <v>4000000.0</v>
      </c>
      <c r="D183" s="26">
        <v>2015.0</v>
      </c>
      <c r="E183" s="34" t="s">
        <v>2326</v>
      </c>
      <c r="F183" s="115" t="s">
        <v>64</v>
      </c>
      <c r="G183" s="115" t="s">
        <v>23</v>
      </c>
      <c r="H183" s="53"/>
      <c r="I183" s="26">
        <v>2.0</v>
      </c>
      <c r="J183" s="57"/>
      <c r="K183" s="53"/>
      <c r="L183" s="53" t="s">
        <v>710</v>
      </c>
      <c r="M183" s="160" t="s">
        <v>1268</v>
      </c>
      <c r="N183" s="19"/>
      <c r="O183" s="32">
        <v>188.0</v>
      </c>
    </row>
    <row r="184">
      <c r="A184" s="161" t="s">
        <v>1346</v>
      </c>
      <c r="B184" s="53"/>
      <c r="C184" s="22">
        <v>4000000.0</v>
      </c>
      <c r="D184" s="26">
        <v>2014.0</v>
      </c>
      <c r="E184" s="34" t="s">
        <v>2327</v>
      </c>
      <c r="F184" s="115" t="s">
        <v>43</v>
      </c>
      <c r="G184" s="115" t="s">
        <v>23</v>
      </c>
      <c r="H184" s="53"/>
      <c r="I184" s="26">
        <v>3.0</v>
      </c>
      <c r="J184" s="57"/>
      <c r="K184" s="53"/>
      <c r="L184" s="53" t="s">
        <v>1348</v>
      </c>
      <c r="M184" s="116" t="s">
        <v>1349</v>
      </c>
      <c r="N184" s="19"/>
      <c r="O184" s="32">
        <v>168.0</v>
      </c>
    </row>
    <row r="185">
      <c r="A185" s="165" t="s">
        <v>1350</v>
      </c>
      <c r="B185" s="28"/>
      <c r="C185" s="22">
        <v>4000000.0</v>
      </c>
      <c r="D185" s="26">
        <v>2014.0</v>
      </c>
      <c r="E185" s="26" t="s">
        <v>2328</v>
      </c>
      <c r="F185" s="26" t="s">
        <v>58</v>
      </c>
      <c r="G185" s="130" t="s">
        <v>23</v>
      </c>
      <c r="H185" s="28"/>
      <c r="I185" s="130">
        <v>1.0</v>
      </c>
      <c r="J185" s="57"/>
      <c r="K185" s="28"/>
      <c r="L185" s="53" t="s">
        <v>1352</v>
      </c>
      <c r="M185" s="166" t="s">
        <v>1353</v>
      </c>
      <c r="N185" s="113"/>
      <c r="O185" s="32">
        <v>167.0</v>
      </c>
    </row>
    <row r="186">
      <c r="A186" s="165" t="s">
        <v>1445</v>
      </c>
      <c r="B186" s="53"/>
      <c r="C186" s="22">
        <v>4000000.0</v>
      </c>
      <c r="D186" s="26">
        <v>2013.0</v>
      </c>
      <c r="E186" s="26" t="s">
        <v>2329</v>
      </c>
      <c r="F186" s="26" t="s">
        <v>258</v>
      </c>
      <c r="G186" s="26" t="s">
        <v>1034</v>
      </c>
      <c r="H186" s="130" t="s">
        <v>29</v>
      </c>
      <c r="I186" s="26">
        <v>2.0</v>
      </c>
      <c r="J186" s="57"/>
      <c r="K186" s="28"/>
      <c r="L186" s="53" t="s">
        <v>1318</v>
      </c>
      <c r="M186" s="166" t="s">
        <v>1447</v>
      </c>
      <c r="N186" s="109"/>
      <c r="O186" s="32">
        <v>143.0</v>
      </c>
    </row>
    <row r="187">
      <c r="A187" s="114" t="s">
        <v>631</v>
      </c>
      <c r="B187" s="115" t="s">
        <v>1467</v>
      </c>
      <c r="C187" s="22">
        <v>4000000.0</v>
      </c>
      <c r="D187" s="26">
        <v>2013.0</v>
      </c>
      <c r="E187" s="34" t="s">
        <v>2330</v>
      </c>
      <c r="F187" s="115" t="s">
        <v>236</v>
      </c>
      <c r="G187" s="115" t="s">
        <v>23</v>
      </c>
      <c r="H187" s="57"/>
      <c r="I187" s="26">
        <v>2.0</v>
      </c>
      <c r="J187" s="57"/>
      <c r="K187" s="53"/>
      <c r="L187" s="34" t="s">
        <v>571</v>
      </c>
      <c r="M187" s="135" t="s">
        <v>1469</v>
      </c>
      <c r="N187" s="19"/>
      <c r="O187" s="32">
        <v>137.0</v>
      </c>
    </row>
    <row r="188">
      <c r="A188" s="181" t="s">
        <v>1523</v>
      </c>
      <c r="B188" s="28"/>
      <c r="C188" s="22">
        <v>4000000.0</v>
      </c>
      <c r="D188" s="26">
        <v>2013.0</v>
      </c>
      <c r="E188" s="26" t="s">
        <v>2331</v>
      </c>
      <c r="F188" s="130" t="s">
        <v>28</v>
      </c>
      <c r="G188" s="115" t="s">
        <v>23</v>
      </c>
      <c r="H188" s="130" t="s">
        <v>29</v>
      </c>
      <c r="I188" s="26">
        <v>2.0</v>
      </c>
      <c r="J188" s="57"/>
      <c r="K188" s="28"/>
      <c r="L188" s="120" t="s">
        <v>702</v>
      </c>
      <c r="M188" s="106" t="s">
        <v>1525</v>
      </c>
      <c r="N188" s="113"/>
      <c r="O188" s="32">
        <v>123.0</v>
      </c>
    </row>
    <row r="189">
      <c r="A189" s="167" t="s">
        <v>1983</v>
      </c>
      <c r="B189" s="130" t="s">
        <v>1984</v>
      </c>
      <c r="C189" s="22">
        <v>4000000.0</v>
      </c>
      <c r="D189" s="26">
        <v>2006.0</v>
      </c>
      <c r="E189" s="26" t="s">
        <v>2332</v>
      </c>
      <c r="F189" s="130" t="s">
        <v>129</v>
      </c>
      <c r="G189" s="130" t="s">
        <v>23</v>
      </c>
      <c r="H189" s="130" t="s">
        <v>29</v>
      </c>
      <c r="I189" s="130">
        <v>1.0</v>
      </c>
      <c r="J189" s="57"/>
      <c r="K189" s="28"/>
      <c r="L189" s="120" t="s">
        <v>1839</v>
      </c>
      <c r="M189" s="106" t="s">
        <v>1986</v>
      </c>
      <c r="N189" s="113"/>
      <c r="O189" s="32">
        <v>7.0</v>
      </c>
    </row>
    <row r="190">
      <c r="A190" s="165" t="s">
        <v>1925</v>
      </c>
      <c r="B190" s="28"/>
      <c r="C190" s="22">
        <v>3950000.0</v>
      </c>
      <c r="D190" s="26">
        <v>2008.0</v>
      </c>
      <c r="E190" s="26" t="s">
        <v>2333</v>
      </c>
      <c r="F190" s="130" t="s">
        <v>64</v>
      </c>
      <c r="G190" s="419" t="s">
        <v>142</v>
      </c>
      <c r="H190" s="130" t="s">
        <v>29</v>
      </c>
      <c r="I190" s="26">
        <v>2.0</v>
      </c>
      <c r="J190" s="57"/>
      <c r="K190" s="28"/>
      <c r="L190" s="53" t="s">
        <v>1917</v>
      </c>
      <c r="M190" s="106" t="s">
        <v>1927</v>
      </c>
      <c r="N190" s="113"/>
      <c r="O190" s="32">
        <v>22.0</v>
      </c>
    </row>
    <row r="191">
      <c r="A191" s="114" t="s">
        <v>1280</v>
      </c>
      <c r="B191" s="115" t="s">
        <v>1281</v>
      </c>
      <c r="C191" s="22">
        <v>3900000.0</v>
      </c>
      <c r="D191" s="26">
        <v>2015.0</v>
      </c>
      <c r="E191" s="34" t="s">
        <v>2334</v>
      </c>
      <c r="F191" s="115" t="s">
        <v>28</v>
      </c>
      <c r="G191" s="115" t="s">
        <v>23</v>
      </c>
      <c r="H191" s="53"/>
      <c r="I191" s="130">
        <v>1.0</v>
      </c>
      <c r="J191" s="57"/>
      <c r="K191" s="53"/>
      <c r="L191" s="53" t="s">
        <v>1283</v>
      </c>
      <c r="M191" s="160" t="s">
        <v>1284</v>
      </c>
      <c r="N191" s="19"/>
      <c r="O191" s="32">
        <v>184.0</v>
      </c>
    </row>
    <row r="192">
      <c r="A192" s="165" t="s">
        <v>1400</v>
      </c>
      <c r="B192" s="28"/>
      <c r="C192" s="22">
        <v>3900000.0</v>
      </c>
      <c r="D192" s="26">
        <v>2005.0</v>
      </c>
      <c r="E192" s="26" t="s">
        <v>2335</v>
      </c>
      <c r="F192" s="26" t="s">
        <v>58</v>
      </c>
      <c r="G192" s="26" t="s">
        <v>1034</v>
      </c>
      <c r="H192" s="130" t="s">
        <v>29</v>
      </c>
      <c r="I192" s="26">
        <v>3.0</v>
      </c>
      <c r="J192" s="57"/>
      <c r="K192" s="28"/>
      <c r="L192" s="120" t="s">
        <v>841</v>
      </c>
      <c r="M192" s="135" t="s">
        <v>1996</v>
      </c>
      <c r="N192" s="113"/>
      <c r="O192" s="32">
        <v>4.0</v>
      </c>
    </row>
    <row r="193">
      <c r="A193" s="20" t="s">
        <v>1032</v>
      </c>
      <c r="B193" s="130"/>
      <c r="C193" s="22">
        <v>3700000.0</v>
      </c>
      <c r="D193" s="26">
        <v>2017.0</v>
      </c>
      <c r="E193" s="26" t="s">
        <v>2336</v>
      </c>
      <c r="F193" s="26" t="s">
        <v>64</v>
      </c>
      <c r="G193" s="26" t="s">
        <v>1034</v>
      </c>
      <c r="H193" s="130"/>
      <c r="I193" s="26">
        <v>2.0</v>
      </c>
      <c r="J193" s="57"/>
      <c r="K193" s="110"/>
      <c r="L193" s="53" t="s">
        <v>1035</v>
      </c>
      <c r="M193" s="106" t="s">
        <v>1036</v>
      </c>
      <c r="N193" s="113"/>
      <c r="O193" s="32">
        <v>245.0</v>
      </c>
    </row>
    <row r="194">
      <c r="A194" s="144" t="s">
        <v>1119</v>
      </c>
      <c r="B194" s="142"/>
      <c r="C194" s="119">
        <v>3700000.0</v>
      </c>
      <c r="D194" s="26">
        <v>2016.0</v>
      </c>
      <c r="E194" s="50" t="s">
        <v>2337</v>
      </c>
      <c r="F194" s="26" t="s">
        <v>258</v>
      </c>
      <c r="G194" s="28" t="s">
        <v>23</v>
      </c>
      <c r="H194" s="53"/>
      <c r="I194" s="26">
        <v>3.0</v>
      </c>
      <c r="J194" s="57"/>
      <c r="K194" s="53"/>
      <c r="L194" s="34" t="s">
        <v>1121</v>
      </c>
      <c r="M194" s="106" t="s">
        <v>1122</v>
      </c>
      <c r="N194" s="117"/>
      <c r="O194" s="32">
        <v>224.0</v>
      </c>
    </row>
    <row r="195">
      <c r="A195" s="20" t="s">
        <v>1619</v>
      </c>
      <c r="B195" s="138"/>
      <c r="C195" s="22">
        <v>3600000.0</v>
      </c>
      <c r="D195" s="26">
        <v>2012.0</v>
      </c>
      <c r="E195" s="26" t="s">
        <v>2338</v>
      </c>
      <c r="F195" s="26" t="s">
        <v>64</v>
      </c>
      <c r="G195" s="26" t="s">
        <v>23</v>
      </c>
      <c r="H195" s="28"/>
      <c r="I195" s="26">
        <v>1.0</v>
      </c>
      <c r="J195" s="57"/>
      <c r="K195" s="28"/>
      <c r="L195" s="53" t="s">
        <v>1621</v>
      </c>
      <c r="M195" s="106" t="s">
        <v>1622</v>
      </c>
      <c r="N195" s="113"/>
      <c r="O195" s="32">
        <v>100.0</v>
      </c>
    </row>
    <row r="196">
      <c r="A196" s="167" t="s">
        <v>1655</v>
      </c>
      <c r="B196" s="28"/>
      <c r="C196" s="22">
        <v>3500000.0</v>
      </c>
      <c r="D196" s="26">
        <v>2011.0</v>
      </c>
      <c r="E196" s="26" t="s">
        <v>2339</v>
      </c>
      <c r="F196" s="130" t="s">
        <v>64</v>
      </c>
      <c r="G196" s="419" t="s">
        <v>142</v>
      </c>
      <c r="H196" s="28"/>
      <c r="I196" s="26">
        <v>2.0</v>
      </c>
      <c r="J196" s="57"/>
      <c r="K196" s="28"/>
      <c r="L196" s="34" t="s">
        <v>1657</v>
      </c>
      <c r="M196" s="106" t="s">
        <v>1658</v>
      </c>
      <c r="N196" s="113"/>
      <c r="O196" s="32">
        <v>91.0</v>
      </c>
    </row>
    <row r="197">
      <c r="A197" s="163" t="s">
        <v>1245</v>
      </c>
      <c r="B197" s="111" t="s">
        <v>1246</v>
      </c>
      <c r="C197" s="22">
        <v>3300000.0</v>
      </c>
      <c r="D197" s="26">
        <v>2015.0</v>
      </c>
      <c r="E197" s="26" t="s">
        <v>2340</v>
      </c>
      <c r="F197" s="26" t="s">
        <v>28</v>
      </c>
      <c r="G197" s="26" t="s">
        <v>51</v>
      </c>
      <c r="H197" s="28"/>
      <c r="I197" s="26">
        <v>2.0</v>
      </c>
      <c r="J197" s="57"/>
      <c r="K197" s="28"/>
      <c r="L197" s="53" t="s">
        <v>1248</v>
      </c>
      <c r="M197" s="106" t="s">
        <v>1249</v>
      </c>
      <c r="N197" s="113"/>
      <c r="O197" s="32">
        <v>193.0</v>
      </c>
    </row>
    <row r="198">
      <c r="A198" s="167" t="s">
        <v>1810</v>
      </c>
      <c r="B198" s="130" t="s">
        <v>1811</v>
      </c>
      <c r="C198" s="22">
        <v>3300000.0</v>
      </c>
      <c r="D198" s="26">
        <v>2010.0</v>
      </c>
      <c r="E198" s="26" t="s">
        <v>2341</v>
      </c>
      <c r="F198" s="26" t="s">
        <v>58</v>
      </c>
      <c r="G198" s="26" t="s">
        <v>1034</v>
      </c>
      <c r="H198" s="130" t="s">
        <v>29</v>
      </c>
      <c r="I198" s="26">
        <v>2.0</v>
      </c>
      <c r="J198" s="57"/>
      <c r="K198" s="28"/>
      <c r="L198" s="105" t="s">
        <v>1813</v>
      </c>
      <c r="M198" s="135" t="s">
        <v>1814</v>
      </c>
      <c r="N198" s="113"/>
      <c r="O198" s="32">
        <v>51.0</v>
      </c>
    </row>
    <row r="199">
      <c r="A199" s="421" t="s">
        <v>893</v>
      </c>
      <c r="B199" s="422" t="s">
        <v>894</v>
      </c>
      <c r="C199" s="423">
        <v>3000000.0</v>
      </c>
      <c r="D199" s="422">
        <v>2018.0</v>
      </c>
      <c r="E199" s="422" t="s">
        <v>2342</v>
      </c>
      <c r="F199" s="26" t="s">
        <v>258</v>
      </c>
      <c r="G199" s="422" t="s">
        <v>23</v>
      </c>
      <c r="H199" s="426"/>
      <c r="I199" s="422">
        <v>4.0</v>
      </c>
      <c r="J199" s="57"/>
      <c r="K199" s="110"/>
      <c r="L199" s="26" t="s">
        <v>896</v>
      </c>
      <c r="M199" s="465" t="s">
        <v>897</v>
      </c>
      <c r="N199" s="431"/>
      <c r="O199" s="32">
        <v>280.0</v>
      </c>
    </row>
    <row r="200">
      <c r="A200" s="421" t="s">
        <v>916</v>
      </c>
      <c r="B200" s="422"/>
      <c r="C200" s="423">
        <v>3000000.0</v>
      </c>
      <c r="D200" s="422">
        <v>2018.0</v>
      </c>
      <c r="E200" s="422" t="s">
        <v>2343</v>
      </c>
      <c r="F200" s="422" t="s">
        <v>2163</v>
      </c>
      <c r="G200" s="422" t="s">
        <v>51</v>
      </c>
      <c r="H200" s="426"/>
      <c r="I200" s="422">
        <v>3.0</v>
      </c>
      <c r="J200" s="57"/>
      <c r="K200" s="110"/>
      <c r="L200" s="26" t="s">
        <v>918</v>
      </c>
      <c r="M200" s="465" t="s">
        <v>919</v>
      </c>
      <c r="N200" s="431"/>
      <c r="O200" s="32">
        <v>275.0</v>
      </c>
    </row>
    <row r="201">
      <c r="A201" s="20" t="s">
        <v>1020</v>
      </c>
      <c r="B201" s="26"/>
      <c r="C201" s="22">
        <v>3000000.0</v>
      </c>
      <c r="D201" s="26">
        <v>2017.0</v>
      </c>
      <c r="E201" s="26" t="s">
        <v>2344</v>
      </c>
      <c r="F201" s="26" t="s">
        <v>50</v>
      </c>
      <c r="G201" s="26" t="s">
        <v>23</v>
      </c>
      <c r="H201" s="26" t="s">
        <v>29</v>
      </c>
      <c r="I201" s="26">
        <v>2.0</v>
      </c>
      <c r="J201" s="57"/>
      <c r="K201" s="28"/>
      <c r="L201" s="34" t="s">
        <v>30</v>
      </c>
      <c r="M201" s="106" t="s">
        <v>1022</v>
      </c>
      <c r="N201" s="113"/>
      <c r="O201" s="32">
        <v>248.0</v>
      </c>
    </row>
    <row r="202">
      <c r="A202" s="52" t="s">
        <v>1028</v>
      </c>
      <c r="B202" s="34"/>
      <c r="C202" s="22">
        <v>3000000.0</v>
      </c>
      <c r="D202" s="26">
        <v>2017.0</v>
      </c>
      <c r="E202" s="34" t="s">
        <v>2345</v>
      </c>
      <c r="F202" s="26" t="s">
        <v>64</v>
      </c>
      <c r="G202" s="26" t="s">
        <v>51</v>
      </c>
      <c r="H202" s="34" t="s">
        <v>29</v>
      </c>
      <c r="I202" s="26">
        <v>5.0</v>
      </c>
      <c r="J202" s="57"/>
      <c r="K202" s="53"/>
      <c r="L202" s="53" t="s">
        <v>1030</v>
      </c>
      <c r="M202" s="135" t="s">
        <v>1031</v>
      </c>
      <c r="N202" s="136"/>
      <c r="O202" s="32">
        <v>246.0</v>
      </c>
    </row>
    <row r="203">
      <c r="A203" s="141" t="s">
        <v>1071</v>
      </c>
      <c r="B203" s="120"/>
      <c r="C203" s="133">
        <v>3000000.0</v>
      </c>
      <c r="D203" s="26">
        <v>2017.0</v>
      </c>
      <c r="E203" s="105" t="s">
        <v>2346</v>
      </c>
      <c r="F203" s="120" t="s">
        <v>28</v>
      </c>
      <c r="G203" s="120" t="s">
        <v>23</v>
      </c>
      <c r="H203" s="120"/>
      <c r="I203" s="150">
        <v>4.0</v>
      </c>
      <c r="J203" s="57"/>
      <c r="K203" s="120"/>
      <c r="L203" s="120" t="s">
        <v>1073</v>
      </c>
      <c r="M203" s="122" t="s">
        <v>1074</v>
      </c>
      <c r="N203" s="117"/>
      <c r="O203" s="32">
        <v>235.0</v>
      </c>
    </row>
    <row r="204">
      <c r="A204" s="165" t="s">
        <v>1542</v>
      </c>
      <c r="B204" s="130" t="s">
        <v>1543</v>
      </c>
      <c r="C204" s="22">
        <v>3000000.0</v>
      </c>
      <c r="D204" s="26">
        <v>2012.0</v>
      </c>
      <c r="E204" s="26" t="s">
        <v>2347</v>
      </c>
      <c r="F204" s="26" t="s">
        <v>58</v>
      </c>
      <c r="G204" s="130" t="s">
        <v>23</v>
      </c>
      <c r="H204" s="130" t="s">
        <v>29</v>
      </c>
      <c r="I204" s="26">
        <v>5.0</v>
      </c>
      <c r="J204" s="57"/>
      <c r="K204" s="28"/>
      <c r="L204" s="53" t="s">
        <v>608</v>
      </c>
      <c r="M204" s="106" t="s">
        <v>1545</v>
      </c>
      <c r="N204" s="113"/>
      <c r="O204" s="32">
        <v>118.0</v>
      </c>
    </row>
    <row r="205">
      <c r="A205" s="20" t="s">
        <v>1659</v>
      </c>
      <c r="B205" s="26" t="s">
        <v>1660</v>
      </c>
      <c r="C205" s="22">
        <v>3000000.0</v>
      </c>
      <c r="D205" s="26">
        <v>2011.0</v>
      </c>
      <c r="E205" s="26" t="s">
        <v>2348</v>
      </c>
      <c r="F205" s="26" t="s">
        <v>28</v>
      </c>
      <c r="G205" s="26" t="s">
        <v>23</v>
      </c>
      <c r="H205" s="28"/>
      <c r="I205" s="26">
        <v>1.0</v>
      </c>
      <c r="J205" s="57"/>
      <c r="K205" s="110"/>
      <c r="L205" s="34" t="s">
        <v>507</v>
      </c>
      <c r="M205" s="106" t="s">
        <v>1662</v>
      </c>
      <c r="N205" s="113"/>
      <c r="O205" s="32">
        <v>90.0</v>
      </c>
    </row>
    <row r="206">
      <c r="A206" s="165" t="s">
        <v>1935</v>
      </c>
      <c r="B206" s="28"/>
      <c r="C206" s="22">
        <v>3000000.0</v>
      </c>
      <c r="D206" s="26">
        <v>2007.0</v>
      </c>
      <c r="E206" s="111" t="s">
        <v>2349</v>
      </c>
      <c r="F206" s="130" t="s">
        <v>64</v>
      </c>
      <c r="G206" s="26" t="s">
        <v>1034</v>
      </c>
      <c r="H206" s="28"/>
      <c r="I206" s="26">
        <v>2.0</v>
      </c>
      <c r="J206" s="57"/>
      <c r="K206" s="28"/>
      <c r="L206" s="53" t="s">
        <v>905</v>
      </c>
      <c r="M206" s="106" t="s">
        <v>1937</v>
      </c>
      <c r="N206" s="113"/>
      <c r="O206" s="32">
        <v>19.0</v>
      </c>
    </row>
    <row r="207">
      <c r="A207" s="20" t="s">
        <v>1362</v>
      </c>
      <c r="B207" s="26"/>
      <c r="C207" s="22">
        <v>2700000.0</v>
      </c>
      <c r="D207" s="26">
        <v>2014.0</v>
      </c>
      <c r="E207" s="26" t="s">
        <v>2350</v>
      </c>
      <c r="F207" s="26" t="s">
        <v>58</v>
      </c>
      <c r="G207" s="150" t="s">
        <v>23</v>
      </c>
      <c r="H207" s="28"/>
      <c r="I207" s="26">
        <v>4.0</v>
      </c>
      <c r="J207" s="57"/>
      <c r="K207" s="110"/>
      <c r="L207" s="53" t="s">
        <v>286</v>
      </c>
      <c r="M207" s="106" t="s">
        <v>1364</v>
      </c>
      <c r="N207" s="113"/>
      <c r="O207" s="32">
        <v>164.0</v>
      </c>
    </row>
    <row r="208">
      <c r="A208" s="165" t="s">
        <v>1354</v>
      </c>
      <c r="B208" s="28"/>
      <c r="C208" s="22">
        <v>2600000.0</v>
      </c>
      <c r="D208" s="26">
        <v>2007.0</v>
      </c>
      <c r="E208" s="26" t="s">
        <v>2351</v>
      </c>
      <c r="F208" s="26" t="s">
        <v>58</v>
      </c>
      <c r="G208" s="26" t="s">
        <v>1034</v>
      </c>
      <c r="H208" s="130" t="s">
        <v>29</v>
      </c>
      <c r="I208" s="26">
        <v>3.0</v>
      </c>
      <c r="J208" s="57"/>
      <c r="K208" s="28"/>
      <c r="L208" s="105" t="s">
        <v>1608</v>
      </c>
      <c r="M208" s="106" t="s">
        <v>1959</v>
      </c>
      <c r="N208" s="113"/>
      <c r="O208" s="32">
        <v>13.0</v>
      </c>
    </row>
    <row r="209">
      <c r="A209" s="20" t="s">
        <v>626</v>
      </c>
      <c r="B209" s="51"/>
      <c r="C209" s="22">
        <v>2500000.0</v>
      </c>
      <c r="D209" s="26">
        <v>2020.0</v>
      </c>
      <c r="E209" s="26" t="s">
        <v>2352</v>
      </c>
      <c r="F209" s="26" t="s">
        <v>628</v>
      </c>
      <c r="G209" s="26" t="s">
        <v>51</v>
      </c>
      <c r="H209" s="28"/>
      <c r="I209" s="26">
        <v>4.0</v>
      </c>
      <c r="J209" s="27"/>
      <c r="K209" s="28"/>
      <c r="L209" s="34" t="s">
        <v>629</v>
      </c>
      <c r="M209" s="468" t="s">
        <v>630</v>
      </c>
      <c r="N209" s="31"/>
      <c r="O209" s="32">
        <v>360.0</v>
      </c>
    </row>
    <row r="210">
      <c r="A210" s="165" t="s">
        <v>1875</v>
      </c>
      <c r="B210" s="130" t="s">
        <v>1876</v>
      </c>
      <c r="C210" s="22">
        <v>2500000.0</v>
      </c>
      <c r="D210" s="26">
        <v>2008.0</v>
      </c>
      <c r="E210" s="111" t="s">
        <v>2353</v>
      </c>
      <c r="F210" s="26" t="s">
        <v>58</v>
      </c>
      <c r="G210" s="130" t="s">
        <v>59</v>
      </c>
      <c r="H210" s="28"/>
      <c r="I210" s="26">
        <v>2.0</v>
      </c>
      <c r="J210" s="57"/>
      <c r="K210" s="28"/>
      <c r="L210" s="34" t="s">
        <v>1878</v>
      </c>
      <c r="M210" s="106" t="s">
        <v>1879</v>
      </c>
      <c r="N210" s="113"/>
      <c r="O210" s="32">
        <v>35.0</v>
      </c>
    </row>
    <row r="211">
      <c r="A211" s="239" t="s">
        <v>613</v>
      </c>
      <c r="B211" s="470"/>
      <c r="C211" s="170">
        <v>2400000.0</v>
      </c>
      <c r="D211" s="173">
        <v>2020.0</v>
      </c>
      <c r="E211" s="173" t="s">
        <v>2354</v>
      </c>
      <c r="F211" s="173" t="s">
        <v>2163</v>
      </c>
      <c r="G211" s="173" t="s">
        <v>23</v>
      </c>
      <c r="H211" s="173"/>
      <c r="I211" s="173">
        <v>2.0</v>
      </c>
      <c r="J211" s="240"/>
      <c r="K211" s="177"/>
      <c r="L211" s="471" t="s">
        <v>34</v>
      </c>
      <c r="M211" s="472" t="s">
        <v>615</v>
      </c>
      <c r="N211" s="473"/>
      <c r="O211" s="32">
        <v>364.0</v>
      </c>
    </row>
    <row r="212">
      <c r="A212" s="20" t="s">
        <v>623</v>
      </c>
      <c r="B212" s="51"/>
      <c r="C212" s="22">
        <v>2400000.0</v>
      </c>
      <c r="D212" s="26">
        <v>2020.0</v>
      </c>
      <c r="E212" s="26" t="s">
        <v>2355</v>
      </c>
      <c r="F212" s="26" t="s">
        <v>38</v>
      </c>
      <c r="G212" s="26" t="s">
        <v>142</v>
      </c>
      <c r="H212" s="26" t="s">
        <v>29</v>
      </c>
      <c r="I212" s="26">
        <v>1.0</v>
      </c>
      <c r="J212" s="27"/>
      <c r="K212" s="28"/>
      <c r="L212" s="34" t="s">
        <v>325</v>
      </c>
      <c r="M212" s="468" t="s">
        <v>625</v>
      </c>
      <c r="N212" s="31"/>
      <c r="O212" s="32">
        <v>361.0</v>
      </c>
    </row>
    <row r="213">
      <c r="A213" s="114" t="s">
        <v>1303</v>
      </c>
      <c r="B213" s="115" t="s">
        <v>1304</v>
      </c>
      <c r="C213" s="22">
        <v>2400000.0</v>
      </c>
      <c r="D213" s="26">
        <v>2015.0</v>
      </c>
      <c r="E213" s="34" t="s">
        <v>2356</v>
      </c>
      <c r="F213" s="34" t="s">
        <v>129</v>
      </c>
      <c r="G213" s="115" t="s">
        <v>23</v>
      </c>
      <c r="H213" s="53"/>
      <c r="I213" s="26">
        <v>5.0</v>
      </c>
      <c r="J213" s="57"/>
      <c r="K213" s="53"/>
      <c r="L213" s="53" t="s">
        <v>325</v>
      </c>
      <c r="M213" s="160" t="s">
        <v>1306</v>
      </c>
      <c r="N213" s="19"/>
      <c r="O213" s="32">
        <v>179.0</v>
      </c>
    </row>
    <row r="214">
      <c r="A214" s="165" t="s">
        <v>1324</v>
      </c>
      <c r="B214" s="28"/>
      <c r="C214" s="22">
        <v>2400000.0</v>
      </c>
      <c r="D214" s="26">
        <v>2014.0</v>
      </c>
      <c r="E214" s="111" t="s">
        <v>2357</v>
      </c>
      <c r="F214" s="130" t="s">
        <v>28</v>
      </c>
      <c r="G214" s="130" t="s">
        <v>23</v>
      </c>
      <c r="H214" s="28"/>
      <c r="I214" s="130">
        <v>1.0</v>
      </c>
      <c r="J214" s="57"/>
      <c r="K214" s="28"/>
      <c r="L214" s="34" t="s">
        <v>918</v>
      </c>
      <c r="M214" s="106" t="s">
        <v>1326</v>
      </c>
      <c r="N214" s="113"/>
      <c r="O214" s="32">
        <v>174.0</v>
      </c>
    </row>
    <row r="215">
      <c r="A215" s="165" t="s">
        <v>1640</v>
      </c>
      <c r="B215" s="130" t="s">
        <v>1641</v>
      </c>
      <c r="C215" s="22">
        <v>2300000.0</v>
      </c>
      <c r="D215" s="26">
        <v>2011.0</v>
      </c>
      <c r="E215" s="26" t="s">
        <v>2358</v>
      </c>
      <c r="F215" s="130" t="s">
        <v>28</v>
      </c>
      <c r="G215" s="130" t="s">
        <v>23</v>
      </c>
      <c r="H215" s="28"/>
      <c r="I215" s="26">
        <v>3.0</v>
      </c>
      <c r="J215" s="57"/>
      <c r="K215" s="28"/>
      <c r="L215" s="34" t="s">
        <v>1643</v>
      </c>
      <c r="M215" s="106" t="s">
        <v>1644</v>
      </c>
      <c r="N215" s="113"/>
      <c r="O215" s="32">
        <v>95.0</v>
      </c>
    </row>
    <row r="216">
      <c r="A216" s="20" t="s">
        <v>1149</v>
      </c>
      <c r="B216" s="111" t="s">
        <v>1150</v>
      </c>
      <c r="C216" s="22">
        <v>2200000.0</v>
      </c>
      <c r="D216" s="26">
        <v>2016.0</v>
      </c>
      <c r="E216" s="26" t="s">
        <v>2359</v>
      </c>
      <c r="F216" s="26" t="s">
        <v>38</v>
      </c>
      <c r="G216" s="26" t="s">
        <v>51</v>
      </c>
      <c r="H216" s="28"/>
      <c r="I216" s="26">
        <v>3.0</v>
      </c>
      <c r="J216" s="57"/>
      <c r="K216" s="28"/>
      <c r="L216" s="53" t="s">
        <v>1152</v>
      </c>
      <c r="M216" s="106" t="s">
        <v>1153</v>
      </c>
      <c r="N216" s="113"/>
      <c r="O216" s="32">
        <v>216.0</v>
      </c>
    </row>
    <row r="217">
      <c r="A217" s="165" t="s">
        <v>1902</v>
      </c>
      <c r="B217" s="130" t="s">
        <v>1903</v>
      </c>
      <c r="C217" s="22">
        <v>2200000.0</v>
      </c>
      <c r="D217" s="26">
        <v>2008.0</v>
      </c>
      <c r="E217" s="26" t="s">
        <v>2360</v>
      </c>
      <c r="F217" s="130" t="s">
        <v>2060</v>
      </c>
      <c r="G217" s="26" t="s">
        <v>1034</v>
      </c>
      <c r="H217" s="130" t="s">
        <v>29</v>
      </c>
      <c r="I217" s="26">
        <v>4.0</v>
      </c>
      <c r="J217" s="57"/>
      <c r="K217" s="28"/>
      <c r="L217" s="34" t="s">
        <v>1905</v>
      </c>
      <c r="M217" s="106" t="s">
        <v>1906</v>
      </c>
      <c r="N217" s="113"/>
      <c r="O217" s="32">
        <v>28.0</v>
      </c>
    </row>
    <row r="218">
      <c r="A218" s="165" t="s">
        <v>1867</v>
      </c>
      <c r="B218" s="28"/>
      <c r="C218" s="22">
        <v>2100000.0</v>
      </c>
      <c r="D218" s="26">
        <v>2008.0</v>
      </c>
      <c r="E218" s="26" t="s">
        <v>2361</v>
      </c>
      <c r="F218" s="130" t="s">
        <v>2060</v>
      </c>
      <c r="G218" s="26" t="s">
        <v>1034</v>
      </c>
      <c r="H218" s="28"/>
      <c r="I218" s="26">
        <v>3.0</v>
      </c>
      <c r="J218" s="57"/>
      <c r="K218" s="28"/>
      <c r="L218" s="105" t="s">
        <v>1869</v>
      </c>
      <c r="M218" s="106" t="s">
        <v>1870</v>
      </c>
      <c r="N218" s="113"/>
      <c r="O218" s="32">
        <v>37.0</v>
      </c>
    </row>
    <row r="219">
      <c r="A219" s="421" t="s">
        <v>341</v>
      </c>
      <c r="B219" s="422"/>
      <c r="C219" s="423">
        <v>2000000.0</v>
      </c>
      <c r="D219" s="422">
        <v>2018.0</v>
      </c>
      <c r="E219" s="422" t="s">
        <v>2362</v>
      </c>
      <c r="F219" s="422" t="s">
        <v>129</v>
      </c>
      <c r="G219" s="422" t="s">
        <v>23</v>
      </c>
      <c r="H219" s="426"/>
      <c r="I219" s="422">
        <v>1.0</v>
      </c>
      <c r="J219" s="57"/>
      <c r="K219" s="110"/>
      <c r="L219" s="26" t="s">
        <v>886</v>
      </c>
      <c r="M219" s="465" t="s">
        <v>887</v>
      </c>
      <c r="N219" s="431"/>
      <c r="O219" s="32">
        <v>282.0</v>
      </c>
    </row>
    <row r="220">
      <c r="A220" s="52" t="s">
        <v>1014</v>
      </c>
      <c r="B220" s="53"/>
      <c r="C220" s="22">
        <v>2000000.0</v>
      </c>
      <c r="D220" s="26">
        <v>2017.0</v>
      </c>
      <c r="E220" s="34" t="s">
        <v>2363</v>
      </c>
      <c r="F220" s="26" t="s">
        <v>43</v>
      </c>
      <c r="G220" s="419" t="s">
        <v>142</v>
      </c>
      <c r="H220" s="115"/>
      <c r="I220" s="26">
        <v>3.0</v>
      </c>
      <c r="J220" s="57"/>
      <c r="K220" s="53"/>
      <c r="L220" s="34" t="s">
        <v>629</v>
      </c>
      <c r="M220" s="135" t="s">
        <v>1016</v>
      </c>
      <c r="N220" s="136"/>
      <c r="O220" s="32">
        <v>250.0</v>
      </c>
    </row>
    <row r="221">
      <c r="A221" s="144" t="s">
        <v>1135</v>
      </c>
      <c r="B221" s="142"/>
      <c r="C221" s="119">
        <v>2000000.0</v>
      </c>
      <c r="D221" s="26">
        <v>2016.0</v>
      </c>
      <c r="E221" s="34" t="s">
        <v>2364</v>
      </c>
      <c r="F221" s="28" t="s">
        <v>28</v>
      </c>
      <c r="G221" s="28" t="s">
        <v>23</v>
      </c>
      <c r="H221" s="53"/>
      <c r="I221" s="28">
        <v>1.0</v>
      </c>
      <c r="J221" s="57"/>
      <c r="K221" s="53"/>
      <c r="L221" s="34" t="s">
        <v>575</v>
      </c>
      <c r="M221" s="106" t="s">
        <v>1137</v>
      </c>
      <c r="N221" s="117"/>
      <c r="O221" s="32">
        <v>220.0</v>
      </c>
    </row>
    <row r="222">
      <c r="A222" s="165" t="s">
        <v>1463</v>
      </c>
      <c r="B222" s="130" t="s">
        <v>1464</v>
      </c>
      <c r="C222" s="22">
        <v>2000000.0</v>
      </c>
      <c r="D222" s="26">
        <v>2013.0</v>
      </c>
      <c r="E222" s="26" t="s">
        <v>2365</v>
      </c>
      <c r="F222" s="26" t="s">
        <v>1227</v>
      </c>
      <c r="G222" s="130" t="s">
        <v>23</v>
      </c>
      <c r="H222" s="130" t="s">
        <v>29</v>
      </c>
      <c r="I222" s="26">
        <v>3.0</v>
      </c>
      <c r="J222" s="57"/>
      <c r="K222" s="28"/>
      <c r="L222" s="105" t="s">
        <v>247</v>
      </c>
      <c r="M222" s="106" t="s">
        <v>1466</v>
      </c>
      <c r="N222" s="113"/>
      <c r="O222" s="32">
        <v>138.0</v>
      </c>
    </row>
    <row r="223">
      <c r="A223" s="114" t="s">
        <v>1512</v>
      </c>
      <c r="B223" s="53"/>
      <c r="C223" s="22">
        <v>2000000.0</v>
      </c>
      <c r="D223" s="26">
        <v>2013.0</v>
      </c>
      <c r="E223" s="34" t="s">
        <v>2366</v>
      </c>
      <c r="F223" s="115" t="s">
        <v>129</v>
      </c>
      <c r="G223" s="115" t="s">
        <v>59</v>
      </c>
      <c r="H223" s="115" t="s">
        <v>29</v>
      </c>
      <c r="I223" s="26">
        <v>3.0</v>
      </c>
      <c r="J223" s="57"/>
      <c r="K223" s="53"/>
      <c r="L223" s="120" t="s">
        <v>1382</v>
      </c>
      <c r="M223" s="135" t="s">
        <v>1514</v>
      </c>
      <c r="N223" s="19"/>
      <c r="O223" s="32">
        <v>126.0</v>
      </c>
    </row>
    <row r="224">
      <c r="A224" s="20" t="s">
        <v>1046</v>
      </c>
      <c r="B224" s="26"/>
      <c r="C224" s="22">
        <v>1900000.0</v>
      </c>
      <c r="D224" s="26">
        <v>2017.0</v>
      </c>
      <c r="E224" s="26" t="s">
        <v>2367</v>
      </c>
      <c r="F224" s="26" t="s">
        <v>129</v>
      </c>
      <c r="G224" s="26" t="s">
        <v>23</v>
      </c>
      <c r="H224" s="28"/>
      <c r="I224" s="26">
        <v>1.0</v>
      </c>
      <c r="J224" s="57"/>
      <c r="K224" s="28"/>
      <c r="L224" s="53" t="s">
        <v>706</v>
      </c>
      <c r="M224" s="106" t="s">
        <v>1048</v>
      </c>
      <c r="N224" s="113"/>
      <c r="O224" s="32">
        <v>242.0</v>
      </c>
    </row>
    <row r="225">
      <c r="A225" s="165" t="s">
        <v>1706</v>
      </c>
      <c r="B225" s="115" t="s">
        <v>1707</v>
      </c>
      <c r="C225" s="22">
        <v>1900000.0</v>
      </c>
      <c r="D225" s="26">
        <v>2011.0</v>
      </c>
      <c r="E225" s="26" t="s">
        <v>2368</v>
      </c>
      <c r="F225" s="26" t="s">
        <v>258</v>
      </c>
      <c r="G225" s="26" t="s">
        <v>1034</v>
      </c>
      <c r="H225" s="28"/>
      <c r="I225" s="225" t="s">
        <v>1677</v>
      </c>
      <c r="J225" s="57"/>
      <c r="K225" s="28"/>
      <c r="L225" s="34" t="s">
        <v>1709</v>
      </c>
      <c r="M225" s="106" t="s">
        <v>1710</v>
      </c>
      <c r="N225" s="109"/>
      <c r="O225" s="32">
        <v>76.0</v>
      </c>
    </row>
    <row r="226">
      <c r="A226" s="165" t="s">
        <v>1568</v>
      </c>
      <c r="B226" s="28"/>
      <c r="C226" s="22">
        <v>1800000.0</v>
      </c>
      <c r="D226" s="26">
        <v>2012.0</v>
      </c>
      <c r="E226" s="26" t="s">
        <v>2369</v>
      </c>
      <c r="F226" s="26" t="s">
        <v>38</v>
      </c>
      <c r="G226" s="130" t="s">
        <v>59</v>
      </c>
      <c r="H226" s="28"/>
      <c r="I226" s="26">
        <v>2.0</v>
      </c>
      <c r="J226" s="57"/>
      <c r="K226" s="28"/>
      <c r="L226" s="419" t="s">
        <v>1026</v>
      </c>
      <c r="M226" s="474" t="s">
        <v>1570</v>
      </c>
      <c r="N226" s="113"/>
      <c r="O226" s="32">
        <v>112.0</v>
      </c>
    </row>
    <row r="227">
      <c r="A227" s="20" t="s">
        <v>1006</v>
      </c>
      <c r="B227" s="26"/>
      <c r="C227" s="22">
        <v>1700000.0</v>
      </c>
      <c r="D227" s="26">
        <v>2017.0</v>
      </c>
      <c r="E227" s="26" t="s">
        <v>2370</v>
      </c>
      <c r="F227" s="26" t="s">
        <v>2163</v>
      </c>
      <c r="G227" s="26" t="s">
        <v>23</v>
      </c>
      <c r="H227" s="26" t="s">
        <v>29</v>
      </c>
      <c r="I227" s="26">
        <v>1.0</v>
      </c>
      <c r="J227" s="57"/>
      <c r="K227" s="28"/>
      <c r="L227" s="53" t="s">
        <v>1008</v>
      </c>
      <c r="M227" s="106" t="s">
        <v>1009</v>
      </c>
      <c r="N227" s="113"/>
      <c r="O227" s="32">
        <v>252.0</v>
      </c>
    </row>
    <row r="228">
      <c r="A228" s="118" t="s">
        <v>1054</v>
      </c>
      <c r="B228" s="127"/>
      <c r="C228" s="133">
        <v>1700000.0</v>
      </c>
      <c r="D228" s="150">
        <v>2017.0</v>
      </c>
      <c r="E228" s="105" t="s">
        <v>2277</v>
      </c>
      <c r="F228" s="128" t="s">
        <v>2163</v>
      </c>
      <c r="G228" s="127" t="s">
        <v>23</v>
      </c>
      <c r="H228" s="127"/>
      <c r="I228" s="150">
        <v>4.0</v>
      </c>
      <c r="J228" s="57"/>
      <c r="K228" s="120"/>
      <c r="L228" s="53" t="s">
        <v>1054</v>
      </c>
      <c r="M228" s="122" t="s">
        <v>1055</v>
      </c>
      <c r="N228" s="140"/>
      <c r="O228" s="32">
        <v>240.0</v>
      </c>
    </row>
    <row r="229">
      <c r="A229" s="114" t="s">
        <v>1627</v>
      </c>
      <c r="B229" s="130" t="s">
        <v>1628</v>
      </c>
      <c r="C229" s="22">
        <v>1700000.0</v>
      </c>
      <c r="D229" s="26">
        <v>2011.0</v>
      </c>
      <c r="E229" s="26" t="s">
        <v>2371</v>
      </c>
      <c r="F229" s="26" t="s">
        <v>258</v>
      </c>
      <c r="G229" s="26" t="s">
        <v>1034</v>
      </c>
      <c r="H229" s="28"/>
      <c r="I229" s="26">
        <v>4.0</v>
      </c>
      <c r="J229" s="57"/>
      <c r="K229" s="53"/>
      <c r="L229" s="34" t="s">
        <v>1630</v>
      </c>
      <c r="M229" s="135" t="s">
        <v>1631</v>
      </c>
      <c r="N229" s="19"/>
      <c r="O229" s="32">
        <v>98.0</v>
      </c>
    </row>
    <row r="230">
      <c r="A230" s="165" t="s">
        <v>1919</v>
      </c>
      <c r="B230" s="28"/>
      <c r="C230" s="22">
        <v>1700000.0</v>
      </c>
      <c r="D230" s="26">
        <v>2008.0</v>
      </c>
      <c r="E230" s="111" t="s">
        <v>2372</v>
      </c>
      <c r="F230" s="130" t="s">
        <v>64</v>
      </c>
      <c r="G230" s="26" t="s">
        <v>1034</v>
      </c>
      <c r="H230" s="130" t="s">
        <v>29</v>
      </c>
      <c r="I230" s="26">
        <v>5.0</v>
      </c>
      <c r="J230" s="57"/>
      <c r="K230" s="28"/>
      <c r="L230" s="53" t="s">
        <v>905</v>
      </c>
      <c r="M230" s="106" t="s">
        <v>1921</v>
      </c>
      <c r="N230" s="113"/>
      <c r="O230" s="32">
        <v>24.0</v>
      </c>
    </row>
    <row r="231">
      <c r="A231" s="118" t="s">
        <v>1056</v>
      </c>
      <c r="B231" s="127" t="s">
        <v>1057</v>
      </c>
      <c r="C231" s="133">
        <v>1600000.0</v>
      </c>
      <c r="D231" s="150">
        <v>2017.0</v>
      </c>
      <c r="E231" s="105" t="s">
        <v>2373</v>
      </c>
      <c r="F231" s="26" t="s">
        <v>58</v>
      </c>
      <c r="G231" s="127" t="s">
        <v>23</v>
      </c>
      <c r="H231" s="127"/>
      <c r="I231" s="150">
        <v>4.0</v>
      </c>
      <c r="J231" s="57"/>
      <c r="K231" s="120"/>
      <c r="L231" s="105" t="s">
        <v>85</v>
      </c>
      <c r="M231" s="122" t="s">
        <v>1059</v>
      </c>
      <c r="N231" s="140"/>
      <c r="O231" s="32">
        <v>239.0</v>
      </c>
    </row>
    <row r="232">
      <c r="A232" s="114" t="s">
        <v>1755</v>
      </c>
      <c r="B232" s="130" t="s">
        <v>1756</v>
      </c>
      <c r="C232" s="22">
        <v>1600000.0</v>
      </c>
      <c r="D232" s="26">
        <v>2011.0</v>
      </c>
      <c r="E232" s="26" t="s">
        <v>2374</v>
      </c>
      <c r="F232" s="26" t="s">
        <v>258</v>
      </c>
      <c r="G232" s="26" t="s">
        <v>1034</v>
      </c>
      <c r="H232" s="28"/>
      <c r="I232" s="26">
        <v>4.0</v>
      </c>
      <c r="J232" s="57"/>
      <c r="K232" s="53"/>
      <c r="L232" s="34" t="s">
        <v>1758</v>
      </c>
      <c r="M232" s="135" t="s">
        <v>1759</v>
      </c>
      <c r="N232" s="136"/>
      <c r="O232" s="32">
        <v>64.0</v>
      </c>
    </row>
    <row r="233">
      <c r="A233" s="181" t="s">
        <v>1931</v>
      </c>
      <c r="B233" s="130" t="s">
        <v>1932</v>
      </c>
      <c r="C233" s="22">
        <v>1600000.0</v>
      </c>
      <c r="D233" s="26">
        <v>2007.0</v>
      </c>
      <c r="E233" s="26" t="s">
        <v>2375</v>
      </c>
      <c r="F233" s="130" t="s">
        <v>28</v>
      </c>
      <c r="G233" s="130" t="s">
        <v>23</v>
      </c>
      <c r="H233" s="130" t="s">
        <v>29</v>
      </c>
      <c r="I233" s="26">
        <v>2.0</v>
      </c>
      <c r="J233" s="57"/>
      <c r="K233" s="28"/>
      <c r="L233" s="53" t="s">
        <v>905</v>
      </c>
      <c r="M233" s="106" t="s">
        <v>1934</v>
      </c>
      <c r="N233" s="113"/>
      <c r="O233" s="32">
        <v>20.0</v>
      </c>
    </row>
    <row r="234">
      <c r="A234" s="103" t="s">
        <v>819</v>
      </c>
      <c r="B234" s="420"/>
      <c r="C234" s="22">
        <v>1500000.0</v>
      </c>
      <c r="D234" s="26">
        <v>2018.0</v>
      </c>
      <c r="E234" s="26" t="s">
        <v>2376</v>
      </c>
      <c r="F234" s="26" t="s">
        <v>258</v>
      </c>
      <c r="G234" s="26" t="s">
        <v>23</v>
      </c>
      <c r="H234" s="26"/>
      <c r="I234" s="26">
        <v>4.0</v>
      </c>
      <c r="J234" s="27"/>
      <c r="K234" s="28"/>
      <c r="L234" s="105" t="s">
        <v>821</v>
      </c>
      <c r="M234" s="106" t="s">
        <v>822</v>
      </c>
      <c r="N234" s="107"/>
      <c r="O234" s="32">
        <v>298.0</v>
      </c>
    </row>
    <row r="235">
      <c r="A235" s="147" t="s">
        <v>1162</v>
      </c>
      <c r="B235" s="148" t="s">
        <v>1163</v>
      </c>
      <c r="C235" s="149">
        <v>1500000.0</v>
      </c>
      <c r="D235" s="26">
        <v>2016.0</v>
      </c>
      <c r="E235" s="150" t="s">
        <v>2377</v>
      </c>
      <c r="F235" s="150" t="s">
        <v>28</v>
      </c>
      <c r="G235" s="150" t="s">
        <v>23</v>
      </c>
      <c r="H235" s="151"/>
      <c r="I235" s="150">
        <v>4.0</v>
      </c>
      <c r="J235" s="57"/>
      <c r="K235" s="151"/>
      <c r="L235" s="53" t="s">
        <v>886</v>
      </c>
      <c r="M235" s="106" t="s">
        <v>1165</v>
      </c>
      <c r="N235" s="113"/>
      <c r="O235" s="32">
        <v>213.0</v>
      </c>
    </row>
    <row r="236">
      <c r="A236" s="20" t="s">
        <v>1470</v>
      </c>
      <c r="B236" s="26"/>
      <c r="C236" s="22">
        <v>1500000.0</v>
      </c>
      <c r="D236" s="26">
        <v>2013.0</v>
      </c>
      <c r="E236" s="34" t="s">
        <v>2378</v>
      </c>
      <c r="F236" s="26" t="s">
        <v>64</v>
      </c>
      <c r="G236" s="26" t="s">
        <v>59</v>
      </c>
      <c r="H236" s="26" t="s">
        <v>29</v>
      </c>
      <c r="I236" s="26">
        <v>5.0</v>
      </c>
      <c r="J236" s="57"/>
      <c r="K236" s="28"/>
      <c r="L236" s="53" t="s">
        <v>591</v>
      </c>
      <c r="M236" s="106" t="s">
        <v>1472</v>
      </c>
      <c r="N236" s="113"/>
      <c r="O236" s="32">
        <v>136.0</v>
      </c>
    </row>
    <row r="237">
      <c r="A237" s="165" t="s">
        <v>1533</v>
      </c>
      <c r="B237" s="130" t="s">
        <v>1534</v>
      </c>
      <c r="C237" s="22">
        <v>1500000.0</v>
      </c>
      <c r="D237" s="26">
        <v>2012.0</v>
      </c>
      <c r="E237" s="26" t="s">
        <v>2379</v>
      </c>
      <c r="F237" s="26" t="s">
        <v>58</v>
      </c>
      <c r="G237" s="130" t="s">
        <v>23</v>
      </c>
      <c r="H237" s="28"/>
      <c r="I237" s="26">
        <v>3.0</v>
      </c>
      <c r="J237" s="57"/>
      <c r="K237" s="28"/>
      <c r="L237" s="34" t="s">
        <v>710</v>
      </c>
      <c r="M237" s="106" t="s">
        <v>1536</v>
      </c>
      <c r="N237" s="113"/>
      <c r="O237" s="32">
        <v>120.0</v>
      </c>
    </row>
    <row r="238">
      <c r="A238" s="181" t="s">
        <v>1781</v>
      </c>
      <c r="B238" s="130" t="s">
        <v>1782</v>
      </c>
      <c r="C238" s="22">
        <v>1500000.0</v>
      </c>
      <c r="D238" s="26">
        <v>2010.0</v>
      </c>
      <c r="E238" s="26" t="s">
        <v>2380</v>
      </c>
      <c r="F238" s="130" t="s">
        <v>28</v>
      </c>
      <c r="G238" s="130" t="s">
        <v>23</v>
      </c>
      <c r="H238" s="28"/>
      <c r="I238" s="26">
        <v>2.0</v>
      </c>
      <c r="J238" s="57"/>
      <c r="K238" s="28"/>
      <c r="L238" s="53" t="s">
        <v>507</v>
      </c>
      <c r="M238" s="106" t="s">
        <v>1784</v>
      </c>
      <c r="N238" s="166" t="s">
        <v>1785</v>
      </c>
      <c r="O238" s="32">
        <v>58.0</v>
      </c>
    </row>
    <row r="239">
      <c r="A239" s="165" t="s">
        <v>1853</v>
      </c>
      <c r="B239" s="130" t="s">
        <v>1854</v>
      </c>
      <c r="C239" s="22">
        <v>1500000.0</v>
      </c>
      <c r="D239" s="26">
        <v>2009.0</v>
      </c>
      <c r="E239" s="26" t="s">
        <v>2381</v>
      </c>
      <c r="F239" s="26" t="s">
        <v>258</v>
      </c>
      <c r="G239" s="26" t="s">
        <v>1034</v>
      </c>
      <c r="H239" s="130" t="s">
        <v>29</v>
      </c>
      <c r="I239" s="26">
        <v>4.0</v>
      </c>
      <c r="J239" s="57"/>
      <c r="K239" s="28"/>
      <c r="L239" s="120" t="s">
        <v>1839</v>
      </c>
      <c r="M239" s="106" t="s">
        <v>1856</v>
      </c>
      <c r="N239" s="113"/>
      <c r="O239" s="32">
        <v>41.0</v>
      </c>
    </row>
    <row r="240">
      <c r="A240" s="165" t="s">
        <v>1884</v>
      </c>
      <c r="B240" s="130" t="s">
        <v>1885</v>
      </c>
      <c r="C240" s="22">
        <v>1500000.0</v>
      </c>
      <c r="D240" s="26">
        <v>2008.0</v>
      </c>
      <c r="E240" s="26" t="s">
        <v>2382</v>
      </c>
      <c r="F240" s="26" t="s">
        <v>58</v>
      </c>
      <c r="G240" s="130" t="s">
        <v>23</v>
      </c>
      <c r="H240" s="28"/>
      <c r="I240" s="225" t="s">
        <v>1562</v>
      </c>
      <c r="J240" s="57"/>
      <c r="K240" s="28"/>
      <c r="L240" s="120" t="s">
        <v>227</v>
      </c>
      <c r="M240" s="106" t="s">
        <v>1887</v>
      </c>
      <c r="N240" s="113"/>
      <c r="O240" s="32">
        <v>33.0</v>
      </c>
    </row>
    <row r="241">
      <c r="A241" s="20" t="s">
        <v>616</v>
      </c>
      <c r="B241" s="51"/>
      <c r="C241" s="22">
        <v>1400000.0</v>
      </c>
      <c r="D241" s="26">
        <v>2020.0</v>
      </c>
      <c r="E241" s="26" t="s">
        <v>2383</v>
      </c>
      <c r="F241" s="26" t="s">
        <v>618</v>
      </c>
      <c r="G241" s="26" t="s">
        <v>23</v>
      </c>
      <c r="H241" s="26" t="s">
        <v>29</v>
      </c>
      <c r="I241" s="26">
        <v>5.0</v>
      </c>
      <c r="J241" s="27"/>
      <c r="K241" s="28"/>
      <c r="L241" s="34" t="s">
        <v>604</v>
      </c>
      <c r="M241" s="468" t="s">
        <v>619</v>
      </c>
      <c r="N241" s="31"/>
      <c r="O241" s="32">
        <v>363.0</v>
      </c>
    </row>
    <row r="242">
      <c r="A242" s="421" t="s">
        <v>924</v>
      </c>
      <c r="B242" s="422" t="s">
        <v>925</v>
      </c>
      <c r="C242" s="423">
        <v>1300000.0</v>
      </c>
      <c r="D242" s="422">
        <v>2018.0</v>
      </c>
      <c r="E242" s="422" t="s">
        <v>2384</v>
      </c>
      <c r="F242" s="422" t="s">
        <v>43</v>
      </c>
      <c r="G242" s="440" t="s">
        <v>51</v>
      </c>
      <c r="H242" s="426"/>
      <c r="I242" s="422">
        <v>4.0</v>
      </c>
      <c r="J242" s="57"/>
      <c r="K242" s="123"/>
      <c r="L242" s="26" t="s">
        <v>927</v>
      </c>
      <c r="M242" s="465" t="s">
        <v>928</v>
      </c>
      <c r="N242" s="431"/>
      <c r="O242" s="32">
        <v>273.0</v>
      </c>
    </row>
    <row r="243">
      <c r="A243" s="165" t="s">
        <v>1694</v>
      </c>
      <c r="B243" s="28"/>
      <c r="C243" s="22">
        <v>1290755.0</v>
      </c>
      <c r="D243" s="26">
        <v>2011.0</v>
      </c>
      <c r="E243" s="26" t="s">
        <v>2385</v>
      </c>
      <c r="F243" s="130" t="s">
        <v>236</v>
      </c>
      <c r="G243" s="130" t="s">
        <v>23</v>
      </c>
      <c r="H243" s="28"/>
      <c r="I243" s="26">
        <v>2.0</v>
      </c>
      <c r="J243" s="57"/>
      <c r="K243" s="28"/>
      <c r="L243" s="34" t="s">
        <v>571</v>
      </c>
      <c r="M243" s="106" t="s">
        <v>1696</v>
      </c>
      <c r="N243" s="113"/>
      <c r="O243" s="32">
        <v>81.0</v>
      </c>
    </row>
    <row r="244">
      <c r="A244" s="165" t="s">
        <v>710</v>
      </c>
      <c r="B244" s="28"/>
      <c r="C244" s="22">
        <v>1270000.0</v>
      </c>
      <c r="D244" s="26">
        <v>2011.0</v>
      </c>
      <c r="E244" s="26" t="s">
        <v>2386</v>
      </c>
      <c r="F244" s="26" t="s">
        <v>38</v>
      </c>
      <c r="G244" s="130" t="s">
        <v>23</v>
      </c>
      <c r="H244" s="28"/>
      <c r="I244" s="26">
        <v>2.0</v>
      </c>
      <c r="J244" s="57"/>
      <c r="K244" s="28"/>
      <c r="L244" s="34" t="s">
        <v>629</v>
      </c>
      <c r="M244" s="106" t="s">
        <v>1705</v>
      </c>
      <c r="N244" s="113"/>
      <c r="O244" s="32">
        <v>77.0</v>
      </c>
    </row>
    <row r="245">
      <c r="A245" s="114" t="s">
        <v>1768</v>
      </c>
      <c r="B245" s="28"/>
      <c r="C245" s="22">
        <v>1220000.0</v>
      </c>
      <c r="D245" s="26">
        <v>2010.0</v>
      </c>
      <c r="E245" s="26" t="s">
        <v>2387</v>
      </c>
      <c r="F245" s="26" t="s">
        <v>258</v>
      </c>
      <c r="G245" s="26" t="s">
        <v>1034</v>
      </c>
      <c r="H245" s="28"/>
      <c r="I245" s="225" t="s">
        <v>1770</v>
      </c>
      <c r="J245" s="57"/>
      <c r="K245" s="53"/>
      <c r="L245" s="34" t="s">
        <v>1771</v>
      </c>
      <c r="M245" s="135" t="s">
        <v>1772</v>
      </c>
      <c r="N245" s="432"/>
      <c r="O245" s="32">
        <v>61.0</v>
      </c>
    </row>
    <row r="246">
      <c r="A246" s="165" t="s">
        <v>1370</v>
      </c>
      <c r="B246" s="53"/>
      <c r="C246" s="22">
        <v>1160000.0</v>
      </c>
      <c r="D246" s="26">
        <v>2014.0</v>
      </c>
      <c r="E246" s="26" t="s">
        <v>2388</v>
      </c>
      <c r="F246" s="26" t="s">
        <v>43</v>
      </c>
      <c r="G246" s="130" t="s">
        <v>23</v>
      </c>
      <c r="H246" s="28"/>
      <c r="I246" s="26">
        <v>3.0</v>
      </c>
      <c r="J246" s="57"/>
      <c r="K246" s="28"/>
      <c r="L246" s="53" t="s">
        <v>817</v>
      </c>
      <c r="M246" s="166" t="s">
        <v>1372</v>
      </c>
      <c r="N246" s="113"/>
      <c r="O246" s="32">
        <v>162.0</v>
      </c>
    </row>
    <row r="247">
      <c r="A247" s="114" t="s">
        <v>1214</v>
      </c>
      <c r="B247" s="115" t="s">
        <v>1215</v>
      </c>
      <c r="C247" s="22">
        <v>1100000.0</v>
      </c>
      <c r="D247" s="26">
        <v>2015.0</v>
      </c>
      <c r="E247" s="34" t="s">
        <v>2389</v>
      </c>
      <c r="F247" s="26" t="s">
        <v>258</v>
      </c>
      <c r="G247" s="115" t="s">
        <v>23</v>
      </c>
      <c r="H247" s="53"/>
      <c r="I247" s="130">
        <v>1.0</v>
      </c>
      <c r="J247" s="57"/>
      <c r="K247" s="53"/>
      <c r="L247" s="34" t="s">
        <v>702</v>
      </c>
      <c r="M247" s="146" t="s">
        <v>1217</v>
      </c>
      <c r="N247" s="19"/>
      <c r="O247" s="32">
        <v>200.0</v>
      </c>
    </row>
    <row r="248">
      <c r="A248" s="165" t="s">
        <v>509</v>
      </c>
      <c r="B248" s="130" t="s">
        <v>1320</v>
      </c>
      <c r="C248" s="22">
        <v>1100000.0</v>
      </c>
      <c r="D248" s="26">
        <v>2014.0</v>
      </c>
      <c r="E248" s="111" t="s">
        <v>2390</v>
      </c>
      <c r="F248" s="130" t="s">
        <v>43</v>
      </c>
      <c r="G248" s="130" t="s">
        <v>23</v>
      </c>
      <c r="H248" s="28"/>
      <c r="I248" s="26">
        <v>2.0</v>
      </c>
      <c r="J248" s="57"/>
      <c r="K248" s="28"/>
      <c r="L248" s="53" t="s">
        <v>841</v>
      </c>
      <c r="M248" s="166" t="s">
        <v>1322</v>
      </c>
      <c r="N248" s="166" t="s">
        <v>1323</v>
      </c>
      <c r="O248" s="32">
        <v>175.0</v>
      </c>
    </row>
    <row r="249">
      <c r="A249" s="165" t="s">
        <v>1773</v>
      </c>
      <c r="B249" s="130" t="s">
        <v>1774</v>
      </c>
      <c r="C249" s="22">
        <v>1023209.0</v>
      </c>
      <c r="D249" s="26">
        <v>2010.0</v>
      </c>
      <c r="E249" s="26" t="s">
        <v>2391</v>
      </c>
      <c r="F249" s="26" t="s">
        <v>258</v>
      </c>
      <c r="G249" s="26" t="s">
        <v>1034</v>
      </c>
      <c r="H249" s="130" t="s">
        <v>29</v>
      </c>
      <c r="I249" s="26">
        <v>2.0</v>
      </c>
      <c r="J249" s="57"/>
      <c r="K249" s="28"/>
      <c r="L249" s="34" t="s">
        <v>1026</v>
      </c>
      <c r="M249" s="106" t="s">
        <v>1776</v>
      </c>
      <c r="N249" s="109"/>
      <c r="O249" s="32">
        <v>60.0</v>
      </c>
    </row>
    <row r="250">
      <c r="A250" s="20" t="s">
        <v>1023</v>
      </c>
      <c r="B250" s="26" t="s">
        <v>1024</v>
      </c>
      <c r="C250" s="22">
        <v>1000000.0</v>
      </c>
      <c r="D250" s="26">
        <v>2017.0</v>
      </c>
      <c r="E250" s="26" t="s">
        <v>2392</v>
      </c>
      <c r="F250" s="26" t="s">
        <v>2163</v>
      </c>
      <c r="G250" s="26" t="s">
        <v>51</v>
      </c>
      <c r="H250" s="28"/>
      <c r="I250" s="26">
        <v>3.0</v>
      </c>
      <c r="J250" s="57"/>
      <c r="K250" s="28"/>
      <c r="L250" s="53" t="s">
        <v>1026</v>
      </c>
      <c r="M250" s="106" t="s">
        <v>1027</v>
      </c>
      <c r="N250" s="113"/>
      <c r="O250" s="32">
        <v>247.0</v>
      </c>
    </row>
    <row r="251">
      <c r="A251" s="165" t="s">
        <v>1488</v>
      </c>
      <c r="B251" s="130" t="s">
        <v>1489</v>
      </c>
      <c r="C251" s="22">
        <v>1000000.0</v>
      </c>
      <c r="D251" s="26">
        <v>2013.0</v>
      </c>
      <c r="E251" s="26" t="s">
        <v>2393</v>
      </c>
      <c r="F251" s="130" t="s">
        <v>28</v>
      </c>
      <c r="G251" s="130" t="s">
        <v>23</v>
      </c>
      <c r="H251" s="28"/>
      <c r="I251" s="130">
        <v>1.0</v>
      </c>
      <c r="J251" s="57"/>
      <c r="K251" s="28"/>
      <c r="L251" s="53" t="s">
        <v>247</v>
      </c>
      <c r="M251" s="106" t="s">
        <v>1491</v>
      </c>
      <c r="N251" s="113"/>
      <c r="O251" s="32">
        <v>131.0</v>
      </c>
    </row>
    <row r="252">
      <c r="A252" s="114" t="s">
        <v>1518</v>
      </c>
      <c r="B252" s="53"/>
      <c r="C252" s="22">
        <v>1000000.0</v>
      </c>
      <c r="D252" s="26">
        <v>2013.0</v>
      </c>
      <c r="E252" s="34" t="s">
        <v>2394</v>
      </c>
      <c r="F252" s="115" t="s">
        <v>50</v>
      </c>
      <c r="G252" s="115" t="s">
        <v>23</v>
      </c>
      <c r="H252" s="53"/>
      <c r="I252" s="26">
        <v>3.0</v>
      </c>
      <c r="J252" s="57"/>
      <c r="K252" s="53"/>
      <c r="L252" s="34" t="s">
        <v>1520</v>
      </c>
      <c r="M252" s="135" t="s">
        <v>1521</v>
      </c>
      <c r="N252" s="116" t="s">
        <v>1522</v>
      </c>
      <c r="O252" s="32">
        <v>124.0</v>
      </c>
    </row>
    <row r="253">
      <c r="A253" s="165" t="s">
        <v>1334</v>
      </c>
      <c r="B253" s="28"/>
      <c r="C253" s="22">
        <v>1000000.0</v>
      </c>
      <c r="D253" s="26">
        <v>2011.0</v>
      </c>
      <c r="E253" s="26" t="s">
        <v>2395</v>
      </c>
      <c r="F253" s="130" t="s">
        <v>28</v>
      </c>
      <c r="G253" s="130" t="s">
        <v>23</v>
      </c>
      <c r="H253" s="130" t="s">
        <v>29</v>
      </c>
      <c r="I253" s="130">
        <v>1.0</v>
      </c>
      <c r="J253" s="57"/>
      <c r="K253" s="28"/>
      <c r="L253" s="34" t="s">
        <v>1665</v>
      </c>
      <c r="M253" s="106" t="s">
        <v>1700</v>
      </c>
      <c r="N253" s="113"/>
      <c r="O253" s="32">
        <v>79.0</v>
      </c>
    </row>
    <row r="254">
      <c r="A254" s="165" t="s">
        <v>1739</v>
      </c>
      <c r="B254" s="28"/>
      <c r="C254" s="22">
        <v>1000000.0</v>
      </c>
      <c r="D254" s="26">
        <v>2011.0</v>
      </c>
      <c r="E254" s="26" t="s">
        <v>2396</v>
      </c>
      <c r="F254" s="130" t="s">
        <v>64</v>
      </c>
      <c r="G254" s="26" t="s">
        <v>23</v>
      </c>
      <c r="H254" s="28"/>
      <c r="I254" s="26">
        <v>2.0</v>
      </c>
      <c r="J254" s="57"/>
      <c r="K254" s="28"/>
      <c r="L254" s="34" t="s">
        <v>1026</v>
      </c>
      <c r="M254" s="106" t="s">
        <v>1741</v>
      </c>
      <c r="N254" s="113"/>
      <c r="O254" s="32">
        <v>68.0</v>
      </c>
    </row>
    <row r="255">
      <c r="A255" s="165" t="s">
        <v>1859</v>
      </c>
      <c r="B255" s="28"/>
      <c r="C255" s="22">
        <v>1000000.0</v>
      </c>
      <c r="D255" s="26">
        <v>2008.0</v>
      </c>
      <c r="E255" s="26" t="s">
        <v>2397</v>
      </c>
      <c r="F255" s="26" t="s">
        <v>58</v>
      </c>
      <c r="G255" s="130" t="s">
        <v>59</v>
      </c>
      <c r="H255" s="130" t="s">
        <v>29</v>
      </c>
      <c r="I255" s="26">
        <v>3.0</v>
      </c>
      <c r="J255" s="57"/>
      <c r="K255" s="28"/>
      <c r="L255" s="34" t="s">
        <v>1224</v>
      </c>
      <c r="M255" s="106" t="s">
        <v>1861</v>
      </c>
      <c r="N255" s="432"/>
      <c r="O255" s="32">
        <v>39.0</v>
      </c>
    </row>
    <row r="256">
      <c r="A256" s="165" t="s">
        <v>1673</v>
      </c>
      <c r="B256" s="26" t="s">
        <v>1674</v>
      </c>
      <c r="C256" s="22">
        <v>935000.0</v>
      </c>
      <c r="D256" s="26">
        <v>2011.0</v>
      </c>
      <c r="E256" s="26" t="s">
        <v>2398</v>
      </c>
      <c r="F256" s="130" t="s">
        <v>1676</v>
      </c>
      <c r="G256" s="26" t="s">
        <v>23</v>
      </c>
      <c r="H256" s="28"/>
      <c r="I256" s="225" t="s">
        <v>1677</v>
      </c>
      <c r="J256" s="57"/>
      <c r="K256" s="28"/>
      <c r="L256" s="105" t="s">
        <v>688</v>
      </c>
      <c r="M256" s="106" t="s">
        <v>1678</v>
      </c>
      <c r="N256" s="113"/>
      <c r="O256" s="32">
        <v>86.0</v>
      </c>
    </row>
    <row r="257">
      <c r="A257" s="433" t="s">
        <v>937</v>
      </c>
      <c r="B257" s="430" t="s">
        <v>938</v>
      </c>
      <c r="C257" s="434">
        <v>934000.0</v>
      </c>
      <c r="D257" s="438">
        <v>2018.0</v>
      </c>
      <c r="E257" s="425" t="s">
        <v>2399</v>
      </c>
      <c r="F257" s="440" t="s">
        <v>22</v>
      </c>
      <c r="G257" s="419" t="s">
        <v>142</v>
      </c>
      <c r="H257" s="441"/>
      <c r="I257" s="150">
        <v>4.0</v>
      </c>
      <c r="J257" s="57"/>
      <c r="K257" s="120"/>
      <c r="L257" s="53" t="s">
        <v>940</v>
      </c>
      <c r="M257" s="436" t="s">
        <v>941</v>
      </c>
      <c r="N257" s="432"/>
      <c r="O257" s="32">
        <v>270.0</v>
      </c>
    </row>
    <row r="258">
      <c r="A258" s="421" t="s">
        <v>920</v>
      </c>
      <c r="B258" s="422"/>
      <c r="C258" s="423">
        <v>880000.0</v>
      </c>
      <c r="D258" s="422">
        <v>2018.0</v>
      </c>
      <c r="E258" s="422" t="s">
        <v>2400</v>
      </c>
      <c r="F258" s="422" t="s">
        <v>28</v>
      </c>
      <c r="G258" s="422" t="s">
        <v>23</v>
      </c>
      <c r="H258" s="426"/>
      <c r="I258" s="422">
        <v>3.0</v>
      </c>
      <c r="J258" s="57"/>
      <c r="K258" s="110"/>
      <c r="L258" s="26" t="s">
        <v>922</v>
      </c>
      <c r="M258" s="465" t="s">
        <v>923</v>
      </c>
      <c r="N258" s="431"/>
      <c r="O258" s="32">
        <v>274.0</v>
      </c>
    </row>
    <row r="259">
      <c r="A259" s="181" t="s">
        <v>1503</v>
      </c>
      <c r="B259" s="28"/>
      <c r="C259" s="22">
        <v>860000.0</v>
      </c>
      <c r="D259" s="26">
        <v>2013.0</v>
      </c>
      <c r="E259" s="462" t="s">
        <v>2401</v>
      </c>
      <c r="F259" s="130" t="s">
        <v>28</v>
      </c>
      <c r="G259" s="130" t="s">
        <v>23</v>
      </c>
      <c r="H259" s="28"/>
      <c r="I259" s="130">
        <v>1.0</v>
      </c>
      <c r="J259" s="57"/>
      <c r="K259" s="28"/>
      <c r="L259" s="53" t="s">
        <v>410</v>
      </c>
      <c r="M259" s="106" t="s">
        <v>1505</v>
      </c>
      <c r="N259" s="113"/>
      <c r="O259" s="32">
        <v>128.0</v>
      </c>
    </row>
    <row r="260">
      <c r="A260" s="165" t="s">
        <v>1546</v>
      </c>
      <c r="B260" s="28"/>
      <c r="C260" s="22">
        <v>800000.0</v>
      </c>
      <c r="D260" s="26">
        <v>2012.0</v>
      </c>
      <c r="E260" s="26" t="s">
        <v>2402</v>
      </c>
      <c r="F260" s="130" t="s">
        <v>64</v>
      </c>
      <c r="G260" s="26" t="s">
        <v>1034</v>
      </c>
      <c r="H260" s="28"/>
      <c r="I260" s="26">
        <v>2.0</v>
      </c>
      <c r="J260" s="57"/>
      <c r="K260" s="28"/>
      <c r="L260" s="105" t="s">
        <v>591</v>
      </c>
      <c r="M260" s="106" t="s">
        <v>1548</v>
      </c>
      <c r="N260" s="432"/>
      <c r="O260" s="32">
        <v>117.0</v>
      </c>
    </row>
    <row r="261">
      <c r="A261" s="165" t="s">
        <v>1636</v>
      </c>
      <c r="B261" s="28"/>
      <c r="C261" s="22">
        <v>800000.0</v>
      </c>
      <c r="D261" s="26">
        <v>2011.0</v>
      </c>
      <c r="E261" s="26" t="s">
        <v>2403</v>
      </c>
      <c r="F261" s="26" t="s">
        <v>258</v>
      </c>
      <c r="G261" s="26" t="s">
        <v>1034</v>
      </c>
      <c r="H261" s="28"/>
      <c r="I261" s="26">
        <v>5.0</v>
      </c>
      <c r="J261" s="57"/>
      <c r="K261" s="28"/>
      <c r="L261" s="105" t="s">
        <v>1638</v>
      </c>
      <c r="M261" s="106" t="s">
        <v>1639</v>
      </c>
      <c r="N261" s="113"/>
      <c r="O261" s="32">
        <v>96.0</v>
      </c>
    </row>
    <row r="262">
      <c r="A262" s="165" t="s">
        <v>1945</v>
      </c>
      <c r="B262" s="28"/>
      <c r="C262" s="22">
        <v>800000.0</v>
      </c>
      <c r="D262" s="26">
        <v>2007.0</v>
      </c>
      <c r="E262" s="26" t="s">
        <v>2404</v>
      </c>
      <c r="F262" s="130" t="s">
        <v>43</v>
      </c>
      <c r="G262" s="26" t="s">
        <v>1034</v>
      </c>
      <c r="H262" s="28"/>
      <c r="I262" s="26">
        <v>2.0</v>
      </c>
      <c r="J262" s="57"/>
      <c r="K262" s="28"/>
      <c r="L262" s="53" t="s">
        <v>1608</v>
      </c>
      <c r="M262" s="106" t="s">
        <v>1947</v>
      </c>
      <c r="N262" s="113"/>
      <c r="O262" s="32">
        <v>16.0</v>
      </c>
    </row>
    <row r="263">
      <c r="A263" s="20" t="s">
        <v>1206</v>
      </c>
      <c r="B263" s="26" t="s">
        <v>1207</v>
      </c>
      <c r="C263" s="22">
        <v>790724.0</v>
      </c>
      <c r="D263" s="26">
        <v>2016.0</v>
      </c>
      <c r="E263" s="34" t="s">
        <v>2405</v>
      </c>
      <c r="F263" s="26" t="s">
        <v>28</v>
      </c>
      <c r="G263" s="26" t="s">
        <v>23</v>
      </c>
      <c r="H263" s="28"/>
      <c r="I263" s="26">
        <v>4.0</v>
      </c>
      <c r="J263" s="23"/>
      <c r="K263" s="26"/>
      <c r="L263" s="34" t="s">
        <v>30</v>
      </c>
      <c r="M263" s="106" t="s">
        <v>1209</v>
      </c>
      <c r="N263" s="113"/>
      <c r="O263" s="32">
        <v>202.0</v>
      </c>
    </row>
    <row r="264">
      <c r="A264" s="165" t="s">
        <v>1558</v>
      </c>
      <c r="B264" s="130" t="s">
        <v>1559</v>
      </c>
      <c r="C264" s="22">
        <v>780000.0</v>
      </c>
      <c r="D264" s="26">
        <v>2012.0</v>
      </c>
      <c r="E264" s="26" t="s">
        <v>2406</v>
      </c>
      <c r="F264" s="26" t="s">
        <v>1561</v>
      </c>
      <c r="G264" s="130" t="s">
        <v>23</v>
      </c>
      <c r="H264" s="130" t="s">
        <v>29</v>
      </c>
      <c r="I264" s="225" t="s">
        <v>1562</v>
      </c>
      <c r="J264" s="57"/>
      <c r="K264" s="28"/>
      <c r="L264" s="105" t="s">
        <v>286</v>
      </c>
      <c r="M264" s="106" t="s">
        <v>1563</v>
      </c>
      <c r="N264" s="113"/>
      <c r="O264" s="32">
        <v>114.0</v>
      </c>
    </row>
    <row r="265">
      <c r="A265" s="165" t="s">
        <v>1790</v>
      </c>
      <c r="B265" s="28"/>
      <c r="C265" s="22">
        <v>760000.0</v>
      </c>
      <c r="D265" s="26">
        <v>2010.0</v>
      </c>
      <c r="E265" s="26" t="s">
        <v>2407</v>
      </c>
      <c r="F265" s="130" t="s">
        <v>2060</v>
      </c>
      <c r="G265" s="130" t="s">
        <v>23</v>
      </c>
      <c r="H265" s="28"/>
      <c r="I265" s="26">
        <v>2.0</v>
      </c>
      <c r="J265" s="57"/>
      <c r="K265" s="28"/>
      <c r="L265" s="105" t="s">
        <v>1792</v>
      </c>
      <c r="M265" s="106" t="s">
        <v>1793</v>
      </c>
      <c r="N265" s="113"/>
      <c r="O265" s="32">
        <v>56.0</v>
      </c>
    </row>
    <row r="266">
      <c r="A266" s="165" t="s">
        <v>1365</v>
      </c>
      <c r="B266" s="53"/>
      <c r="C266" s="22">
        <v>750000.0</v>
      </c>
      <c r="D266" s="26">
        <v>2014.0</v>
      </c>
      <c r="E266" s="26" t="s">
        <v>2408</v>
      </c>
      <c r="F266" s="130" t="s">
        <v>22</v>
      </c>
      <c r="G266" s="130" t="s">
        <v>23</v>
      </c>
      <c r="H266" s="28"/>
      <c r="I266" s="26">
        <v>2.0</v>
      </c>
      <c r="J266" s="57"/>
      <c r="K266" s="28"/>
      <c r="L266" s="34" t="s">
        <v>1367</v>
      </c>
      <c r="M266" s="166" t="s">
        <v>1368</v>
      </c>
      <c r="N266" s="166" t="s">
        <v>1369</v>
      </c>
      <c r="O266" s="32">
        <v>163.0</v>
      </c>
    </row>
    <row r="267">
      <c r="A267" s="114" t="s">
        <v>849</v>
      </c>
      <c r="B267" s="115" t="s">
        <v>850</v>
      </c>
      <c r="C267" s="22">
        <v>700000.0</v>
      </c>
      <c r="D267" s="26">
        <v>2018.0</v>
      </c>
      <c r="E267" s="34" t="s">
        <v>2409</v>
      </c>
      <c r="F267" s="115" t="s">
        <v>22</v>
      </c>
      <c r="G267" s="419" t="s">
        <v>142</v>
      </c>
      <c r="H267" s="34" t="s">
        <v>29</v>
      </c>
      <c r="I267" s="26">
        <v>2.0</v>
      </c>
      <c r="J267" s="57"/>
      <c r="K267" s="53"/>
      <c r="L267" s="105" t="s">
        <v>852</v>
      </c>
      <c r="M267" s="116" t="s">
        <v>853</v>
      </c>
      <c r="N267" s="432"/>
      <c r="O267" s="32">
        <v>291.0</v>
      </c>
    </row>
    <row r="268">
      <c r="A268" s="20" t="s">
        <v>1042</v>
      </c>
      <c r="B268" s="26" t="s">
        <v>1043</v>
      </c>
      <c r="C268" s="22">
        <v>700000.0</v>
      </c>
      <c r="D268" s="26">
        <v>2017.0</v>
      </c>
      <c r="E268" s="26" t="s">
        <v>2410</v>
      </c>
      <c r="F268" s="26" t="s">
        <v>28</v>
      </c>
      <c r="G268" s="26" t="s">
        <v>23</v>
      </c>
      <c r="H268" s="28"/>
      <c r="I268" s="26">
        <v>4.0</v>
      </c>
      <c r="J268" s="57"/>
      <c r="K268" s="28"/>
      <c r="L268" s="53" t="s">
        <v>608</v>
      </c>
      <c r="M268" s="106" t="s">
        <v>1045</v>
      </c>
      <c r="N268" s="113"/>
      <c r="O268" s="32">
        <v>243.0</v>
      </c>
    </row>
    <row r="269">
      <c r="A269" s="165" t="s">
        <v>1384</v>
      </c>
      <c r="B269" s="28"/>
      <c r="C269" s="22">
        <v>600000.0</v>
      </c>
      <c r="D269" s="26">
        <v>2014.0</v>
      </c>
      <c r="E269" s="26" t="s">
        <v>2411</v>
      </c>
      <c r="F269" s="26" t="s">
        <v>43</v>
      </c>
      <c r="G269" s="130" t="s">
        <v>23</v>
      </c>
      <c r="H269" s="28"/>
      <c r="I269" s="130">
        <v>1.0</v>
      </c>
      <c r="J269" s="57"/>
      <c r="K269" s="28"/>
      <c r="L269" s="53" t="s">
        <v>325</v>
      </c>
      <c r="M269" s="166" t="s">
        <v>1386</v>
      </c>
      <c r="N269" s="113"/>
      <c r="O269" s="32">
        <v>158.0</v>
      </c>
    </row>
    <row r="270">
      <c r="A270" s="165" t="s">
        <v>1841</v>
      </c>
      <c r="B270" s="130" t="s">
        <v>1842</v>
      </c>
      <c r="C270" s="22">
        <v>573000.0</v>
      </c>
      <c r="D270" s="26">
        <v>2009.0</v>
      </c>
      <c r="E270" s="26" t="s">
        <v>2412</v>
      </c>
      <c r="F270" s="26" t="s">
        <v>28</v>
      </c>
      <c r="G270" s="130" t="s">
        <v>23</v>
      </c>
      <c r="H270" s="28"/>
      <c r="I270" s="26">
        <v>3.0</v>
      </c>
      <c r="J270" s="57"/>
      <c r="K270" s="28"/>
      <c r="L270" s="34" t="s">
        <v>710</v>
      </c>
      <c r="M270" s="106" t="s">
        <v>1844</v>
      </c>
      <c r="N270" s="432"/>
      <c r="O270" s="32">
        <v>44.0</v>
      </c>
    </row>
    <row r="271">
      <c r="A271" s="20" t="s">
        <v>1179</v>
      </c>
      <c r="B271" s="26"/>
      <c r="C271" s="22">
        <v>550000.0</v>
      </c>
      <c r="D271" s="26">
        <v>2016.0</v>
      </c>
      <c r="E271" s="26" t="s">
        <v>2413</v>
      </c>
      <c r="F271" s="26" t="s">
        <v>258</v>
      </c>
      <c r="G271" s="419" t="s">
        <v>142</v>
      </c>
      <c r="H271" s="28"/>
      <c r="I271" s="26">
        <v>4.0</v>
      </c>
      <c r="J271" s="57"/>
      <c r="K271" s="28"/>
      <c r="L271" s="53" t="s">
        <v>829</v>
      </c>
      <c r="M271" s="106" t="s">
        <v>1181</v>
      </c>
      <c r="N271" s="113"/>
      <c r="O271" s="32">
        <v>209.0</v>
      </c>
    </row>
    <row r="272">
      <c r="A272" s="118" t="s">
        <v>1081</v>
      </c>
      <c r="B272" s="142" t="s">
        <v>1082</v>
      </c>
      <c r="C272" s="119">
        <v>540000.0</v>
      </c>
      <c r="D272" s="26">
        <v>2017.0</v>
      </c>
      <c r="E272" s="34" t="s">
        <v>2414</v>
      </c>
      <c r="F272" s="112" t="s">
        <v>2163</v>
      </c>
      <c r="G272" s="127" t="s">
        <v>51</v>
      </c>
      <c r="H272" s="120"/>
      <c r="I272" s="26">
        <v>4.0</v>
      </c>
      <c r="J272" s="57"/>
      <c r="K272" s="120"/>
      <c r="L272" s="120" t="s">
        <v>1073</v>
      </c>
      <c r="M272" s="121" t="s">
        <v>1084</v>
      </c>
      <c r="N272" s="117"/>
      <c r="O272" s="32">
        <v>233.0</v>
      </c>
    </row>
    <row r="273">
      <c r="A273" s="165" t="s">
        <v>1845</v>
      </c>
      <c r="B273" s="28"/>
      <c r="C273" s="22">
        <v>531400.0</v>
      </c>
      <c r="D273" s="26">
        <v>2009.0</v>
      </c>
      <c r="E273" s="26" t="s">
        <v>2415</v>
      </c>
      <c r="F273" s="26" t="s">
        <v>258</v>
      </c>
      <c r="G273" s="130" t="s">
        <v>23</v>
      </c>
      <c r="H273" s="130" t="s">
        <v>29</v>
      </c>
      <c r="I273" s="26">
        <v>2.0</v>
      </c>
      <c r="J273" s="57"/>
      <c r="K273" s="28"/>
      <c r="L273" s="34" t="s">
        <v>1847</v>
      </c>
      <c r="M273" s="106" t="s">
        <v>1848</v>
      </c>
      <c r="N273" s="113"/>
      <c r="O273" s="32">
        <v>43.0</v>
      </c>
    </row>
    <row r="274">
      <c r="A274" s="114" t="s">
        <v>1711</v>
      </c>
      <c r="B274" s="130" t="s">
        <v>1712</v>
      </c>
      <c r="C274" s="22">
        <v>514330.0</v>
      </c>
      <c r="D274" s="26">
        <v>2011.0</v>
      </c>
      <c r="E274" s="111" t="s">
        <v>2416</v>
      </c>
      <c r="F274" s="26" t="s">
        <v>258</v>
      </c>
      <c r="G274" s="26" t="s">
        <v>1034</v>
      </c>
      <c r="H274" s="28"/>
      <c r="I274" s="26">
        <v>4.0</v>
      </c>
      <c r="J274" s="57"/>
      <c r="K274" s="53"/>
      <c r="L274" s="34" t="s">
        <v>1714</v>
      </c>
      <c r="M274" s="135" t="s">
        <v>1715</v>
      </c>
      <c r="N274" s="136"/>
      <c r="O274" s="32">
        <v>75.0</v>
      </c>
    </row>
    <row r="275">
      <c r="A275" s="20" t="s">
        <v>620</v>
      </c>
      <c r="B275" s="51"/>
      <c r="C275" s="22">
        <v>500000.0</v>
      </c>
      <c r="D275" s="26">
        <v>2020.0</v>
      </c>
      <c r="E275" s="26" t="s">
        <v>2417</v>
      </c>
      <c r="F275" s="26" t="s">
        <v>236</v>
      </c>
      <c r="G275" s="26" t="s">
        <v>23</v>
      </c>
      <c r="H275" s="26"/>
      <c r="I275" s="26">
        <v>1.0</v>
      </c>
      <c r="J275" s="27"/>
      <c r="K275" s="28"/>
      <c r="L275" s="34" t="s">
        <v>278</v>
      </c>
      <c r="M275" s="468" t="s">
        <v>622</v>
      </c>
      <c r="N275" s="31"/>
      <c r="O275" s="32">
        <v>362.0</v>
      </c>
    </row>
    <row r="276">
      <c r="A276" s="114" t="s">
        <v>1255</v>
      </c>
      <c r="B276" s="53"/>
      <c r="C276" s="22">
        <v>500000.0</v>
      </c>
      <c r="D276" s="26">
        <v>2015.0</v>
      </c>
      <c r="E276" s="34" t="s">
        <v>2418</v>
      </c>
      <c r="F276" s="115" t="s">
        <v>28</v>
      </c>
      <c r="G276" s="115" t="s">
        <v>23</v>
      </c>
      <c r="H276" s="115" t="s">
        <v>29</v>
      </c>
      <c r="I276" s="26">
        <v>5.0</v>
      </c>
      <c r="J276" s="57"/>
      <c r="K276" s="53"/>
      <c r="L276" s="53" t="s">
        <v>325</v>
      </c>
      <c r="M276" s="116" t="s">
        <v>1257</v>
      </c>
      <c r="N276" s="19"/>
      <c r="O276" s="32">
        <v>191.0</v>
      </c>
    </row>
    <row r="277">
      <c r="A277" s="114" t="s">
        <v>1299</v>
      </c>
      <c r="B277" s="115" t="s">
        <v>1300</v>
      </c>
      <c r="C277" s="22">
        <v>500000.0</v>
      </c>
      <c r="D277" s="26">
        <v>2015.0</v>
      </c>
      <c r="E277" s="34" t="s">
        <v>2419</v>
      </c>
      <c r="F277" s="26" t="s">
        <v>2163</v>
      </c>
      <c r="G277" s="34" t="s">
        <v>23</v>
      </c>
      <c r="H277" s="53"/>
      <c r="I277" s="130">
        <v>1.0</v>
      </c>
      <c r="J277" s="57"/>
      <c r="K277" s="53"/>
      <c r="L277" s="53" t="s">
        <v>34</v>
      </c>
      <c r="M277" s="157" t="s">
        <v>1302</v>
      </c>
      <c r="N277" s="19"/>
      <c r="O277" s="32">
        <v>180.0</v>
      </c>
    </row>
    <row r="278">
      <c r="A278" s="165" t="s">
        <v>1409</v>
      </c>
      <c r="B278" s="130" t="s">
        <v>1410</v>
      </c>
      <c r="C278" s="119">
        <f>0.01*50000000</f>
        <v>500000</v>
      </c>
      <c r="D278" s="26">
        <v>2013.0</v>
      </c>
      <c r="E278" s="26" t="s">
        <v>2420</v>
      </c>
      <c r="F278" s="130" t="s">
        <v>28</v>
      </c>
      <c r="G278" s="130" t="s">
        <v>23</v>
      </c>
      <c r="H278" s="28"/>
      <c r="I278" s="130">
        <v>1.0</v>
      </c>
      <c r="J278" s="57"/>
      <c r="K278" s="28"/>
      <c r="L278" s="105" t="s">
        <v>1412</v>
      </c>
      <c r="M278" s="166" t="s">
        <v>1413</v>
      </c>
      <c r="N278" s="166" t="s">
        <v>1414</v>
      </c>
      <c r="O278" s="32">
        <v>152.0</v>
      </c>
    </row>
    <row r="279">
      <c r="A279" s="165" t="s">
        <v>1455</v>
      </c>
      <c r="B279" s="111" t="s">
        <v>1456</v>
      </c>
      <c r="C279" s="22">
        <v>500000.0</v>
      </c>
      <c r="D279" s="26">
        <v>2013.0</v>
      </c>
      <c r="E279" s="26" t="s">
        <v>2421</v>
      </c>
      <c r="F279" s="26" t="s">
        <v>58</v>
      </c>
      <c r="G279" s="130" t="s">
        <v>23</v>
      </c>
      <c r="H279" s="130" t="s">
        <v>29</v>
      </c>
      <c r="I279" s="130">
        <v>1.0</v>
      </c>
      <c r="J279" s="57"/>
      <c r="K279" s="28"/>
      <c r="L279" s="53" t="s">
        <v>286</v>
      </c>
      <c r="M279" s="106" t="s">
        <v>1458</v>
      </c>
      <c r="N279" s="113"/>
      <c r="O279" s="32">
        <v>140.0</v>
      </c>
    </row>
    <row r="280">
      <c r="A280" s="165" t="s">
        <v>1589</v>
      </c>
      <c r="B280" s="28"/>
      <c r="C280" s="22">
        <v>450000.0</v>
      </c>
      <c r="D280" s="26">
        <v>2012.0</v>
      </c>
      <c r="E280" s="26" t="s">
        <v>2422</v>
      </c>
      <c r="F280" s="130" t="s">
        <v>1227</v>
      </c>
      <c r="G280" s="130" t="s">
        <v>23</v>
      </c>
      <c r="H280" s="28"/>
      <c r="I280" s="130">
        <v>1.0</v>
      </c>
      <c r="J280" s="57"/>
      <c r="K280" s="28"/>
      <c r="L280" s="53" t="s">
        <v>152</v>
      </c>
      <c r="M280" s="106" t="s">
        <v>1591</v>
      </c>
      <c r="N280" s="109"/>
      <c r="O280" s="32">
        <v>107.0</v>
      </c>
    </row>
    <row r="281">
      <c r="A281" s="114" t="s">
        <v>1579</v>
      </c>
      <c r="B281" s="115" t="s">
        <v>1580</v>
      </c>
      <c r="C281" s="22">
        <v>420000.0</v>
      </c>
      <c r="D281" s="26">
        <v>2012.0</v>
      </c>
      <c r="E281" s="34" t="s">
        <v>2423</v>
      </c>
      <c r="F281" s="115" t="s">
        <v>28</v>
      </c>
      <c r="G281" s="26" t="s">
        <v>23</v>
      </c>
      <c r="H281" s="154" t="s">
        <v>29</v>
      </c>
      <c r="I281" s="26">
        <v>1.0</v>
      </c>
      <c r="J281" s="57"/>
      <c r="K281" s="53"/>
      <c r="L281" s="53" t="s">
        <v>998</v>
      </c>
      <c r="M281" s="135" t="s">
        <v>1582</v>
      </c>
      <c r="N281" s="19"/>
      <c r="O281" s="32">
        <v>109.0</v>
      </c>
    </row>
    <row r="282">
      <c r="A282" s="20" t="s">
        <v>955</v>
      </c>
      <c r="B282" s="111" t="s">
        <v>956</v>
      </c>
      <c r="C282" s="22">
        <v>411000.0</v>
      </c>
      <c r="D282" s="26">
        <v>2018.0</v>
      </c>
      <c r="E282" s="26" t="s">
        <v>2424</v>
      </c>
      <c r="F282" s="130" t="s">
        <v>28</v>
      </c>
      <c r="G282" s="26" t="s">
        <v>23</v>
      </c>
      <c r="H282" s="28"/>
      <c r="I282" s="26">
        <v>2.0</v>
      </c>
      <c r="J282" s="27"/>
      <c r="K282" s="28"/>
      <c r="L282" s="105" t="s">
        <v>958</v>
      </c>
      <c r="M282" s="106" t="s">
        <v>959</v>
      </c>
      <c r="N282" s="109"/>
      <c r="O282" s="32">
        <v>265.0</v>
      </c>
    </row>
    <row r="283">
      <c r="A283" s="114" t="s">
        <v>1276</v>
      </c>
      <c r="B283" s="115" t="s">
        <v>1277</v>
      </c>
      <c r="C283" s="22">
        <v>400000.0</v>
      </c>
      <c r="D283" s="26">
        <v>2015.0</v>
      </c>
      <c r="E283" s="34" t="s">
        <v>2425</v>
      </c>
      <c r="F283" s="26" t="s">
        <v>2163</v>
      </c>
      <c r="G283" s="115" t="s">
        <v>23</v>
      </c>
      <c r="H283" s="53"/>
      <c r="I283" s="26">
        <v>2.0</v>
      </c>
      <c r="J283" s="57"/>
      <c r="K283" s="53"/>
      <c r="L283" s="53" t="s">
        <v>702</v>
      </c>
      <c r="M283" s="162" t="s">
        <v>1279</v>
      </c>
      <c r="N283" s="19"/>
      <c r="O283" s="32">
        <v>185.0</v>
      </c>
    </row>
    <row r="284">
      <c r="A284" s="114" t="s">
        <v>1716</v>
      </c>
      <c r="B284" s="28"/>
      <c r="C284" s="22">
        <v>400000.0</v>
      </c>
      <c r="D284" s="26">
        <v>2011.0</v>
      </c>
      <c r="E284" s="26" t="s">
        <v>2426</v>
      </c>
      <c r="F284" s="26" t="s">
        <v>258</v>
      </c>
      <c r="G284" s="26" t="s">
        <v>1034</v>
      </c>
      <c r="H284" s="28"/>
      <c r="I284" s="26">
        <v>4.0</v>
      </c>
      <c r="J284" s="57"/>
      <c r="K284" s="53"/>
      <c r="L284" s="34" t="s">
        <v>1718</v>
      </c>
      <c r="M284" s="135" t="s">
        <v>1719</v>
      </c>
      <c r="N284" s="136"/>
      <c r="O284" s="32">
        <v>74.0</v>
      </c>
    </row>
    <row r="285">
      <c r="A285" s="165" t="s">
        <v>1815</v>
      </c>
      <c r="B285" s="28"/>
      <c r="C285" s="22">
        <v>400000.0</v>
      </c>
      <c r="D285" s="26">
        <v>2010.0</v>
      </c>
      <c r="E285" s="26" t="s">
        <v>1816</v>
      </c>
      <c r="F285" s="26" t="s">
        <v>58</v>
      </c>
      <c r="G285" s="130" t="s">
        <v>23</v>
      </c>
      <c r="H285" s="28"/>
      <c r="I285" s="26">
        <v>3.0</v>
      </c>
      <c r="J285" s="57"/>
      <c r="K285" s="28"/>
      <c r="L285" s="34" t="s">
        <v>1817</v>
      </c>
      <c r="M285" s="106" t="s">
        <v>1818</v>
      </c>
      <c r="N285" s="113"/>
      <c r="O285" s="32">
        <v>50.0</v>
      </c>
    </row>
    <row r="286">
      <c r="A286" s="114" t="s">
        <v>1786</v>
      </c>
      <c r="B286" s="130" t="s">
        <v>1787</v>
      </c>
      <c r="C286" s="22">
        <v>398000.0</v>
      </c>
      <c r="D286" s="26">
        <v>2010.0</v>
      </c>
      <c r="E286" s="26" t="s">
        <v>2427</v>
      </c>
      <c r="F286" s="26" t="s">
        <v>258</v>
      </c>
      <c r="G286" s="26" t="s">
        <v>1034</v>
      </c>
      <c r="H286" s="28"/>
      <c r="I286" s="26">
        <v>4.0</v>
      </c>
      <c r="J286" s="57"/>
      <c r="K286" s="53"/>
      <c r="L286" s="53" t="s">
        <v>1026</v>
      </c>
      <c r="M286" s="135" t="s">
        <v>1789</v>
      </c>
      <c r="N286" s="19"/>
      <c r="O286" s="32">
        <v>57.0</v>
      </c>
    </row>
    <row r="287">
      <c r="A287" s="165" t="s">
        <v>1819</v>
      </c>
      <c r="B287" s="28"/>
      <c r="C287" s="22">
        <v>392000.0</v>
      </c>
      <c r="D287" s="26">
        <v>2010.0</v>
      </c>
      <c r="E287" s="111" t="s">
        <v>2428</v>
      </c>
      <c r="F287" s="130" t="s">
        <v>64</v>
      </c>
      <c r="G287" s="130" t="s">
        <v>59</v>
      </c>
      <c r="H287" s="28"/>
      <c r="I287" s="26">
        <v>2.0</v>
      </c>
      <c r="J287" s="57"/>
      <c r="K287" s="28"/>
      <c r="L287" s="53" t="s">
        <v>278</v>
      </c>
      <c r="M287" s="106" t="s">
        <v>1821</v>
      </c>
      <c r="N287" s="113"/>
      <c r="O287" s="32">
        <v>49.0</v>
      </c>
    </row>
    <row r="288">
      <c r="A288" s="421" t="s">
        <v>882</v>
      </c>
      <c r="B288" s="422"/>
      <c r="C288" s="423">
        <v>380000.0</v>
      </c>
      <c r="D288" s="422">
        <v>2018.0</v>
      </c>
      <c r="E288" s="422" t="s">
        <v>2429</v>
      </c>
      <c r="F288" s="422" t="s">
        <v>22</v>
      </c>
      <c r="G288" s="422" t="s">
        <v>23</v>
      </c>
      <c r="H288" s="426"/>
      <c r="I288" s="422">
        <v>4.0</v>
      </c>
      <c r="J288" s="57"/>
      <c r="K288" s="110"/>
      <c r="L288" s="26" t="s">
        <v>507</v>
      </c>
      <c r="M288" s="465" t="s">
        <v>884</v>
      </c>
      <c r="N288" s="431"/>
      <c r="O288" s="32">
        <v>283.0</v>
      </c>
    </row>
    <row r="289">
      <c r="A289" s="114" t="s">
        <v>1396</v>
      </c>
      <c r="B289" s="28"/>
      <c r="C289" s="22">
        <v>344579.0</v>
      </c>
      <c r="D289" s="26">
        <v>2013.0</v>
      </c>
      <c r="E289" s="26" t="s">
        <v>2430</v>
      </c>
      <c r="F289" s="26" t="s">
        <v>258</v>
      </c>
      <c r="G289" s="26" t="s">
        <v>1034</v>
      </c>
      <c r="H289" s="130" t="s">
        <v>29</v>
      </c>
      <c r="I289" s="26">
        <v>4.0</v>
      </c>
      <c r="J289" s="57"/>
      <c r="K289" s="53"/>
      <c r="L289" s="34" t="s">
        <v>1398</v>
      </c>
      <c r="M289" s="135" t="s">
        <v>1399</v>
      </c>
      <c r="N289" s="136"/>
      <c r="O289" s="32">
        <v>155.0</v>
      </c>
    </row>
    <row r="290">
      <c r="A290" s="114" t="s">
        <v>1549</v>
      </c>
      <c r="B290" s="130" t="s">
        <v>1550</v>
      </c>
      <c r="C290" s="22">
        <v>315000.0</v>
      </c>
      <c r="D290" s="26">
        <v>2012.0</v>
      </c>
      <c r="E290" s="26" t="s">
        <v>2431</v>
      </c>
      <c r="F290" s="26" t="s">
        <v>258</v>
      </c>
      <c r="G290" s="26" t="s">
        <v>1034</v>
      </c>
      <c r="H290" s="28"/>
      <c r="I290" s="26">
        <v>4.0</v>
      </c>
      <c r="J290" s="57"/>
      <c r="K290" s="53"/>
      <c r="L290" s="34" t="s">
        <v>1552</v>
      </c>
      <c r="M290" s="135" t="s">
        <v>1553</v>
      </c>
      <c r="N290" s="19"/>
      <c r="O290" s="32">
        <v>116.0</v>
      </c>
    </row>
    <row r="291">
      <c r="A291" s="421" t="s">
        <v>948</v>
      </c>
      <c r="B291" s="422" t="s">
        <v>949</v>
      </c>
      <c r="C291" s="423">
        <v>309000.0</v>
      </c>
      <c r="D291" s="422">
        <v>2018.0</v>
      </c>
      <c r="E291" s="422" t="s">
        <v>2432</v>
      </c>
      <c r="F291" s="422" t="s">
        <v>2163</v>
      </c>
      <c r="G291" s="419" t="s">
        <v>51</v>
      </c>
      <c r="H291" s="426"/>
      <c r="I291" s="422">
        <v>2.0</v>
      </c>
      <c r="J291" s="429"/>
      <c r="K291" s="110"/>
      <c r="L291" s="26" t="s">
        <v>34</v>
      </c>
      <c r="M291" s="465" t="s">
        <v>951</v>
      </c>
      <c r="N291" s="431"/>
      <c r="O291" s="32">
        <v>267.0</v>
      </c>
    </row>
    <row r="292">
      <c r="A292" s="103" t="s">
        <v>815</v>
      </c>
      <c r="B292" s="420"/>
      <c r="C292" s="22">
        <v>300000.0</v>
      </c>
      <c r="D292" s="26">
        <v>2018.0</v>
      </c>
      <c r="E292" s="26" t="s">
        <v>2433</v>
      </c>
      <c r="F292" s="26" t="s">
        <v>58</v>
      </c>
      <c r="G292" s="26" t="s">
        <v>23</v>
      </c>
      <c r="H292" s="26"/>
      <c r="I292" s="26">
        <v>3.0</v>
      </c>
      <c r="J292" s="27"/>
      <c r="K292" s="28"/>
      <c r="L292" s="105" t="s">
        <v>817</v>
      </c>
      <c r="M292" s="106" t="s">
        <v>818</v>
      </c>
      <c r="N292" s="107"/>
      <c r="O292" s="32">
        <v>299.0</v>
      </c>
    </row>
    <row r="293">
      <c r="A293" s="20" t="s">
        <v>992</v>
      </c>
      <c r="B293" s="26"/>
      <c r="C293" s="22">
        <v>300000.0</v>
      </c>
      <c r="D293" s="26">
        <v>2017.0</v>
      </c>
      <c r="E293" s="26" t="s">
        <v>2434</v>
      </c>
      <c r="F293" s="26" t="s">
        <v>28</v>
      </c>
      <c r="G293" s="130" t="s">
        <v>51</v>
      </c>
      <c r="H293" s="26" t="s">
        <v>29</v>
      </c>
      <c r="I293" s="26">
        <v>4.0</v>
      </c>
      <c r="J293" s="57"/>
      <c r="K293" s="110"/>
      <c r="L293" s="26" t="s">
        <v>994</v>
      </c>
      <c r="M293" s="106" t="s">
        <v>995</v>
      </c>
      <c r="N293" s="113"/>
      <c r="O293" s="32">
        <v>256.0</v>
      </c>
    </row>
    <row r="294">
      <c r="A294" s="20" t="s">
        <v>1127</v>
      </c>
      <c r="B294" s="26"/>
      <c r="C294" s="22">
        <v>300000.0</v>
      </c>
      <c r="D294" s="26">
        <v>2016.0</v>
      </c>
      <c r="E294" s="26" t="s">
        <v>2435</v>
      </c>
      <c r="F294" s="26" t="s">
        <v>28</v>
      </c>
      <c r="G294" s="130" t="s">
        <v>23</v>
      </c>
      <c r="H294" s="28"/>
      <c r="I294" s="26">
        <v>1.0</v>
      </c>
      <c r="J294" s="57"/>
      <c r="K294" s="28"/>
      <c r="L294" s="53" t="s">
        <v>905</v>
      </c>
      <c r="M294" s="106" t="s">
        <v>1129</v>
      </c>
      <c r="N294" s="113"/>
      <c r="O294" s="32">
        <v>222.0</v>
      </c>
    </row>
    <row r="295">
      <c r="A295" s="114" t="s">
        <v>1683</v>
      </c>
      <c r="B295" s="28"/>
      <c r="C295" s="22">
        <v>300000.0</v>
      </c>
      <c r="D295" s="26">
        <v>2011.0</v>
      </c>
      <c r="E295" s="26" t="s">
        <v>2436</v>
      </c>
      <c r="F295" s="26" t="s">
        <v>258</v>
      </c>
      <c r="G295" s="130" t="s">
        <v>23</v>
      </c>
      <c r="H295" s="28"/>
      <c r="I295" s="26">
        <v>2.0</v>
      </c>
      <c r="J295" s="57"/>
      <c r="K295" s="28"/>
      <c r="L295" s="105" t="s">
        <v>1026</v>
      </c>
      <c r="M295" s="106" t="s">
        <v>1685</v>
      </c>
      <c r="N295" s="113"/>
      <c r="O295" s="32">
        <v>84.0</v>
      </c>
    </row>
    <row r="296">
      <c r="A296" s="165" t="s">
        <v>1731</v>
      </c>
      <c r="B296" s="53"/>
      <c r="C296" s="22">
        <v>283000.0</v>
      </c>
      <c r="D296" s="26">
        <v>2011.0</v>
      </c>
      <c r="E296" s="26" t="s">
        <v>2437</v>
      </c>
      <c r="F296" s="130" t="s">
        <v>43</v>
      </c>
      <c r="G296" s="26" t="s">
        <v>23</v>
      </c>
      <c r="H296" s="130" t="s">
        <v>29</v>
      </c>
      <c r="I296" s="26">
        <v>2.0</v>
      </c>
      <c r="J296" s="57"/>
      <c r="K296" s="28"/>
      <c r="L296" s="34" t="s">
        <v>1733</v>
      </c>
      <c r="M296" s="106" t="s">
        <v>1734</v>
      </c>
      <c r="N296" s="113"/>
      <c r="O296" s="32">
        <v>70.0</v>
      </c>
    </row>
    <row r="297">
      <c r="A297" s="114" t="s">
        <v>1452</v>
      </c>
      <c r="B297" s="28"/>
      <c r="C297" s="22">
        <v>275000.0</v>
      </c>
      <c r="D297" s="26">
        <v>2013.0</v>
      </c>
      <c r="E297" s="26" t="s">
        <v>2438</v>
      </c>
      <c r="F297" s="26" t="s">
        <v>1227</v>
      </c>
      <c r="G297" s="130" t="s">
        <v>23</v>
      </c>
      <c r="H297" s="28"/>
      <c r="I297" s="130">
        <v>1.0</v>
      </c>
      <c r="J297" s="57"/>
      <c r="K297" s="28"/>
      <c r="L297" s="53" t="s">
        <v>325</v>
      </c>
      <c r="M297" s="166" t="s">
        <v>1454</v>
      </c>
      <c r="N297" s="19"/>
      <c r="O297" s="32">
        <v>141.0</v>
      </c>
    </row>
    <row r="298">
      <c r="A298" s="20" t="s">
        <v>1108</v>
      </c>
      <c r="B298" s="138"/>
      <c r="C298" s="22">
        <v>274477.0</v>
      </c>
      <c r="D298" s="26">
        <v>2016.0</v>
      </c>
      <c r="E298" s="26" t="s">
        <v>2439</v>
      </c>
      <c r="F298" s="26" t="s">
        <v>64</v>
      </c>
      <c r="G298" s="26" t="s">
        <v>23</v>
      </c>
      <c r="H298" s="28"/>
      <c r="I298" s="26">
        <v>1.0</v>
      </c>
      <c r="J298" s="57"/>
      <c r="K298" s="28"/>
      <c r="L298" s="53" t="s">
        <v>1110</v>
      </c>
      <c r="M298" s="106" t="s">
        <v>1111</v>
      </c>
      <c r="N298" s="113"/>
      <c r="O298" s="32">
        <v>227.0</v>
      </c>
    </row>
    <row r="299">
      <c r="A299" s="20" t="s">
        <v>1003</v>
      </c>
      <c r="B299" s="26"/>
      <c r="C299" s="22">
        <v>270000.0</v>
      </c>
      <c r="D299" s="26">
        <v>2017.0</v>
      </c>
      <c r="E299" s="26" t="s">
        <v>2440</v>
      </c>
      <c r="F299" s="26" t="s">
        <v>58</v>
      </c>
      <c r="G299" s="26" t="s">
        <v>23</v>
      </c>
      <c r="H299" s="28"/>
      <c r="I299" s="26">
        <v>4.0</v>
      </c>
      <c r="J299" s="57"/>
      <c r="K299" s="28"/>
      <c r="L299" s="53" t="s">
        <v>325</v>
      </c>
      <c r="M299" s="106" t="s">
        <v>1005</v>
      </c>
      <c r="N299" s="113"/>
      <c r="O299" s="32">
        <v>253.0</v>
      </c>
    </row>
    <row r="300">
      <c r="A300" s="165" t="s">
        <v>1777</v>
      </c>
      <c r="B300" s="115" t="s">
        <v>1778</v>
      </c>
      <c r="C300" s="22">
        <v>260000.0</v>
      </c>
      <c r="D300" s="26">
        <v>2010.0</v>
      </c>
      <c r="E300" s="34" t="s">
        <v>2441</v>
      </c>
      <c r="F300" s="130" t="s">
        <v>1676</v>
      </c>
      <c r="G300" s="130" t="s">
        <v>59</v>
      </c>
      <c r="H300" s="130" t="s">
        <v>29</v>
      </c>
      <c r="I300" s="26">
        <v>5.0</v>
      </c>
      <c r="J300" s="57"/>
      <c r="K300" s="28"/>
      <c r="L300" s="53" t="s">
        <v>507</v>
      </c>
      <c r="M300" s="106" t="s">
        <v>1780</v>
      </c>
      <c r="N300" s="113"/>
      <c r="O300" s="32">
        <v>59.0</v>
      </c>
    </row>
    <row r="301">
      <c r="A301" s="165" t="s">
        <v>407</v>
      </c>
      <c r="B301" s="28"/>
      <c r="C301" s="22">
        <v>250000.0</v>
      </c>
      <c r="D301" s="26">
        <v>2013.0</v>
      </c>
      <c r="E301" s="26" t="s">
        <v>2442</v>
      </c>
      <c r="F301" s="130" t="s">
        <v>28</v>
      </c>
      <c r="G301" s="26" t="s">
        <v>23</v>
      </c>
      <c r="H301" s="28"/>
      <c r="I301" s="130">
        <v>1.0</v>
      </c>
      <c r="J301" s="57"/>
      <c r="K301" s="28"/>
      <c r="L301" s="105" t="s">
        <v>1088</v>
      </c>
      <c r="M301" s="106" t="s">
        <v>1437</v>
      </c>
      <c r="N301" s="113"/>
      <c r="O301" s="32">
        <v>146.0</v>
      </c>
    </row>
    <row r="302">
      <c r="A302" s="114" t="s">
        <v>1632</v>
      </c>
      <c r="B302" s="28"/>
      <c r="C302" s="22">
        <v>231400.0</v>
      </c>
      <c r="D302" s="26">
        <v>2011.0</v>
      </c>
      <c r="E302" s="111" t="s">
        <v>2443</v>
      </c>
      <c r="F302" s="26" t="s">
        <v>258</v>
      </c>
      <c r="G302" s="130" t="s">
        <v>23</v>
      </c>
      <c r="H302" s="130" t="s">
        <v>29</v>
      </c>
      <c r="I302" s="26">
        <v>2.0</v>
      </c>
      <c r="J302" s="57"/>
      <c r="K302" s="53"/>
      <c r="L302" s="34" t="s">
        <v>1634</v>
      </c>
      <c r="M302" s="135" t="s">
        <v>1635</v>
      </c>
      <c r="N302" s="136"/>
      <c r="O302" s="32">
        <v>97.0</v>
      </c>
    </row>
    <row r="303">
      <c r="A303" s="114" t="s">
        <v>1537</v>
      </c>
      <c r="B303" s="115" t="s">
        <v>1538</v>
      </c>
      <c r="C303" s="22">
        <v>228000.0</v>
      </c>
      <c r="D303" s="26">
        <v>2012.0</v>
      </c>
      <c r="E303" s="26" t="s">
        <v>2444</v>
      </c>
      <c r="F303" s="26" t="s">
        <v>258</v>
      </c>
      <c r="G303" s="130" t="s">
        <v>59</v>
      </c>
      <c r="H303" s="28"/>
      <c r="I303" s="26">
        <v>4.0</v>
      </c>
      <c r="J303" s="57"/>
      <c r="K303" s="53"/>
      <c r="L303" s="34" t="s">
        <v>1540</v>
      </c>
      <c r="M303" s="135" t="s">
        <v>1541</v>
      </c>
      <c r="N303" s="136"/>
      <c r="O303" s="32">
        <v>119.0</v>
      </c>
    </row>
    <row r="304">
      <c r="A304" s="165" t="s">
        <v>1400</v>
      </c>
      <c r="B304" s="28"/>
      <c r="C304" s="22">
        <v>210000.0</v>
      </c>
      <c r="D304" s="26">
        <v>2011.0</v>
      </c>
      <c r="E304" s="26" t="s">
        <v>2445</v>
      </c>
      <c r="F304" s="26" t="s">
        <v>58</v>
      </c>
      <c r="G304" s="130" t="s">
        <v>23</v>
      </c>
      <c r="H304" s="28"/>
      <c r="I304" s="26">
        <v>3.0</v>
      </c>
      <c r="J304" s="57"/>
      <c r="K304" s="28"/>
      <c r="L304" s="34" t="s">
        <v>1608</v>
      </c>
      <c r="M304" s="106" t="s">
        <v>1698</v>
      </c>
      <c r="N304" s="113"/>
      <c r="O304" s="32">
        <v>80.0</v>
      </c>
    </row>
    <row r="305">
      <c r="A305" s="165" t="s">
        <v>1735</v>
      </c>
      <c r="B305" s="130" t="s">
        <v>1736</v>
      </c>
      <c r="C305" s="22">
        <v>210000.0</v>
      </c>
      <c r="D305" s="26">
        <v>2011.0</v>
      </c>
      <c r="E305" s="26" t="s">
        <v>2446</v>
      </c>
      <c r="F305" s="130" t="s">
        <v>64</v>
      </c>
      <c r="G305" s="26" t="s">
        <v>23</v>
      </c>
      <c r="H305" s="130" t="s">
        <v>29</v>
      </c>
      <c r="I305" s="26">
        <v>5.0</v>
      </c>
      <c r="J305" s="57"/>
      <c r="K305" s="28"/>
      <c r="L305" s="105" t="s">
        <v>918</v>
      </c>
      <c r="M305" s="106" t="s">
        <v>1738</v>
      </c>
      <c r="N305" s="113"/>
      <c r="O305" s="32">
        <v>69.0</v>
      </c>
    </row>
    <row r="306">
      <c r="A306" s="103" t="s">
        <v>715</v>
      </c>
      <c r="B306" s="420"/>
      <c r="C306" s="22">
        <v>200000.0</v>
      </c>
      <c r="D306" s="26">
        <v>2019.0</v>
      </c>
      <c r="E306" s="26" t="s">
        <v>2447</v>
      </c>
      <c r="F306" s="26" t="s">
        <v>2060</v>
      </c>
      <c r="G306" s="26" t="s">
        <v>23</v>
      </c>
      <c r="H306" s="26"/>
      <c r="I306" s="26">
        <v>4.0</v>
      </c>
      <c r="J306" s="27"/>
      <c r="K306" s="28"/>
      <c r="L306" s="105" t="s">
        <v>507</v>
      </c>
      <c r="M306" s="106" t="s">
        <v>717</v>
      </c>
      <c r="N306" s="107"/>
      <c r="O306" s="32">
        <v>340.0</v>
      </c>
    </row>
    <row r="307">
      <c r="A307" s="165" t="s">
        <v>1448</v>
      </c>
      <c r="B307" s="111" t="s">
        <v>1449</v>
      </c>
      <c r="C307" s="22">
        <v>200000.0</v>
      </c>
      <c r="D307" s="26">
        <v>2013.0</v>
      </c>
      <c r="E307" s="34" t="s">
        <v>2448</v>
      </c>
      <c r="F307" s="130" t="s">
        <v>28</v>
      </c>
      <c r="G307" s="130" t="s">
        <v>23</v>
      </c>
      <c r="H307" s="28"/>
      <c r="I307" s="26">
        <v>2.0</v>
      </c>
      <c r="J307" s="57"/>
      <c r="K307" s="28"/>
      <c r="L307" s="53" t="s">
        <v>1448</v>
      </c>
      <c r="M307" s="166" t="s">
        <v>1451</v>
      </c>
      <c r="N307" s="113"/>
      <c r="O307" s="32">
        <v>142.0</v>
      </c>
    </row>
    <row r="308">
      <c r="A308" s="165" t="s">
        <v>1690</v>
      </c>
      <c r="B308" s="130" t="s">
        <v>1691</v>
      </c>
      <c r="C308" s="22">
        <v>200000.0</v>
      </c>
      <c r="D308" s="26">
        <v>2011.0</v>
      </c>
      <c r="E308" s="26" t="s">
        <v>2449</v>
      </c>
      <c r="F308" s="130" t="s">
        <v>236</v>
      </c>
      <c r="G308" s="130" t="s">
        <v>23</v>
      </c>
      <c r="H308" s="28"/>
      <c r="I308" s="130">
        <v>1.0</v>
      </c>
      <c r="J308" s="57"/>
      <c r="K308" s="28"/>
      <c r="L308" s="53" t="s">
        <v>1608</v>
      </c>
      <c r="M308" s="106" t="s">
        <v>1693</v>
      </c>
      <c r="N308" s="113"/>
      <c r="O308" s="32">
        <v>82.0</v>
      </c>
    </row>
    <row r="309">
      <c r="A309" s="165" t="s">
        <v>1747</v>
      </c>
      <c r="B309" s="130" t="s">
        <v>1748</v>
      </c>
      <c r="C309" s="22">
        <v>200000.0</v>
      </c>
      <c r="D309" s="26">
        <v>2011.0</v>
      </c>
      <c r="E309" s="26" t="s">
        <v>1749</v>
      </c>
      <c r="F309" s="130" t="s">
        <v>43</v>
      </c>
      <c r="G309" s="130" t="s">
        <v>23</v>
      </c>
      <c r="H309" s="28"/>
      <c r="I309" s="26">
        <v>3.0</v>
      </c>
      <c r="J309" s="57"/>
      <c r="K309" s="28"/>
      <c r="L309" s="105" t="s">
        <v>918</v>
      </c>
      <c r="M309" s="106" t="s">
        <v>1750</v>
      </c>
      <c r="N309" s="113"/>
      <c r="O309" s="32">
        <v>66.0</v>
      </c>
    </row>
    <row r="310">
      <c r="A310" s="165" t="s">
        <v>1987</v>
      </c>
      <c r="B310" s="28"/>
      <c r="C310" s="22">
        <v>200000.0</v>
      </c>
      <c r="D310" s="26">
        <v>2006.0</v>
      </c>
      <c r="E310" s="111" t="s">
        <v>2450</v>
      </c>
      <c r="F310" s="130" t="s">
        <v>1612</v>
      </c>
      <c r="G310" s="26" t="s">
        <v>1034</v>
      </c>
      <c r="H310" s="130" t="s">
        <v>29</v>
      </c>
      <c r="I310" s="26">
        <v>2.0</v>
      </c>
      <c r="J310" s="57"/>
      <c r="K310" s="28"/>
      <c r="L310" s="34" t="s">
        <v>1224</v>
      </c>
      <c r="M310" s="106" t="s">
        <v>1989</v>
      </c>
      <c r="N310" s="113"/>
      <c r="O310" s="32">
        <v>6.0</v>
      </c>
    </row>
    <row r="311">
      <c r="A311" s="165" t="s">
        <v>1990</v>
      </c>
      <c r="B311" s="419" t="s">
        <v>1991</v>
      </c>
      <c r="C311" s="22">
        <v>200000.0</v>
      </c>
      <c r="D311" s="26">
        <v>2005.0</v>
      </c>
      <c r="E311" s="26" t="s">
        <v>2451</v>
      </c>
      <c r="F311" s="26" t="s">
        <v>58</v>
      </c>
      <c r="G311" s="26" t="s">
        <v>1034</v>
      </c>
      <c r="H311" s="28"/>
      <c r="I311" s="26">
        <v>2.0</v>
      </c>
      <c r="J311" s="57"/>
      <c r="K311" s="28"/>
      <c r="L311" s="53" t="s">
        <v>1993</v>
      </c>
      <c r="M311" s="106" t="s">
        <v>1994</v>
      </c>
      <c r="N311" s="113"/>
      <c r="O311" s="32">
        <v>5.0</v>
      </c>
    </row>
    <row r="312">
      <c r="A312" s="114" t="s">
        <v>1794</v>
      </c>
      <c r="B312" s="130" t="s">
        <v>1795</v>
      </c>
      <c r="C312" s="22">
        <v>180111.0</v>
      </c>
      <c r="D312" s="26">
        <v>2010.0</v>
      </c>
      <c r="E312" s="26" t="s">
        <v>2452</v>
      </c>
      <c r="F312" s="26" t="s">
        <v>258</v>
      </c>
      <c r="G312" s="26" t="s">
        <v>1034</v>
      </c>
      <c r="H312" s="28"/>
      <c r="I312" s="26">
        <v>4.0</v>
      </c>
      <c r="J312" s="57"/>
      <c r="K312" s="53"/>
      <c r="L312" s="34" t="s">
        <v>1797</v>
      </c>
      <c r="M312" s="135" t="s">
        <v>1798</v>
      </c>
      <c r="N312" s="136"/>
      <c r="O312" s="32">
        <v>55.0</v>
      </c>
    </row>
    <row r="313">
      <c r="A313" s="114" t="s">
        <v>1725</v>
      </c>
      <c r="B313" s="28"/>
      <c r="C313" s="22">
        <v>180000.0</v>
      </c>
      <c r="D313" s="26">
        <v>2011.0</v>
      </c>
      <c r="E313" s="26" t="s">
        <v>2453</v>
      </c>
      <c r="F313" s="130" t="s">
        <v>64</v>
      </c>
      <c r="G313" s="130" t="s">
        <v>23</v>
      </c>
      <c r="H313" s="28"/>
      <c r="I313" s="130">
        <v>1.0</v>
      </c>
      <c r="J313" s="57"/>
      <c r="K313" s="28"/>
      <c r="L313" s="53" t="s">
        <v>1613</v>
      </c>
      <c r="M313" s="106" t="s">
        <v>1727</v>
      </c>
      <c r="N313" s="113"/>
      <c r="O313" s="32">
        <v>72.0</v>
      </c>
    </row>
    <row r="314">
      <c r="A314" s="114" t="s">
        <v>1701</v>
      </c>
      <c r="B314" s="28"/>
      <c r="C314" s="22">
        <v>175350.0</v>
      </c>
      <c r="D314" s="26">
        <v>2011.0</v>
      </c>
      <c r="E314" s="26" t="s">
        <v>2454</v>
      </c>
      <c r="F314" s="26" t="s">
        <v>258</v>
      </c>
      <c r="G314" s="130" t="s">
        <v>51</v>
      </c>
      <c r="H314" s="28"/>
      <c r="I314" s="26">
        <v>2.0</v>
      </c>
      <c r="J314" s="57"/>
      <c r="K314" s="28"/>
      <c r="L314" s="105" t="s">
        <v>1026</v>
      </c>
      <c r="M314" s="106" t="s">
        <v>1703</v>
      </c>
      <c r="N314" s="136"/>
      <c r="O314" s="32">
        <v>78.0</v>
      </c>
    </row>
    <row r="315">
      <c r="A315" s="165" t="s">
        <v>1492</v>
      </c>
      <c r="B315" s="28"/>
      <c r="C315" s="22">
        <v>170000.0</v>
      </c>
      <c r="D315" s="26">
        <v>2013.0</v>
      </c>
      <c r="E315" s="26" t="s">
        <v>2455</v>
      </c>
      <c r="F315" s="130" t="s">
        <v>129</v>
      </c>
      <c r="G315" s="419" t="s">
        <v>142</v>
      </c>
      <c r="H315" s="130" t="s">
        <v>29</v>
      </c>
      <c r="I315" s="26">
        <v>2.0</v>
      </c>
      <c r="J315" s="57"/>
      <c r="K315" s="28"/>
      <c r="L315" s="105" t="s">
        <v>1494</v>
      </c>
      <c r="M315" s="106" t="s">
        <v>1495</v>
      </c>
      <c r="N315" s="166" t="s">
        <v>1496</v>
      </c>
      <c r="O315" s="32">
        <v>130.0</v>
      </c>
    </row>
    <row r="316">
      <c r="A316" s="181" t="s">
        <v>1604</v>
      </c>
      <c r="B316" s="130" t="s">
        <v>1605</v>
      </c>
      <c r="C316" s="22">
        <v>163792.0</v>
      </c>
      <c r="D316" s="26">
        <v>2012.0</v>
      </c>
      <c r="E316" s="26" t="s">
        <v>2456</v>
      </c>
      <c r="F316" s="130" t="s">
        <v>1607</v>
      </c>
      <c r="G316" s="26" t="s">
        <v>23</v>
      </c>
      <c r="H316" s="28"/>
      <c r="I316" s="26">
        <v>1.0</v>
      </c>
      <c r="J316" s="57"/>
      <c r="K316" s="28"/>
      <c r="L316" s="53" t="s">
        <v>1608</v>
      </c>
      <c r="M316" s="106" t="s">
        <v>1609</v>
      </c>
      <c r="N316" s="113"/>
      <c r="O316" s="32">
        <v>103.0</v>
      </c>
    </row>
    <row r="317">
      <c r="A317" s="165" t="s">
        <v>1497</v>
      </c>
      <c r="B317" s="130" t="s">
        <v>1498</v>
      </c>
      <c r="C317" s="22">
        <v>160000.0</v>
      </c>
      <c r="D317" s="26">
        <v>2013.0</v>
      </c>
      <c r="E317" s="26" t="s">
        <v>2457</v>
      </c>
      <c r="F317" s="130" t="s">
        <v>64</v>
      </c>
      <c r="G317" s="130" t="s">
        <v>23</v>
      </c>
      <c r="H317" s="28"/>
      <c r="I317" s="26">
        <v>2.0</v>
      </c>
      <c r="J317" s="57"/>
      <c r="K317" s="28"/>
      <c r="L317" s="34" t="s">
        <v>1500</v>
      </c>
      <c r="M317" s="106" t="s">
        <v>1501</v>
      </c>
      <c r="N317" s="166" t="s">
        <v>1502</v>
      </c>
      <c r="O317" s="32">
        <v>129.0</v>
      </c>
    </row>
    <row r="318" ht="17.25" customHeight="1">
      <c r="A318" s="165" t="s">
        <v>1849</v>
      </c>
      <c r="B318" s="130" t="s">
        <v>1850</v>
      </c>
      <c r="C318" s="22">
        <v>160000.0</v>
      </c>
      <c r="D318" s="26">
        <v>2009.0</v>
      </c>
      <c r="E318" s="26" t="s">
        <v>2458</v>
      </c>
      <c r="F318" s="130" t="s">
        <v>2060</v>
      </c>
      <c r="G318" s="130" t="s">
        <v>23</v>
      </c>
      <c r="H318" s="28"/>
      <c r="I318" s="26">
        <v>3.0</v>
      </c>
      <c r="J318" s="57"/>
      <c r="K318" s="28"/>
      <c r="L318" s="105" t="s">
        <v>1599</v>
      </c>
      <c r="M318" s="106" t="s">
        <v>1852</v>
      </c>
      <c r="N318" s="113"/>
      <c r="O318" s="32">
        <v>42.0</v>
      </c>
    </row>
    <row r="319">
      <c r="A319" s="165" t="s">
        <v>1942</v>
      </c>
      <c r="B319" s="28"/>
      <c r="C319" s="22">
        <v>160000.0</v>
      </c>
      <c r="D319" s="26">
        <v>2007.0</v>
      </c>
      <c r="E319" s="111" t="s">
        <v>2459</v>
      </c>
      <c r="F319" s="130" t="s">
        <v>64</v>
      </c>
      <c r="G319" s="26" t="s">
        <v>1034</v>
      </c>
      <c r="H319" s="28"/>
      <c r="I319" s="26">
        <v>2.0</v>
      </c>
      <c r="J319" s="57"/>
      <c r="K319" s="28"/>
      <c r="L319" s="53" t="s">
        <v>1224</v>
      </c>
      <c r="M319" s="106" t="s">
        <v>1944</v>
      </c>
      <c r="N319" s="113"/>
      <c r="O319" s="32">
        <v>17.0</v>
      </c>
    </row>
    <row r="320">
      <c r="A320" s="20" t="s">
        <v>1291</v>
      </c>
      <c r="B320" s="34" t="s">
        <v>1292</v>
      </c>
      <c r="C320" s="22">
        <v>157000.0</v>
      </c>
      <c r="D320" s="26">
        <v>2015.0</v>
      </c>
      <c r="E320" s="26" t="s">
        <v>2460</v>
      </c>
      <c r="F320" s="26" t="s">
        <v>129</v>
      </c>
      <c r="G320" s="26" t="s">
        <v>23</v>
      </c>
      <c r="H320" s="28"/>
      <c r="I320" s="26">
        <v>2.0</v>
      </c>
      <c r="J320" s="57"/>
      <c r="K320" s="28"/>
      <c r="L320" s="53" t="s">
        <v>905</v>
      </c>
      <c r="M320" s="125" t="s">
        <v>1294</v>
      </c>
      <c r="N320" s="106" t="s">
        <v>1295</v>
      </c>
      <c r="O320" s="32">
        <v>182.0</v>
      </c>
    </row>
    <row r="321">
      <c r="A321" s="114" t="s">
        <v>1645</v>
      </c>
      <c r="B321" s="28"/>
      <c r="C321" s="22">
        <v>156000.0</v>
      </c>
      <c r="D321" s="26">
        <v>2011.0</v>
      </c>
      <c r="E321" s="26" t="s">
        <v>2461</v>
      </c>
      <c r="F321" s="26" t="s">
        <v>258</v>
      </c>
      <c r="G321" s="130" t="s">
        <v>23</v>
      </c>
      <c r="H321" s="28"/>
      <c r="I321" s="26">
        <v>4.0</v>
      </c>
      <c r="J321" s="57"/>
      <c r="K321" s="28"/>
      <c r="L321" s="34" t="s">
        <v>1647</v>
      </c>
      <c r="M321" s="135" t="s">
        <v>1648</v>
      </c>
      <c r="N321" s="136"/>
      <c r="O321" s="32">
        <v>94.0</v>
      </c>
    </row>
    <row r="322">
      <c r="A322" s="165" t="s">
        <v>1400</v>
      </c>
      <c r="B322" s="53"/>
      <c r="C322" s="22">
        <v>150000.0</v>
      </c>
      <c r="D322" s="26">
        <v>2013.0</v>
      </c>
      <c r="E322" s="26" t="s">
        <v>2462</v>
      </c>
      <c r="F322" s="26" t="s">
        <v>58</v>
      </c>
      <c r="G322" s="419" t="s">
        <v>142</v>
      </c>
      <c r="H322" s="130" t="s">
        <v>29</v>
      </c>
      <c r="I322" s="26">
        <v>2.0</v>
      </c>
      <c r="J322" s="57"/>
      <c r="K322" s="28"/>
      <c r="L322" s="53" t="s">
        <v>1110</v>
      </c>
      <c r="M322" s="166" t="s">
        <v>1402</v>
      </c>
      <c r="N322" s="113"/>
      <c r="O322" s="32">
        <v>154.0</v>
      </c>
    </row>
    <row r="323">
      <c r="A323" s="165" t="s">
        <v>1338</v>
      </c>
      <c r="B323" s="53"/>
      <c r="C323" s="22">
        <v>146000.0</v>
      </c>
      <c r="D323" s="26">
        <v>2014.0</v>
      </c>
      <c r="E323" s="26" t="s">
        <v>2463</v>
      </c>
      <c r="F323" s="26" t="s">
        <v>2060</v>
      </c>
      <c r="G323" s="130" t="s">
        <v>51</v>
      </c>
      <c r="H323" s="28"/>
      <c r="I323" s="26">
        <v>2.0</v>
      </c>
      <c r="J323" s="57"/>
      <c r="K323" s="28"/>
      <c r="L323" s="53" t="s">
        <v>1338</v>
      </c>
      <c r="M323" s="166" t="s">
        <v>1340</v>
      </c>
      <c r="N323" s="166" t="s">
        <v>1341</v>
      </c>
      <c r="O323" s="32">
        <v>170.0</v>
      </c>
    </row>
    <row r="324">
      <c r="A324" s="165" t="s">
        <v>1828</v>
      </c>
      <c r="B324" s="28"/>
      <c r="C324" s="22">
        <v>131000.0</v>
      </c>
      <c r="D324" s="26">
        <v>2009.0</v>
      </c>
      <c r="E324" s="26" t="s">
        <v>2464</v>
      </c>
      <c r="F324" s="130" t="s">
        <v>1676</v>
      </c>
      <c r="G324" s="26" t="s">
        <v>1034</v>
      </c>
      <c r="H324" s="130" t="s">
        <v>29</v>
      </c>
      <c r="I324" s="26">
        <v>2.0</v>
      </c>
      <c r="J324" s="57"/>
      <c r="K324" s="28"/>
      <c r="L324" s="105" t="s">
        <v>1088</v>
      </c>
      <c r="M324" s="106" t="s">
        <v>1830</v>
      </c>
      <c r="N324" s="113"/>
      <c r="O324" s="32">
        <v>47.0</v>
      </c>
    </row>
    <row r="325">
      <c r="A325" s="114" t="s">
        <v>1806</v>
      </c>
      <c r="B325" s="28"/>
      <c r="C325" s="22">
        <v>130495.0</v>
      </c>
      <c r="D325" s="26">
        <v>2010.0</v>
      </c>
      <c r="E325" s="26" t="s">
        <v>2465</v>
      </c>
      <c r="F325" s="26" t="s">
        <v>258</v>
      </c>
      <c r="G325" s="26" t="s">
        <v>1034</v>
      </c>
      <c r="H325" s="28"/>
      <c r="I325" s="26">
        <v>4.0</v>
      </c>
      <c r="J325" s="57"/>
      <c r="K325" s="28"/>
      <c r="L325" s="34" t="s">
        <v>1808</v>
      </c>
      <c r="M325" s="135" t="s">
        <v>1809</v>
      </c>
      <c r="N325" s="136"/>
      <c r="O325" s="32">
        <v>52.0</v>
      </c>
    </row>
    <row r="326">
      <c r="A326" s="137" t="s">
        <v>1175</v>
      </c>
      <c r="B326" s="139" t="s">
        <v>1176</v>
      </c>
      <c r="C326" s="22">
        <v>130000.0</v>
      </c>
      <c r="D326" s="26">
        <v>2016.0</v>
      </c>
      <c r="E326" s="26" t="s">
        <v>2466</v>
      </c>
      <c r="F326" s="139" t="s">
        <v>129</v>
      </c>
      <c r="G326" s="26" t="s">
        <v>23</v>
      </c>
      <c r="H326" s="53"/>
      <c r="I326" s="26">
        <v>2.0</v>
      </c>
      <c r="J326" s="57"/>
      <c r="K326" s="53"/>
      <c r="L326" s="53" t="s">
        <v>1175</v>
      </c>
      <c r="M326" s="152" t="s">
        <v>1178</v>
      </c>
      <c r="N326" s="117"/>
      <c r="O326" s="32">
        <v>210.0</v>
      </c>
    </row>
    <row r="327">
      <c r="A327" s="165" t="s">
        <v>1481</v>
      </c>
      <c r="B327" s="130" t="s">
        <v>1482</v>
      </c>
      <c r="C327" s="22">
        <v>125000.0</v>
      </c>
      <c r="D327" s="26">
        <v>2013.0</v>
      </c>
      <c r="E327" s="26" t="s">
        <v>2467</v>
      </c>
      <c r="F327" s="26" t="s">
        <v>2060</v>
      </c>
      <c r="G327" s="130" t="s">
        <v>23</v>
      </c>
      <c r="H327" s="28"/>
      <c r="I327" s="26">
        <v>2.0</v>
      </c>
      <c r="J327" s="57"/>
      <c r="K327" s="28"/>
      <c r="L327" s="105" t="s">
        <v>1434</v>
      </c>
      <c r="M327" s="106" t="s">
        <v>1484</v>
      </c>
      <c r="N327" s="109"/>
      <c r="O327" s="32">
        <v>133.0</v>
      </c>
    </row>
    <row r="328">
      <c r="A328" s="165" t="s">
        <v>1979</v>
      </c>
      <c r="B328" s="130" t="s">
        <v>1980</v>
      </c>
      <c r="C328" s="22">
        <v>125000.0</v>
      </c>
      <c r="D328" s="26">
        <v>2006.0</v>
      </c>
      <c r="E328" s="34" t="s">
        <v>2468</v>
      </c>
      <c r="F328" s="26" t="s">
        <v>58</v>
      </c>
      <c r="G328" s="130" t="s">
        <v>51</v>
      </c>
      <c r="H328" s="28"/>
      <c r="I328" s="26">
        <v>2.0</v>
      </c>
      <c r="J328" s="57"/>
      <c r="K328" s="28"/>
      <c r="L328" s="53" t="s">
        <v>829</v>
      </c>
      <c r="M328" s="106" t="s">
        <v>1982</v>
      </c>
      <c r="N328" s="113"/>
      <c r="O328" s="32">
        <v>8.0</v>
      </c>
    </row>
    <row r="329">
      <c r="A329" s="165" t="s">
        <v>1667</v>
      </c>
      <c r="B329" s="28"/>
      <c r="C329" s="22">
        <v>123461.0</v>
      </c>
      <c r="D329" s="26">
        <v>2011.0</v>
      </c>
      <c r="E329" s="26" t="s">
        <v>2469</v>
      </c>
      <c r="F329" s="130" t="s">
        <v>64</v>
      </c>
      <c r="G329" s="26" t="s">
        <v>23</v>
      </c>
      <c r="H329" s="28"/>
      <c r="I329" s="26">
        <v>3.0</v>
      </c>
      <c r="J329" s="57"/>
      <c r="K329" s="28"/>
      <c r="L329" s="53" t="s">
        <v>1608</v>
      </c>
      <c r="M329" s="106" t="s">
        <v>1669</v>
      </c>
      <c r="N329" s="113"/>
      <c r="O329" s="32">
        <v>88.0</v>
      </c>
    </row>
    <row r="330">
      <c r="A330" s="165" t="s">
        <v>244</v>
      </c>
      <c r="B330" s="130" t="s">
        <v>1803</v>
      </c>
      <c r="C330" s="22">
        <v>114000.0</v>
      </c>
      <c r="D330" s="26">
        <v>2010.0</v>
      </c>
      <c r="E330" s="26" t="s">
        <v>2470</v>
      </c>
      <c r="F330" s="130" t="s">
        <v>129</v>
      </c>
      <c r="G330" s="130" t="s">
        <v>23</v>
      </c>
      <c r="H330" s="130" t="s">
        <v>29</v>
      </c>
      <c r="I330" s="130">
        <v>1.0</v>
      </c>
      <c r="J330" s="57"/>
      <c r="K330" s="28"/>
      <c r="L330" s="53" t="s">
        <v>507</v>
      </c>
      <c r="M330" s="106" t="s">
        <v>1805</v>
      </c>
      <c r="N330" s="113"/>
      <c r="O330" s="32">
        <v>53.0</v>
      </c>
    </row>
    <row r="331">
      <c r="A331" s="165" t="s">
        <v>244</v>
      </c>
      <c r="B331" s="28"/>
      <c r="C331" s="22">
        <v>113000.0</v>
      </c>
      <c r="D331" s="26">
        <v>2008.0</v>
      </c>
      <c r="E331" s="26" t="s">
        <v>2471</v>
      </c>
      <c r="F331" s="130" t="s">
        <v>129</v>
      </c>
      <c r="G331" s="26" t="s">
        <v>1034</v>
      </c>
      <c r="H331" s="130" t="s">
        <v>29</v>
      </c>
      <c r="I331" s="130">
        <v>1.0</v>
      </c>
      <c r="J331" s="57"/>
      <c r="K331" s="28"/>
      <c r="L331" s="105" t="s">
        <v>1865</v>
      </c>
      <c r="M331" s="106" t="s">
        <v>1898</v>
      </c>
      <c r="N331" s="113"/>
      <c r="O331" s="32">
        <v>30.0</v>
      </c>
    </row>
    <row r="332">
      <c r="A332" s="20" t="s">
        <v>1154</v>
      </c>
      <c r="B332" s="111" t="s">
        <v>1155</v>
      </c>
      <c r="C332" s="22">
        <v>112000.0</v>
      </c>
      <c r="D332" s="26">
        <v>2016.0</v>
      </c>
      <c r="E332" s="26" t="s">
        <v>2472</v>
      </c>
      <c r="F332" s="26" t="s">
        <v>258</v>
      </c>
      <c r="G332" s="26" t="s">
        <v>59</v>
      </c>
      <c r="H332" s="28"/>
      <c r="I332" s="26">
        <v>5.0</v>
      </c>
      <c r="J332" s="57"/>
      <c r="K332" s="28"/>
      <c r="L332" s="53" t="s">
        <v>905</v>
      </c>
      <c r="M332" s="106" t="s">
        <v>1157</v>
      </c>
      <c r="N332" s="113"/>
      <c r="O332" s="32">
        <v>215.0</v>
      </c>
    </row>
    <row r="333">
      <c r="A333" s="165" t="s">
        <v>1432</v>
      </c>
      <c r="B333" s="28"/>
      <c r="C333" s="22">
        <v>110000.0</v>
      </c>
      <c r="D333" s="26">
        <v>2013.0</v>
      </c>
      <c r="E333" s="26" t="s">
        <v>2473</v>
      </c>
      <c r="F333" s="26" t="s">
        <v>38</v>
      </c>
      <c r="G333" s="130" t="s">
        <v>23</v>
      </c>
      <c r="H333" s="28"/>
      <c r="I333" s="26">
        <v>3.0</v>
      </c>
      <c r="J333" s="57"/>
      <c r="K333" s="28"/>
      <c r="L333" s="105" t="s">
        <v>1434</v>
      </c>
      <c r="M333" s="106" t="s">
        <v>1435</v>
      </c>
      <c r="N333" s="113"/>
      <c r="O333" s="32">
        <v>147.0</v>
      </c>
    </row>
    <row r="334">
      <c r="A334" s="114" t="s">
        <v>1799</v>
      </c>
      <c r="B334" s="115" t="s">
        <v>1800</v>
      </c>
      <c r="C334" s="22">
        <v>105470.0</v>
      </c>
      <c r="D334" s="26">
        <v>2010.0</v>
      </c>
      <c r="E334" s="26" t="s">
        <v>2474</v>
      </c>
      <c r="F334" s="26" t="s">
        <v>258</v>
      </c>
      <c r="G334" s="26" t="s">
        <v>1034</v>
      </c>
      <c r="H334" s="28"/>
      <c r="I334" s="26">
        <v>2.0</v>
      </c>
      <c r="J334" s="57"/>
      <c r="K334" s="28"/>
      <c r="L334" s="34" t="s">
        <v>1026</v>
      </c>
      <c r="M334" s="135" t="s">
        <v>1802</v>
      </c>
      <c r="N334" s="136"/>
      <c r="O334" s="32">
        <v>54.0</v>
      </c>
    </row>
    <row r="335">
      <c r="A335" s="114" t="s">
        <v>1571</v>
      </c>
      <c r="B335" s="130" t="s">
        <v>1572</v>
      </c>
      <c r="C335" s="22">
        <v>102153.0</v>
      </c>
      <c r="D335" s="26">
        <v>2012.0</v>
      </c>
      <c r="E335" s="26" t="s">
        <v>2475</v>
      </c>
      <c r="F335" s="26" t="s">
        <v>258</v>
      </c>
      <c r="G335" s="26" t="s">
        <v>1034</v>
      </c>
      <c r="H335" s="28"/>
      <c r="I335" s="26">
        <v>2.0</v>
      </c>
      <c r="J335" s="57"/>
      <c r="K335" s="28"/>
      <c r="L335" s="34" t="s">
        <v>1574</v>
      </c>
      <c r="M335" s="135" t="s">
        <v>1575</v>
      </c>
      <c r="N335" s="136"/>
      <c r="O335" s="32">
        <v>111.0</v>
      </c>
    </row>
    <row r="336">
      <c r="A336" s="103" t="s">
        <v>708</v>
      </c>
      <c r="B336" s="420"/>
      <c r="C336" s="22">
        <v>100000.0</v>
      </c>
      <c r="D336" s="26">
        <v>2019.0</v>
      </c>
      <c r="E336" s="26" t="s">
        <v>2476</v>
      </c>
      <c r="F336" s="26" t="s">
        <v>64</v>
      </c>
      <c r="G336" s="26" t="s">
        <v>23</v>
      </c>
      <c r="H336" s="26" t="s">
        <v>29</v>
      </c>
      <c r="I336" s="26">
        <v>2.0</v>
      </c>
      <c r="J336" s="27"/>
      <c r="K336" s="28"/>
      <c r="L336" s="105" t="s">
        <v>710</v>
      </c>
      <c r="M336" s="106" t="s">
        <v>711</v>
      </c>
      <c r="N336" s="107"/>
      <c r="O336" s="32">
        <v>342.0</v>
      </c>
    </row>
    <row r="337">
      <c r="A337" s="442" t="s">
        <v>952</v>
      </c>
      <c r="B337" s="445"/>
      <c r="C337" s="444">
        <v>100000.0</v>
      </c>
      <c r="D337" s="445">
        <v>2018.0</v>
      </c>
      <c r="E337" s="445" t="s">
        <v>2477</v>
      </c>
      <c r="F337" s="445" t="s">
        <v>50</v>
      </c>
      <c r="G337" s="447" t="s">
        <v>23</v>
      </c>
      <c r="H337" s="448"/>
      <c r="I337" s="445">
        <v>1.0</v>
      </c>
      <c r="J337" s="449"/>
      <c r="K337" s="452"/>
      <c r="L337" s="445" t="s">
        <v>608</v>
      </c>
      <c r="M337" s="469" t="s">
        <v>954</v>
      </c>
      <c r="N337" s="453"/>
      <c r="O337" s="32">
        <v>266.0</v>
      </c>
    </row>
    <row r="338">
      <c r="A338" s="114" t="s">
        <v>1272</v>
      </c>
      <c r="B338" s="115" t="s">
        <v>1273</v>
      </c>
      <c r="C338" s="22">
        <v>100000.0</v>
      </c>
      <c r="D338" s="26">
        <v>2015.0</v>
      </c>
      <c r="E338" s="34" t="s">
        <v>2478</v>
      </c>
      <c r="F338" s="115" t="s">
        <v>64</v>
      </c>
      <c r="G338" s="34" t="s">
        <v>23</v>
      </c>
      <c r="H338" s="53"/>
      <c r="I338" s="130">
        <v>1.0</v>
      </c>
      <c r="J338" s="57"/>
      <c r="K338" s="53"/>
      <c r="L338" s="53" t="s">
        <v>1088</v>
      </c>
      <c r="M338" s="160" t="s">
        <v>1275</v>
      </c>
      <c r="N338" s="19"/>
      <c r="O338" s="32">
        <v>186.0</v>
      </c>
    </row>
    <row r="339">
      <c r="A339" s="165" t="s">
        <v>1438</v>
      </c>
      <c r="B339" s="28"/>
      <c r="C339" s="22">
        <v>100000.0</v>
      </c>
      <c r="D339" s="26">
        <v>2013.0</v>
      </c>
      <c r="E339" s="26" t="s">
        <v>2479</v>
      </c>
      <c r="F339" s="26" t="s">
        <v>258</v>
      </c>
      <c r="G339" s="26" t="s">
        <v>1034</v>
      </c>
      <c r="H339" s="28"/>
      <c r="I339" s="26">
        <v>4.0</v>
      </c>
      <c r="J339" s="57"/>
      <c r="K339" s="28"/>
      <c r="L339" s="34" t="s">
        <v>1440</v>
      </c>
      <c r="M339" s="106" t="s">
        <v>1441</v>
      </c>
      <c r="N339" s="113"/>
      <c r="O339" s="32">
        <v>145.0</v>
      </c>
    </row>
    <row r="340">
      <c r="A340" s="165" t="s">
        <v>1442</v>
      </c>
      <c r="B340" s="130"/>
      <c r="C340" s="22">
        <v>100000.0</v>
      </c>
      <c r="D340" s="26">
        <v>2013.0</v>
      </c>
      <c r="E340" s="26" t="s">
        <v>2480</v>
      </c>
      <c r="F340" s="130" t="s">
        <v>64</v>
      </c>
      <c r="G340" s="26" t="s">
        <v>1034</v>
      </c>
      <c r="H340" s="28"/>
      <c r="I340" s="26">
        <v>2.0</v>
      </c>
      <c r="J340" s="57"/>
      <c r="K340" s="28"/>
      <c r="L340" s="34" t="s">
        <v>1026</v>
      </c>
      <c r="M340" s="106" t="s">
        <v>1444</v>
      </c>
      <c r="N340" s="113"/>
      <c r="O340" s="32">
        <v>144.0</v>
      </c>
    </row>
    <row r="341">
      <c r="A341" s="165" t="s">
        <v>1915</v>
      </c>
      <c r="B341" s="28"/>
      <c r="C341" s="22">
        <v>97000.0</v>
      </c>
      <c r="D341" s="26">
        <v>2008.0</v>
      </c>
      <c r="E341" s="26" t="s">
        <v>2481</v>
      </c>
      <c r="F341" s="130" t="s">
        <v>43</v>
      </c>
      <c r="G341" s="26" t="s">
        <v>1034</v>
      </c>
      <c r="H341" s="130" t="s">
        <v>29</v>
      </c>
      <c r="I341" s="26">
        <v>2.0</v>
      </c>
      <c r="J341" s="57"/>
      <c r="K341" s="28"/>
      <c r="L341" s="53" t="s">
        <v>1917</v>
      </c>
      <c r="M341" s="106" t="s">
        <v>1918</v>
      </c>
      <c r="N341" s="432"/>
      <c r="O341" s="32">
        <v>25.0</v>
      </c>
    </row>
    <row r="342">
      <c r="A342" s="20" t="s">
        <v>967</v>
      </c>
      <c r="B342" s="111" t="s">
        <v>968</v>
      </c>
      <c r="C342" s="22">
        <v>93689.0</v>
      </c>
      <c r="D342" s="26">
        <v>2018.0</v>
      </c>
      <c r="E342" s="26" t="s">
        <v>2482</v>
      </c>
      <c r="F342" s="26" t="s">
        <v>258</v>
      </c>
      <c r="G342" s="26" t="s">
        <v>23</v>
      </c>
      <c r="H342" s="28"/>
      <c r="I342" s="26">
        <v>2.0</v>
      </c>
      <c r="J342" s="27"/>
      <c r="K342" s="28"/>
      <c r="L342" s="105" t="s">
        <v>970</v>
      </c>
      <c r="M342" s="106" t="s">
        <v>971</v>
      </c>
      <c r="N342" s="109"/>
      <c r="O342" s="32">
        <v>262.0</v>
      </c>
    </row>
    <row r="343">
      <c r="A343" s="165" t="s">
        <v>1911</v>
      </c>
      <c r="B343" s="28"/>
      <c r="C343" s="22">
        <v>89000.0</v>
      </c>
      <c r="D343" s="26">
        <v>2008.0</v>
      </c>
      <c r="E343" s="26" t="s">
        <v>2483</v>
      </c>
      <c r="F343" s="130" t="s">
        <v>64</v>
      </c>
      <c r="G343" s="130" t="s">
        <v>59</v>
      </c>
      <c r="H343" s="28"/>
      <c r="I343" s="26">
        <v>2.0</v>
      </c>
      <c r="J343" s="57"/>
      <c r="K343" s="28"/>
      <c r="L343" s="105" t="s">
        <v>1913</v>
      </c>
      <c r="M343" s="106" t="s">
        <v>1914</v>
      </c>
      <c r="N343" s="113"/>
      <c r="O343" s="32">
        <v>26.0</v>
      </c>
    </row>
    <row r="344">
      <c r="A344" s="165" t="s">
        <v>1880</v>
      </c>
      <c r="B344" s="28"/>
      <c r="C344" s="22">
        <v>84000.0</v>
      </c>
      <c r="D344" s="26">
        <v>2008.0</v>
      </c>
      <c r="E344" s="111" t="s">
        <v>2484</v>
      </c>
      <c r="F344" s="130" t="s">
        <v>64</v>
      </c>
      <c r="G344" s="26" t="s">
        <v>1034</v>
      </c>
      <c r="H344" s="28"/>
      <c r="I344" s="26">
        <v>2.0</v>
      </c>
      <c r="J344" s="57"/>
      <c r="K344" s="28"/>
      <c r="L344" s="53" t="s">
        <v>1882</v>
      </c>
      <c r="M344" s="106" t="s">
        <v>1883</v>
      </c>
      <c r="N344" s="113"/>
      <c r="O344" s="32">
        <v>34.0</v>
      </c>
    </row>
    <row r="345">
      <c r="A345" s="20" t="s">
        <v>1064</v>
      </c>
      <c r="B345" s="26"/>
      <c r="C345" s="22">
        <v>81309.0</v>
      </c>
      <c r="D345" s="150">
        <v>2017.0</v>
      </c>
      <c r="E345" s="26" t="s">
        <v>2485</v>
      </c>
      <c r="F345" s="26" t="s">
        <v>258</v>
      </c>
      <c r="G345" s="26" t="s">
        <v>23</v>
      </c>
      <c r="H345" s="28"/>
      <c r="I345" s="26">
        <v>4.0</v>
      </c>
      <c r="J345" s="57"/>
      <c r="K345" s="110"/>
      <c r="L345" s="26" t="s">
        <v>1066</v>
      </c>
      <c r="M345" s="106" t="s">
        <v>1067</v>
      </c>
      <c r="N345" s="113"/>
      <c r="O345" s="32">
        <v>237.0</v>
      </c>
    </row>
    <row r="346">
      <c r="A346" s="165" t="s">
        <v>1387</v>
      </c>
      <c r="B346" s="28"/>
      <c r="C346" s="22">
        <v>76000.0</v>
      </c>
      <c r="D346" s="26">
        <v>2014.0</v>
      </c>
      <c r="E346" s="26" t="s">
        <v>2486</v>
      </c>
      <c r="F346" s="130" t="s">
        <v>28</v>
      </c>
      <c r="G346" s="130" t="s">
        <v>51</v>
      </c>
      <c r="H346" s="28"/>
      <c r="I346" s="26">
        <v>2.0</v>
      </c>
      <c r="J346" s="57"/>
      <c r="K346" s="28"/>
      <c r="L346" s="53" t="s">
        <v>325</v>
      </c>
      <c r="M346" s="166" t="s">
        <v>1389</v>
      </c>
      <c r="N346" s="113"/>
      <c r="O346" s="32">
        <v>157.0</v>
      </c>
    </row>
    <row r="347">
      <c r="A347" s="20" t="s">
        <v>1429</v>
      </c>
      <c r="B347" s="28"/>
      <c r="C347" s="22">
        <v>74000.0</v>
      </c>
      <c r="D347" s="26">
        <v>2013.0</v>
      </c>
      <c r="E347" s="26" t="s">
        <v>2487</v>
      </c>
      <c r="F347" s="26" t="s">
        <v>2060</v>
      </c>
      <c r="G347" s="26" t="s">
        <v>23</v>
      </c>
      <c r="H347" s="28"/>
      <c r="I347" s="26">
        <v>2.0</v>
      </c>
      <c r="J347" s="57"/>
      <c r="K347" s="28"/>
      <c r="L347" s="105" t="s">
        <v>1429</v>
      </c>
      <c r="M347" s="106" t="s">
        <v>1431</v>
      </c>
      <c r="N347" s="113"/>
      <c r="O347" s="32">
        <v>148.0</v>
      </c>
    </row>
    <row r="348">
      <c r="A348" s="114" t="s">
        <v>1670</v>
      </c>
      <c r="B348" s="28"/>
      <c r="C348" s="22">
        <v>73000.0</v>
      </c>
      <c r="D348" s="26">
        <v>2011.0</v>
      </c>
      <c r="E348" s="184" t="s">
        <v>2488</v>
      </c>
      <c r="F348" s="26" t="s">
        <v>2060</v>
      </c>
      <c r="G348" s="130" t="s">
        <v>23</v>
      </c>
      <c r="H348" s="28"/>
      <c r="I348" s="26">
        <v>2.0</v>
      </c>
      <c r="J348" s="57"/>
      <c r="K348" s="28"/>
      <c r="L348" s="34" t="s">
        <v>571</v>
      </c>
      <c r="M348" s="106" t="s">
        <v>1672</v>
      </c>
      <c r="N348" s="113"/>
      <c r="O348" s="32">
        <v>87.0</v>
      </c>
    </row>
    <row r="349">
      <c r="A349" s="165" t="s">
        <v>149</v>
      </c>
      <c r="B349" s="28"/>
      <c r="C349" s="22">
        <v>72000.0</v>
      </c>
      <c r="D349" s="26">
        <v>2008.0</v>
      </c>
      <c r="E349" s="26" t="s">
        <v>2489</v>
      </c>
      <c r="F349" s="130" t="s">
        <v>2060</v>
      </c>
      <c r="G349" s="26" t="s">
        <v>1034</v>
      </c>
      <c r="H349" s="28"/>
      <c r="I349" s="26">
        <v>2.0</v>
      </c>
      <c r="J349" s="57"/>
      <c r="K349" s="28"/>
      <c r="L349" s="105" t="s">
        <v>1900</v>
      </c>
      <c r="M349" s="106" t="s">
        <v>1901</v>
      </c>
      <c r="N349" s="432"/>
      <c r="O349" s="32">
        <v>29.0</v>
      </c>
    </row>
    <row r="350">
      <c r="A350" s="185" t="s">
        <v>1686</v>
      </c>
      <c r="B350" s="130" t="s">
        <v>1687</v>
      </c>
      <c r="C350" s="22">
        <v>62000.0</v>
      </c>
      <c r="D350" s="26">
        <v>2011.0</v>
      </c>
      <c r="E350" s="26" t="s">
        <v>2490</v>
      </c>
      <c r="F350" s="130" t="s">
        <v>28</v>
      </c>
      <c r="G350" s="130" t="s">
        <v>23</v>
      </c>
      <c r="H350" s="28"/>
      <c r="I350" s="130">
        <v>1.0</v>
      </c>
      <c r="J350" s="57"/>
      <c r="K350" s="28"/>
      <c r="L350" s="120" t="s">
        <v>629</v>
      </c>
      <c r="M350" s="135" t="s">
        <v>1689</v>
      </c>
      <c r="N350" s="113"/>
      <c r="O350" s="32">
        <v>83.0</v>
      </c>
    </row>
    <row r="351">
      <c r="A351" s="165" t="s">
        <v>1359</v>
      </c>
      <c r="B351" s="28"/>
      <c r="C351" s="22">
        <v>52000.0</v>
      </c>
      <c r="D351" s="26">
        <v>2014.0</v>
      </c>
      <c r="E351" s="26" t="s">
        <v>2491</v>
      </c>
      <c r="F351" s="130" t="s">
        <v>22</v>
      </c>
      <c r="G351" s="130" t="s">
        <v>51</v>
      </c>
      <c r="H351" s="130" t="s">
        <v>29</v>
      </c>
      <c r="I351" s="130">
        <v>1.0</v>
      </c>
      <c r="J351" s="57"/>
      <c r="K351" s="28"/>
      <c r="L351" s="53" t="s">
        <v>902</v>
      </c>
      <c r="M351" s="166" t="s">
        <v>1361</v>
      </c>
      <c r="N351" s="113"/>
      <c r="O351" s="32">
        <v>165.0</v>
      </c>
    </row>
    <row r="352">
      <c r="A352" s="165" t="s">
        <v>1928</v>
      </c>
      <c r="B352" s="53"/>
      <c r="C352" s="22">
        <v>50500.0</v>
      </c>
      <c r="D352" s="26">
        <v>2008.0</v>
      </c>
      <c r="E352" s="26" t="s">
        <v>2492</v>
      </c>
      <c r="F352" s="130" t="s">
        <v>64</v>
      </c>
      <c r="G352" s="26" t="s">
        <v>1034</v>
      </c>
      <c r="H352" s="28"/>
      <c r="I352" s="26">
        <v>2.0</v>
      </c>
      <c r="J352" s="57"/>
      <c r="K352" s="28"/>
      <c r="L352" s="53" t="s">
        <v>905</v>
      </c>
      <c r="M352" s="106" t="s">
        <v>1930</v>
      </c>
      <c r="N352" s="113"/>
      <c r="O352" s="32">
        <v>21.0</v>
      </c>
    </row>
    <row r="353">
      <c r="A353" s="114" t="s">
        <v>288</v>
      </c>
      <c r="B353" s="53"/>
      <c r="C353" s="22">
        <v>50000.0</v>
      </c>
      <c r="D353" s="26">
        <v>2015.0</v>
      </c>
      <c r="E353" s="34" t="s">
        <v>2493</v>
      </c>
      <c r="F353" s="26" t="s">
        <v>2494</v>
      </c>
      <c r="G353" s="115" t="s">
        <v>51</v>
      </c>
      <c r="H353" s="53"/>
      <c r="I353" s="130">
        <v>1.0</v>
      </c>
      <c r="J353" s="57"/>
      <c r="K353" s="53"/>
      <c r="L353" s="34" t="s">
        <v>880</v>
      </c>
      <c r="M353" s="157" t="s">
        <v>1228</v>
      </c>
      <c r="N353" s="19"/>
      <c r="O353" s="32">
        <v>197.0</v>
      </c>
    </row>
    <row r="354">
      <c r="A354" s="165" t="s">
        <v>1649</v>
      </c>
      <c r="B354" s="28"/>
      <c r="C354" s="22">
        <v>43000.0</v>
      </c>
      <c r="D354" s="26">
        <v>2011.0</v>
      </c>
      <c r="E354" s="26" t="s">
        <v>2495</v>
      </c>
      <c r="F354" s="130" t="s">
        <v>2060</v>
      </c>
      <c r="G354" s="419" t="s">
        <v>142</v>
      </c>
      <c r="H354" s="28"/>
      <c r="I354" s="26">
        <v>2.0</v>
      </c>
      <c r="J354" s="57"/>
      <c r="K354" s="28"/>
      <c r="L354" s="34" t="s">
        <v>918</v>
      </c>
      <c r="M354" s="106" t="s">
        <v>1651</v>
      </c>
      <c r="N354" s="113"/>
      <c r="O354" s="32">
        <v>93.0</v>
      </c>
    </row>
    <row r="355">
      <c r="A355" s="421" t="s">
        <v>144</v>
      </c>
      <c r="B355" s="422"/>
      <c r="C355" s="423">
        <v>40000.0</v>
      </c>
      <c r="D355" s="422">
        <v>2018.0</v>
      </c>
      <c r="E355" s="422" t="s">
        <v>2496</v>
      </c>
      <c r="F355" s="422" t="s">
        <v>28</v>
      </c>
      <c r="G355" s="422" t="s">
        <v>23</v>
      </c>
      <c r="H355" s="426"/>
      <c r="I355" s="422">
        <v>3.0</v>
      </c>
      <c r="J355" s="57"/>
      <c r="K355" s="110"/>
      <c r="L355" s="53" t="s">
        <v>905</v>
      </c>
      <c r="M355" s="125" t="s">
        <v>906</v>
      </c>
      <c r="N355" s="432"/>
      <c r="O355" s="32">
        <v>278.0</v>
      </c>
    </row>
    <row r="356">
      <c r="A356" s="20" t="s">
        <v>1240</v>
      </c>
      <c r="B356" s="111" t="s">
        <v>1241</v>
      </c>
      <c r="C356" s="22">
        <v>40000.0</v>
      </c>
      <c r="D356" s="26">
        <v>2015.0</v>
      </c>
      <c r="E356" s="26" t="s">
        <v>2497</v>
      </c>
      <c r="F356" s="26" t="s">
        <v>58</v>
      </c>
      <c r="G356" s="26" t="s">
        <v>23</v>
      </c>
      <c r="H356" s="28"/>
      <c r="I356" s="26">
        <v>4.0</v>
      </c>
      <c r="J356" s="57"/>
      <c r="K356" s="28"/>
      <c r="L356" s="53" t="s">
        <v>1243</v>
      </c>
      <c r="M356" s="106" t="s">
        <v>1244</v>
      </c>
      <c r="N356" s="113"/>
      <c r="O356" s="32">
        <v>194.0</v>
      </c>
    </row>
    <row r="357">
      <c r="A357" s="145" t="s">
        <v>1145</v>
      </c>
      <c r="B357" s="142"/>
      <c r="C357" s="22">
        <v>35000.0</v>
      </c>
      <c r="D357" s="26">
        <v>2016.0</v>
      </c>
      <c r="E357" s="26" t="s">
        <v>2498</v>
      </c>
      <c r="F357" s="28" t="s">
        <v>28</v>
      </c>
      <c r="G357" s="28" t="s">
        <v>23</v>
      </c>
      <c r="H357" s="53"/>
      <c r="I357" s="28">
        <v>1.0</v>
      </c>
      <c r="J357" s="57"/>
      <c r="K357" s="53"/>
      <c r="L357" s="53" t="s">
        <v>1147</v>
      </c>
      <c r="M357" s="146" t="s">
        <v>1148</v>
      </c>
      <c r="N357" s="117"/>
      <c r="O357" s="32">
        <v>217.0</v>
      </c>
    </row>
    <row r="358">
      <c r="A358" s="20" t="s">
        <v>712</v>
      </c>
      <c r="B358" s="26"/>
      <c r="C358" s="22">
        <v>34000.0</v>
      </c>
      <c r="D358" s="26">
        <v>2016.0</v>
      </c>
      <c r="E358" s="26" t="s">
        <v>2499</v>
      </c>
      <c r="F358" s="26" t="s">
        <v>258</v>
      </c>
      <c r="G358" s="130" t="s">
        <v>23</v>
      </c>
      <c r="H358" s="28"/>
      <c r="I358" s="26">
        <v>4.0</v>
      </c>
      <c r="J358" s="57"/>
      <c r="K358" s="28"/>
      <c r="L358" s="53" t="s">
        <v>1199</v>
      </c>
      <c r="M358" s="106" t="s">
        <v>1200</v>
      </c>
      <c r="N358" s="113"/>
      <c r="O358" s="32">
        <v>204.0</v>
      </c>
    </row>
    <row r="359">
      <c r="A359" s="165" t="s">
        <v>1652</v>
      </c>
      <c r="B359" s="28"/>
      <c r="C359" s="22">
        <v>34000.0</v>
      </c>
      <c r="D359" s="26">
        <v>2011.0</v>
      </c>
      <c r="E359" s="26" t="s">
        <v>2500</v>
      </c>
      <c r="F359" s="26" t="s">
        <v>58</v>
      </c>
      <c r="G359" s="26" t="s">
        <v>1034</v>
      </c>
      <c r="H359" s="130" t="s">
        <v>29</v>
      </c>
      <c r="I359" s="26">
        <v>3.0</v>
      </c>
      <c r="J359" s="57"/>
      <c r="K359" s="28"/>
      <c r="L359" s="34" t="s">
        <v>829</v>
      </c>
      <c r="M359" s="106" t="s">
        <v>1654</v>
      </c>
      <c r="N359" s="113"/>
      <c r="O359" s="32">
        <v>92.0</v>
      </c>
    </row>
    <row r="360">
      <c r="A360" s="421" t="s">
        <v>963</v>
      </c>
      <c r="B360" s="422" t="s">
        <v>964</v>
      </c>
      <c r="C360" s="423">
        <v>16300.0</v>
      </c>
      <c r="D360" s="422">
        <v>2018.0</v>
      </c>
      <c r="E360" s="422" t="s">
        <v>2501</v>
      </c>
      <c r="F360" s="422" t="s">
        <v>43</v>
      </c>
      <c r="G360" s="419" t="s">
        <v>23</v>
      </c>
      <c r="H360" s="426"/>
      <c r="I360" s="422">
        <v>4.0</v>
      </c>
      <c r="J360" s="429"/>
      <c r="K360" s="110"/>
      <c r="L360" s="26" t="s">
        <v>147</v>
      </c>
      <c r="M360" s="465" t="s">
        <v>966</v>
      </c>
      <c r="N360" s="431"/>
      <c r="O360" s="32">
        <v>263.0</v>
      </c>
    </row>
    <row r="361">
      <c r="A361" s="114" t="s">
        <v>882</v>
      </c>
      <c r="B361" s="115" t="s">
        <v>1307</v>
      </c>
      <c r="C361" s="22">
        <v>10000.0</v>
      </c>
      <c r="D361" s="26">
        <v>2015.0</v>
      </c>
      <c r="E361" s="34" t="s">
        <v>2502</v>
      </c>
      <c r="F361" s="422" t="s">
        <v>22</v>
      </c>
      <c r="G361" s="130" t="s">
        <v>23</v>
      </c>
      <c r="H361" s="53"/>
      <c r="I361" s="130">
        <v>1.0</v>
      </c>
      <c r="J361" s="57"/>
      <c r="K361" s="53"/>
      <c r="L361" s="53" t="s">
        <v>325</v>
      </c>
      <c r="M361" s="160" t="s">
        <v>1309</v>
      </c>
      <c r="N361" s="117"/>
      <c r="O361" s="32">
        <v>178.0</v>
      </c>
    </row>
    <row r="362">
      <c r="A362" s="20" t="s">
        <v>1138</v>
      </c>
      <c r="B362" s="111" t="s">
        <v>1139</v>
      </c>
      <c r="C362" s="22">
        <v>1025.0</v>
      </c>
      <c r="D362" s="26">
        <v>2016.0</v>
      </c>
      <c r="E362" s="26" t="s">
        <v>2503</v>
      </c>
      <c r="F362" s="26" t="s">
        <v>43</v>
      </c>
      <c r="G362" s="26" t="s">
        <v>23</v>
      </c>
      <c r="H362" s="26" t="s">
        <v>29</v>
      </c>
      <c r="I362" s="26">
        <v>3.0</v>
      </c>
      <c r="J362" s="57"/>
      <c r="K362" s="28"/>
      <c r="L362" s="34" t="s">
        <v>278</v>
      </c>
      <c r="M362" s="106" t="s">
        <v>1141</v>
      </c>
      <c r="N362" s="113"/>
      <c r="O362" s="32">
        <v>219.0</v>
      </c>
    </row>
    <row r="363">
      <c r="A363" s="114" t="s">
        <v>1269</v>
      </c>
      <c r="B363" s="53"/>
      <c r="C363" s="22">
        <v>30.0</v>
      </c>
      <c r="D363" s="26">
        <v>2015.0</v>
      </c>
      <c r="E363" s="34" t="s">
        <v>2504</v>
      </c>
      <c r="F363" s="130" t="s">
        <v>64</v>
      </c>
      <c r="G363" s="419" t="s">
        <v>142</v>
      </c>
      <c r="H363" s="34" t="s">
        <v>29</v>
      </c>
      <c r="I363" s="26">
        <v>4.0</v>
      </c>
      <c r="J363" s="57"/>
      <c r="K363" s="53"/>
      <c r="L363" s="53" t="s">
        <v>325</v>
      </c>
      <c r="M363" s="157" t="s">
        <v>1271</v>
      </c>
      <c r="N363" s="19"/>
      <c r="O363" s="32">
        <v>187.0</v>
      </c>
    </row>
    <row r="364">
      <c r="A364" s="165"/>
      <c r="B364" s="51"/>
      <c r="C364" s="22"/>
      <c r="D364" s="26"/>
      <c r="E364" s="26"/>
      <c r="F364" s="130"/>
      <c r="G364" s="26"/>
      <c r="H364" s="28"/>
      <c r="I364" s="130"/>
      <c r="J364" s="27"/>
      <c r="K364" s="28"/>
      <c r="L364" s="53"/>
      <c r="M364" s="31"/>
      <c r="N364" s="31"/>
      <c r="O364" s="32"/>
    </row>
  </sheetData>
  <hyperlinks>
    <hyperlink r:id="rId1" ref="M3"/>
    <hyperlink r:id="rId2" ref="M4"/>
    <hyperlink r:id="rId3" ref="M5"/>
    <hyperlink r:id="rId4" ref="M6"/>
    <hyperlink r:id="rId5" ref="M7"/>
    <hyperlink r:id="rId6" ref="M8"/>
    <hyperlink r:id="rId7" ref="M9"/>
    <hyperlink r:id="rId8" ref="M10"/>
    <hyperlink r:id="rId9" ref="M11"/>
    <hyperlink r:id="rId10" ref="M12"/>
    <hyperlink r:id="rId11" ref="M13"/>
    <hyperlink r:id="rId12" ref="M14"/>
    <hyperlink r:id="rId13" ref="M15"/>
    <hyperlink r:id="rId14" ref="A16"/>
    <hyperlink r:id="rId15" ref="M16"/>
    <hyperlink r:id="rId16" ref="M17"/>
    <hyperlink r:id="rId17" ref="M18"/>
    <hyperlink r:id="rId18" ref="M19"/>
    <hyperlink r:id="rId19" ref="M20"/>
    <hyperlink r:id="rId20" ref="M21"/>
    <hyperlink r:id="rId21" ref="M22"/>
    <hyperlink r:id="rId22" ref="M23"/>
    <hyperlink r:id="rId23" ref="N23"/>
    <hyperlink r:id="rId24" ref="M24"/>
    <hyperlink r:id="rId25" ref="N24"/>
    <hyperlink r:id="rId26" ref="M25"/>
    <hyperlink r:id="rId27" ref="M26"/>
    <hyperlink r:id="rId28" ref="M27"/>
    <hyperlink r:id="rId29" ref="A28"/>
    <hyperlink r:id="rId30" ref="M28"/>
    <hyperlink r:id="rId31" ref="M29"/>
    <hyperlink r:id="rId32" ref="M30"/>
    <hyperlink r:id="rId33" ref="M31"/>
    <hyperlink r:id="rId34" ref="M32"/>
    <hyperlink r:id="rId35" ref="M33"/>
    <hyperlink r:id="rId36" ref="M34"/>
    <hyperlink r:id="rId37" ref="N34"/>
    <hyperlink r:id="rId38" ref="M35"/>
    <hyperlink r:id="rId39" ref="M36"/>
    <hyperlink r:id="rId40" ref="M37"/>
    <hyperlink r:id="rId41" ref="M38"/>
    <hyperlink r:id="rId42" ref="M39"/>
    <hyperlink r:id="rId43" ref="N39"/>
    <hyperlink r:id="rId44" ref="M40"/>
    <hyperlink r:id="rId45" ref="M41"/>
    <hyperlink r:id="rId46" ref="M42"/>
    <hyperlink r:id="rId47" ref="M43"/>
    <hyperlink r:id="rId48" location="91076484d1b3" ref="M44"/>
    <hyperlink r:id="rId49" ref="M45"/>
    <hyperlink r:id="rId50" ref="M46"/>
    <hyperlink r:id="rId51" ref="M47"/>
    <hyperlink r:id="rId52" ref="N47"/>
    <hyperlink r:id="rId53" ref="M48"/>
    <hyperlink r:id="rId54" ref="N48"/>
    <hyperlink r:id="rId55" ref="M49"/>
    <hyperlink r:id="rId56" ref="M50"/>
    <hyperlink r:id="rId57" ref="M51"/>
    <hyperlink r:id="rId58" ref="M52"/>
    <hyperlink r:id="rId59" ref="M53"/>
    <hyperlink r:id="rId60" ref="M54"/>
    <hyperlink r:id="rId61" ref="M55"/>
    <hyperlink r:id="rId62" ref="M56"/>
    <hyperlink r:id="rId63" ref="M57"/>
    <hyperlink r:id="rId64" ref="M58"/>
    <hyperlink r:id="rId65" ref="N58"/>
    <hyperlink r:id="rId66" ref="M59"/>
    <hyperlink r:id="rId67" ref="M60"/>
    <hyperlink r:id="rId68" location="2a5cb36b41d2" ref="M61"/>
    <hyperlink r:id="rId69" ref="M62"/>
    <hyperlink r:id="rId70" ref="M63"/>
    <hyperlink r:id="rId71" ref="M64"/>
    <hyperlink r:id="rId72" ref="M65"/>
    <hyperlink r:id="rId73" ref="M66"/>
    <hyperlink r:id="rId74" ref="M67"/>
    <hyperlink r:id="rId75" ref="M68"/>
    <hyperlink r:id="rId76" ref="M69"/>
    <hyperlink r:id="rId77" ref="M70"/>
    <hyperlink r:id="rId78" ref="M71"/>
    <hyperlink r:id="rId79" ref="M72"/>
    <hyperlink r:id="rId80" ref="M73"/>
    <hyperlink r:id="rId81" ref="M74"/>
    <hyperlink r:id="rId82" ref="M75"/>
    <hyperlink r:id="rId83" ref="M76"/>
    <hyperlink r:id="rId84" ref="M77"/>
    <hyperlink r:id="rId85" ref="M78"/>
    <hyperlink r:id="rId86" ref="M79"/>
    <hyperlink r:id="rId87" ref="M80"/>
    <hyperlink r:id="rId88" ref="M81"/>
    <hyperlink r:id="rId89" ref="M82"/>
    <hyperlink r:id="rId90" ref="M83"/>
    <hyperlink r:id="rId91" ref="M84"/>
    <hyperlink r:id="rId92" ref="M85"/>
    <hyperlink r:id="rId93" ref="M86"/>
    <hyperlink r:id="rId94" ref="M87"/>
    <hyperlink r:id="rId95" ref="M88"/>
    <hyperlink r:id="rId96" ref="M89"/>
    <hyperlink r:id="rId97" ref="M90"/>
    <hyperlink r:id="rId98" ref="M91"/>
    <hyperlink r:id="rId99" ref="M92"/>
    <hyperlink r:id="rId100" ref="M93"/>
    <hyperlink r:id="rId101" ref="M94"/>
    <hyperlink r:id="rId102" ref="M95"/>
    <hyperlink r:id="rId103" ref="M96"/>
    <hyperlink r:id="rId104" ref="M97"/>
    <hyperlink r:id="rId105" ref="M98"/>
    <hyperlink r:id="rId106" ref="M99"/>
    <hyperlink r:id="rId107" ref="M100"/>
    <hyperlink r:id="rId108" ref="N100"/>
    <hyperlink r:id="rId109" ref="M101"/>
    <hyperlink r:id="rId110" ref="N101"/>
    <hyperlink r:id="rId111" ref="M102"/>
    <hyperlink r:id="rId112" ref="M103"/>
    <hyperlink r:id="rId113" ref="M104"/>
    <hyperlink r:id="rId114" ref="M105"/>
    <hyperlink r:id="rId115" ref="M106"/>
    <hyperlink r:id="rId116" ref="A107"/>
    <hyperlink r:id="rId117" ref="M107"/>
    <hyperlink r:id="rId118" ref="N107"/>
    <hyperlink r:id="rId119" ref="M108"/>
    <hyperlink r:id="rId120" ref="M109"/>
    <hyperlink r:id="rId121" ref="M110"/>
    <hyperlink r:id="rId122" ref="N110"/>
    <hyperlink r:id="rId123" ref="M111"/>
    <hyperlink r:id="rId124" ref="M112"/>
    <hyperlink r:id="rId125" ref="N112"/>
    <hyperlink r:id="rId126" ref="A113"/>
    <hyperlink r:id="rId127" ref="M113"/>
    <hyperlink r:id="rId128" ref="M114"/>
    <hyperlink r:id="rId129" ref="M115"/>
    <hyperlink r:id="rId130" ref="M116"/>
    <hyperlink r:id="rId131" ref="M117"/>
    <hyperlink r:id="rId132" ref="M118"/>
    <hyperlink r:id="rId133" ref="M119"/>
    <hyperlink r:id="rId134" ref="N119"/>
    <hyperlink r:id="rId135" ref="M120"/>
    <hyperlink r:id="rId136" ref="M121"/>
    <hyperlink r:id="rId137" ref="M122"/>
    <hyperlink r:id="rId138" ref="N122"/>
    <hyperlink r:id="rId139" ref="M123"/>
    <hyperlink r:id="rId140" ref="M124"/>
    <hyperlink r:id="rId141" ref="M125"/>
    <hyperlink r:id="rId142" ref="M126"/>
    <hyperlink r:id="rId143" ref="M127"/>
    <hyperlink r:id="rId144" ref="M128"/>
    <hyperlink r:id="rId145" ref="N128"/>
    <hyperlink r:id="rId146" ref="M129"/>
    <hyperlink r:id="rId147" ref="M130"/>
    <hyperlink r:id="rId148" ref="M131"/>
    <hyperlink r:id="rId149" ref="A132"/>
    <hyperlink r:id="rId150" ref="M132"/>
    <hyperlink r:id="rId151" ref="M133"/>
    <hyperlink r:id="rId152" ref="M134"/>
    <hyperlink r:id="rId153" ref="M135"/>
    <hyperlink r:id="rId154" ref="M136"/>
    <hyperlink r:id="rId155" ref="M137"/>
    <hyperlink r:id="rId156" ref="M138"/>
    <hyperlink r:id="rId157" ref="M139"/>
    <hyperlink r:id="rId158" location="6dfbcdc355d1" ref="M140"/>
    <hyperlink r:id="rId159" ref="M141"/>
    <hyperlink r:id="rId160" ref="M142"/>
    <hyperlink r:id="rId161" ref="N142"/>
    <hyperlink r:id="rId162" ref="M143"/>
    <hyperlink r:id="rId163" ref="N143"/>
    <hyperlink r:id="rId164" ref="M144"/>
    <hyperlink r:id="rId165" ref="M145"/>
    <hyperlink r:id="rId166" ref="M146"/>
    <hyperlink r:id="rId167" ref="M147"/>
    <hyperlink r:id="rId168" ref="M148"/>
    <hyperlink r:id="rId169" ref="M149"/>
    <hyperlink r:id="rId170" ref="M150"/>
    <hyperlink r:id="rId171" ref="M151"/>
    <hyperlink r:id="rId172" ref="A152"/>
    <hyperlink r:id="rId173" ref="M152"/>
    <hyperlink r:id="rId174" ref="M153"/>
    <hyperlink r:id="rId175" ref="M154"/>
    <hyperlink r:id="rId176" ref="N154"/>
    <hyperlink r:id="rId177" ref="M155"/>
    <hyperlink r:id="rId178" ref="M156"/>
    <hyperlink r:id="rId179" ref="M157"/>
    <hyperlink r:id="rId180" ref="M158"/>
    <hyperlink r:id="rId181" ref="M159"/>
    <hyperlink r:id="rId182" ref="M160"/>
    <hyperlink r:id="rId183" ref="M161"/>
    <hyperlink r:id="rId184" ref="M162"/>
    <hyperlink r:id="rId185" ref="M163"/>
    <hyperlink r:id="rId186" ref="N163"/>
    <hyperlink r:id="rId187" ref="M164"/>
    <hyperlink r:id="rId188" ref="N164"/>
    <hyperlink r:id="rId189" ref="M165"/>
    <hyperlink r:id="rId190" ref="M166"/>
    <hyperlink r:id="rId191" ref="M167"/>
    <hyperlink r:id="rId192" ref="M168"/>
    <hyperlink r:id="rId193" ref="N168"/>
    <hyperlink r:id="rId194" ref="M169"/>
    <hyperlink r:id="rId195" ref="M170"/>
    <hyperlink r:id="rId196" ref="M171"/>
    <hyperlink r:id="rId197" ref="M172"/>
    <hyperlink r:id="rId198" ref="M173"/>
    <hyperlink r:id="rId199" ref="M174"/>
    <hyperlink r:id="rId200" ref="M175"/>
    <hyperlink r:id="rId201" ref="M176"/>
    <hyperlink r:id="rId202" ref="M177"/>
    <hyperlink r:id="rId203" ref="M178"/>
    <hyperlink r:id="rId204" ref="M179"/>
    <hyperlink r:id="rId205" ref="M180"/>
    <hyperlink r:id="rId206" ref="M181"/>
    <hyperlink r:id="rId207" ref="M182"/>
    <hyperlink r:id="rId208" ref="M183"/>
    <hyperlink r:id="rId209" ref="M184"/>
    <hyperlink r:id="rId210" ref="M185"/>
    <hyperlink r:id="rId211" ref="M186"/>
    <hyperlink r:id="rId212" ref="M187"/>
    <hyperlink r:id="rId213" ref="A188"/>
    <hyperlink r:id="rId214" ref="M188"/>
    <hyperlink r:id="rId215" ref="M189"/>
    <hyperlink r:id="rId216" ref="M190"/>
    <hyperlink r:id="rId217" ref="M191"/>
    <hyperlink r:id="rId218" ref="M192"/>
    <hyperlink r:id="rId219" ref="M193"/>
    <hyperlink r:id="rId220" ref="M194"/>
    <hyperlink r:id="rId221" ref="M195"/>
    <hyperlink r:id="rId222" ref="M196"/>
    <hyperlink r:id="rId223" ref="M197"/>
    <hyperlink r:id="rId224" ref="M198"/>
    <hyperlink r:id="rId225" ref="M199"/>
    <hyperlink r:id="rId226" ref="M200"/>
    <hyperlink r:id="rId227" ref="M201"/>
    <hyperlink r:id="rId228" ref="M202"/>
    <hyperlink r:id="rId229" ref="M203"/>
    <hyperlink r:id="rId230" ref="M204"/>
    <hyperlink r:id="rId231" ref="M205"/>
    <hyperlink r:id="rId232" ref="M206"/>
    <hyperlink r:id="rId233" ref="M207"/>
    <hyperlink r:id="rId234" ref="M208"/>
    <hyperlink r:id="rId235" ref="M209"/>
    <hyperlink r:id="rId236" ref="M210"/>
    <hyperlink r:id="rId237" ref="M211"/>
    <hyperlink r:id="rId238" ref="M212"/>
    <hyperlink r:id="rId239" ref="M213"/>
    <hyperlink r:id="rId240" ref="M214"/>
    <hyperlink r:id="rId241" ref="M215"/>
    <hyperlink r:id="rId242" ref="M216"/>
    <hyperlink r:id="rId243" ref="M217"/>
    <hyperlink r:id="rId244" ref="M218"/>
    <hyperlink r:id="rId245" ref="M219"/>
    <hyperlink r:id="rId246" ref="M220"/>
    <hyperlink r:id="rId247" ref="M221"/>
    <hyperlink r:id="rId248" ref="M222"/>
    <hyperlink r:id="rId249" ref="M223"/>
    <hyperlink r:id="rId250" ref="M224"/>
    <hyperlink r:id="rId251" ref="M225"/>
    <hyperlink r:id="rId252" ref="M226"/>
    <hyperlink r:id="rId253" ref="M227"/>
    <hyperlink r:id="rId254" ref="M228"/>
    <hyperlink r:id="rId255" ref="M229"/>
    <hyperlink r:id="rId256" ref="M230"/>
    <hyperlink r:id="rId257" ref="M231"/>
    <hyperlink r:id="rId258" ref="M232"/>
    <hyperlink r:id="rId259" ref="A233"/>
    <hyperlink r:id="rId260" ref="M233"/>
    <hyperlink r:id="rId261" ref="M234"/>
    <hyperlink r:id="rId262" ref="M235"/>
    <hyperlink r:id="rId263" ref="M236"/>
    <hyperlink r:id="rId264" ref="M237"/>
    <hyperlink r:id="rId265" ref="A238"/>
    <hyperlink r:id="rId266" ref="M238"/>
    <hyperlink r:id="rId267" ref="N238"/>
    <hyperlink r:id="rId268" ref="M239"/>
    <hyperlink r:id="rId269" ref="M240"/>
    <hyperlink r:id="rId270" ref="M241"/>
    <hyperlink r:id="rId271" ref="M242"/>
    <hyperlink r:id="rId272" ref="M243"/>
    <hyperlink r:id="rId273" ref="M244"/>
    <hyperlink r:id="rId274" ref="M245"/>
    <hyperlink r:id="rId275" ref="M246"/>
    <hyperlink r:id="rId276" ref="M247"/>
    <hyperlink r:id="rId277" ref="M248"/>
    <hyperlink r:id="rId278" ref="N248"/>
    <hyperlink r:id="rId279" ref="M249"/>
    <hyperlink r:id="rId280" ref="M250"/>
    <hyperlink r:id="rId281" ref="M251"/>
    <hyperlink r:id="rId282" ref="M252"/>
    <hyperlink r:id="rId283" ref="N252"/>
    <hyperlink r:id="rId284" ref="M253"/>
    <hyperlink r:id="rId285" ref="M254"/>
    <hyperlink r:id="rId286" ref="M255"/>
    <hyperlink r:id="rId287" ref="M256"/>
    <hyperlink r:id="rId288" ref="M258"/>
    <hyperlink r:id="rId289" ref="A259"/>
    <hyperlink r:id="rId290" ref="M259"/>
    <hyperlink r:id="rId291" ref="M260"/>
    <hyperlink r:id="rId292" ref="M261"/>
    <hyperlink r:id="rId293" ref="M262"/>
    <hyperlink r:id="rId294" ref="M263"/>
    <hyperlink r:id="rId295" ref="M264"/>
    <hyperlink r:id="rId296" ref="M265"/>
    <hyperlink r:id="rId297" ref="M266"/>
    <hyperlink r:id="rId298" ref="N266"/>
    <hyperlink r:id="rId299" ref="M267"/>
    <hyperlink r:id="rId300" ref="M268"/>
    <hyperlink r:id="rId301" ref="M269"/>
    <hyperlink r:id="rId302" ref="M270"/>
    <hyperlink r:id="rId303" ref="M271"/>
    <hyperlink r:id="rId304" ref="M272"/>
    <hyperlink r:id="rId305" ref="M273"/>
    <hyperlink r:id="rId306" ref="M274"/>
    <hyperlink r:id="rId307" ref="M275"/>
    <hyperlink r:id="rId308" ref="M276"/>
    <hyperlink r:id="rId309" ref="M277"/>
    <hyperlink r:id="rId310" ref="M278"/>
    <hyperlink r:id="rId311" ref="N278"/>
    <hyperlink r:id="rId312" ref="M279"/>
    <hyperlink r:id="rId313" ref="M280"/>
    <hyperlink r:id="rId314" ref="M281"/>
    <hyperlink r:id="rId315" ref="M282"/>
    <hyperlink r:id="rId316" ref="M283"/>
    <hyperlink r:id="rId317" ref="M284"/>
    <hyperlink r:id="rId318" ref="M285"/>
    <hyperlink r:id="rId319" ref="M286"/>
    <hyperlink r:id="rId320" ref="M287"/>
    <hyperlink r:id="rId321" ref="M288"/>
    <hyperlink r:id="rId322" ref="M289"/>
    <hyperlink r:id="rId323" ref="M290"/>
    <hyperlink r:id="rId324" ref="M291"/>
    <hyperlink r:id="rId325" ref="M292"/>
    <hyperlink r:id="rId326" ref="M293"/>
    <hyperlink r:id="rId327" ref="M294"/>
    <hyperlink r:id="rId328" ref="M295"/>
    <hyperlink r:id="rId329" ref="M296"/>
    <hyperlink r:id="rId330" ref="M297"/>
    <hyperlink r:id="rId331" ref="M298"/>
    <hyperlink r:id="rId332" ref="M299"/>
    <hyperlink r:id="rId333" ref="M300"/>
    <hyperlink r:id="rId334" ref="M301"/>
    <hyperlink r:id="rId335" ref="M302"/>
    <hyperlink r:id="rId336" ref="M303"/>
    <hyperlink r:id="rId337" ref="M304"/>
    <hyperlink r:id="rId338" location=".XAfhPhP7TUI" ref="M305"/>
    <hyperlink r:id="rId339" ref="M306"/>
    <hyperlink r:id="rId340" ref="M307"/>
    <hyperlink r:id="rId341" ref="M308"/>
    <hyperlink r:id="rId342" ref="M309"/>
    <hyperlink r:id="rId343" ref="M310"/>
    <hyperlink r:id="rId344" ref="M311"/>
    <hyperlink r:id="rId345" ref="M312"/>
    <hyperlink r:id="rId346" ref="M313"/>
    <hyperlink r:id="rId347" ref="M314"/>
    <hyperlink r:id="rId348" ref="M315"/>
    <hyperlink r:id="rId349" ref="N315"/>
    <hyperlink r:id="rId350" ref="A316"/>
    <hyperlink r:id="rId351" ref="M316"/>
    <hyperlink r:id="rId352" ref="M317"/>
    <hyperlink r:id="rId353" ref="N317"/>
    <hyperlink r:id="rId354" ref="M318"/>
    <hyperlink r:id="rId355" ref="M319"/>
    <hyperlink r:id="rId356" ref="M320"/>
    <hyperlink r:id="rId357" ref="N320"/>
    <hyperlink r:id="rId358" ref="M321"/>
    <hyperlink r:id="rId359" ref="M322"/>
    <hyperlink r:id="rId360" ref="M323"/>
    <hyperlink r:id="rId361" ref="N323"/>
    <hyperlink r:id="rId362" ref="M324"/>
    <hyperlink r:id="rId363" ref="M325"/>
    <hyperlink r:id="rId364" ref="M326"/>
    <hyperlink r:id="rId365" ref="M327"/>
    <hyperlink r:id="rId366" location=".UFcROxgUwaA" ref="M328"/>
    <hyperlink r:id="rId367" ref="M329"/>
    <hyperlink r:id="rId368" ref="M330"/>
    <hyperlink r:id="rId369" ref="M331"/>
    <hyperlink r:id="rId370" ref="M332"/>
    <hyperlink r:id="rId371" ref="M333"/>
    <hyperlink r:id="rId372" ref="M334"/>
    <hyperlink r:id="rId373" ref="M335"/>
    <hyperlink r:id="rId374" ref="M336"/>
    <hyperlink r:id="rId375" ref="M337"/>
    <hyperlink r:id="rId376" ref="M338"/>
    <hyperlink r:id="rId377" ref="M339"/>
    <hyperlink r:id="rId378" ref="M340"/>
    <hyperlink r:id="rId379" ref="M341"/>
    <hyperlink r:id="rId380" ref="M342"/>
    <hyperlink r:id="rId381" ref="M343"/>
    <hyperlink r:id="rId382" ref="M344"/>
    <hyperlink r:id="rId383" ref="M345"/>
    <hyperlink r:id="rId384" ref="M346"/>
    <hyperlink r:id="rId385" ref="M347"/>
    <hyperlink r:id="rId386" ref="M348"/>
    <hyperlink r:id="rId387" ref="M349"/>
    <hyperlink r:id="rId388" ref="A350"/>
    <hyperlink r:id="rId389" ref="M350"/>
    <hyperlink r:id="rId390" ref="M351"/>
    <hyperlink r:id="rId391" ref="M352"/>
    <hyperlink r:id="rId392" ref="M353"/>
    <hyperlink r:id="rId393" ref="M354"/>
    <hyperlink r:id="rId394" ref="M355"/>
    <hyperlink r:id="rId395" ref="M356"/>
    <hyperlink r:id="rId396" ref="M357"/>
    <hyperlink r:id="rId397" location="assets_129" ref="M358"/>
    <hyperlink r:id="rId398" ref="M359"/>
    <hyperlink r:id="rId399" ref="M360"/>
    <hyperlink r:id="rId400" ref="M361"/>
    <hyperlink r:id="rId401" location="260a2f727bab" ref="M362"/>
    <hyperlink r:id="rId402" ref="M363"/>
  </hyperlinks>
  <drawing r:id="rId40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2.75"/>
  <cols>
    <col customWidth="1" min="1" max="1" width="22.63"/>
    <col customWidth="1" min="2" max="2" width="16.25"/>
    <col customWidth="1" min="3" max="3" width="14.75"/>
    <col customWidth="1" min="4" max="4" width="8.75"/>
    <col customWidth="1" min="5" max="5" width="30.25"/>
    <col customWidth="1" min="6" max="6" width="13.0"/>
    <col customWidth="1" min="7" max="7" width="14.88"/>
    <col customWidth="1" min="8" max="8" width="10.13"/>
    <col customWidth="1" min="9" max="9" width="12.13"/>
    <col customWidth="1" min="10" max="10" width="13.63"/>
    <col customWidth="1" min="11" max="11" width="2.0"/>
    <col customWidth="1" min="12" max="15" width="15.13"/>
  </cols>
  <sheetData>
    <row r="1">
      <c r="A1" s="114" t="s">
        <v>2164</v>
      </c>
      <c r="B1" s="114" t="s">
        <v>1</v>
      </c>
      <c r="C1" s="405" t="s">
        <v>2</v>
      </c>
      <c r="D1" s="20" t="s">
        <v>3</v>
      </c>
      <c r="E1" s="114" t="s">
        <v>5</v>
      </c>
      <c r="F1" s="475" t="s">
        <v>6</v>
      </c>
      <c r="G1" s="476" t="s">
        <v>7</v>
      </c>
      <c r="H1" s="114" t="s">
        <v>8</v>
      </c>
      <c r="I1" s="477" t="s">
        <v>9</v>
      </c>
      <c r="J1" s="478" t="s">
        <v>10</v>
      </c>
      <c r="K1" s="479"/>
      <c r="L1" s="479" t="s">
        <v>11</v>
      </c>
      <c r="M1" s="409" t="s">
        <v>12</v>
      </c>
      <c r="N1" s="409" t="s">
        <v>13</v>
      </c>
      <c r="O1" s="410" t="s">
        <v>14</v>
      </c>
    </row>
    <row r="2">
      <c r="A2" s="20" t="s">
        <v>613</v>
      </c>
      <c r="B2" s="51"/>
      <c r="C2" s="22">
        <v>2400000.0</v>
      </c>
      <c r="D2" s="26">
        <v>2020.0</v>
      </c>
      <c r="E2" s="26" t="s">
        <v>2354</v>
      </c>
      <c r="F2" s="412" t="s">
        <v>2163</v>
      </c>
      <c r="G2" s="412" t="s">
        <v>23</v>
      </c>
      <c r="H2" s="26"/>
      <c r="I2" s="480">
        <v>2.0</v>
      </c>
      <c r="J2" s="481"/>
      <c r="K2" s="110"/>
      <c r="L2" s="482" t="s">
        <v>34</v>
      </c>
      <c r="M2" s="468" t="s">
        <v>615</v>
      </c>
      <c r="N2" s="31"/>
      <c r="O2" s="32">
        <v>364.0</v>
      </c>
    </row>
    <row r="3">
      <c r="A3" s="20" t="s">
        <v>616</v>
      </c>
      <c r="B3" s="51"/>
      <c r="C3" s="22">
        <v>1400000.0</v>
      </c>
      <c r="D3" s="26">
        <v>2020.0</v>
      </c>
      <c r="E3" s="26" t="s">
        <v>2383</v>
      </c>
      <c r="F3" s="412" t="s">
        <v>618</v>
      </c>
      <c r="G3" s="412" t="s">
        <v>23</v>
      </c>
      <c r="H3" s="26" t="s">
        <v>29</v>
      </c>
      <c r="I3" s="480">
        <v>5.0</v>
      </c>
      <c r="J3" s="481"/>
      <c r="K3" s="110"/>
      <c r="L3" s="482" t="s">
        <v>604</v>
      </c>
      <c r="M3" s="468" t="s">
        <v>619</v>
      </c>
      <c r="N3" s="31"/>
      <c r="O3" s="32">
        <v>363.0</v>
      </c>
    </row>
    <row r="4">
      <c r="A4" s="20" t="s">
        <v>620</v>
      </c>
      <c r="B4" s="51"/>
      <c r="C4" s="22">
        <v>500000.0</v>
      </c>
      <c r="D4" s="26">
        <v>2020.0</v>
      </c>
      <c r="E4" s="26" t="s">
        <v>2417</v>
      </c>
      <c r="F4" s="412" t="s">
        <v>236</v>
      </c>
      <c r="G4" s="412" t="s">
        <v>23</v>
      </c>
      <c r="H4" s="26"/>
      <c r="I4" s="480">
        <v>1.0</v>
      </c>
      <c r="J4" s="481"/>
      <c r="K4" s="110"/>
      <c r="L4" s="482" t="s">
        <v>278</v>
      </c>
      <c r="M4" s="468" t="s">
        <v>622</v>
      </c>
      <c r="N4" s="31"/>
      <c r="O4" s="32">
        <v>362.0</v>
      </c>
    </row>
    <row r="5">
      <c r="A5" s="20" t="s">
        <v>623</v>
      </c>
      <c r="B5" s="51"/>
      <c r="C5" s="22">
        <v>2400000.0</v>
      </c>
      <c r="D5" s="26">
        <v>2020.0</v>
      </c>
      <c r="E5" s="26" t="s">
        <v>2355</v>
      </c>
      <c r="F5" s="412" t="s">
        <v>38</v>
      </c>
      <c r="G5" s="412" t="s">
        <v>142</v>
      </c>
      <c r="H5" s="26" t="s">
        <v>29</v>
      </c>
      <c r="I5" s="480">
        <v>1.0</v>
      </c>
      <c r="J5" s="481"/>
      <c r="K5" s="110"/>
      <c r="L5" s="482" t="s">
        <v>325</v>
      </c>
      <c r="M5" s="468" t="s">
        <v>625</v>
      </c>
      <c r="N5" s="31"/>
      <c r="O5" s="32">
        <v>361.0</v>
      </c>
    </row>
    <row r="6">
      <c r="A6" s="20" t="s">
        <v>626</v>
      </c>
      <c r="B6" s="51"/>
      <c r="C6" s="22">
        <v>2500000.0</v>
      </c>
      <c r="D6" s="26">
        <v>2020.0</v>
      </c>
      <c r="E6" s="26" t="s">
        <v>2352</v>
      </c>
      <c r="F6" s="412" t="s">
        <v>628</v>
      </c>
      <c r="G6" s="412" t="s">
        <v>51</v>
      </c>
      <c r="H6" s="28"/>
      <c r="I6" s="480">
        <v>4.0</v>
      </c>
      <c r="J6" s="481"/>
      <c r="K6" s="110"/>
      <c r="L6" s="482" t="s">
        <v>629</v>
      </c>
      <c r="M6" s="468" t="s">
        <v>630</v>
      </c>
      <c r="N6" s="31"/>
      <c r="O6" s="32">
        <v>360.0</v>
      </c>
    </row>
    <row r="7">
      <c r="A7" s="20" t="s">
        <v>631</v>
      </c>
      <c r="B7" s="51"/>
      <c r="C7" s="22">
        <v>300000.0</v>
      </c>
      <c r="D7" s="26">
        <v>2020.0</v>
      </c>
      <c r="E7" s="26" t="s">
        <v>2230</v>
      </c>
      <c r="F7" s="412" t="s">
        <v>236</v>
      </c>
      <c r="G7" s="412" t="s">
        <v>23</v>
      </c>
      <c r="H7" s="28"/>
      <c r="I7" s="480">
        <v>3.0</v>
      </c>
      <c r="J7" s="481">
        <v>300000.0</v>
      </c>
      <c r="K7" s="110"/>
      <c r="L7" s="482" t="s">
        <v>34</v>
      </c>
      <c r="M7" s="468" t="s">
        <v>634</v>
      </c>
      <c r="N7" s="31"/>
      <c r="O7" s="32">
        <v>359.0</v>
      </c>
    </row>
    <row r="8">
      <c r="A8" s="20" t="s">
        <v>635</v>
      </c>
      <c r="B8" s="51"/>
      <c r="C8" s="22">
        <v>1.15E8</v>
      </c>
      <c r="D8" s="26">
        <v>2020.0</v>
      </c>
      <c r="E8" s="26" t="s">
        <v>2202</v>
      </c>
      <c r="F8" s="412" t="s">
        <v>129</v>
      </c>
      <c r="G8" s="412" t="s">
        <v>23</v>
      </c>
      <c r="H8" s="28"/>
      <c r="I8" s="480">
        <v>2.0</v>
      </c>
      <c r="J8" s="481">
        <v>1.15E8</v>
      </c>
      <c r="K8" s="110"/>
      <c r="L8" s="482" t="s">
        <v>571</v>
      </c>
      <c r="M8" s="468" t="s">
        <v>638</v>
      </c>
      <c r="N8" s="31"/>
      <c r="O8" s="32">
        <v>358.0</v>
      </c>
    </row>
    <row r="9">
      <c r="A9" s="20" t="s">
        <v>639</v>
      </c>
      <c r="B9" s="51"/>
      <c r="C9" s="22">
        <v>387000.0</v>
      </c>
      <c r="D9" s="26">
        <v>2020.0</v>
      </c>
      <c r="E9" s="26" t="s">
        <v>2231</v>
      </c>
      <c r="F9" s="412" t="s">
        <v>64</v>
      </c>
      <c r="G9" s="412" t="s">
        <v>23</v>
      </c>
      <c r="H9" s="28"/>
      <c r="I9" s="480">
        <v>2.0</v>
      </c>
      <c r="J9" s="481">
        <v>287000.0</v>
      </c>
      <c r="K9" s="110"/>
      <c r="L9" s="482" t="s">
        <v>642</v>
      </c>
      <c r="M9" s="468" t="s">
        <v>643</v>
      </c>
      <c r="N9" s="31"/>
      <c r="O9" s="32">
        <v>357.0</v>
      </c>
    </row>
    <row r="10">
      <c r="A10" s="52" t="s">
        <v>644</v>
      </c>
      <c r="B10" s="52" t="s">
        <v>645</v>
      </c>
      <c r="C10" s="22">
        <v>2.2E7</v>
      </c>
      <c r="D10" s="26">
        <v>2020.0</v>
      </c>
      <c r="E10" s="26" t="s">
        <v>2218</v>
      </c>
      <c r="F10" s="412" t="s">
        <v>28</v>
      </c>
      <c r="G10" s="412" t="s">
        <v>23</v>
      </c>
      <c r="H10" s="28"/>
      <c r="I10" s="480">
        <v>2.0</v>
      </c>
      <c r="J10" s="481">
        <v>2.2E7</v>
      </c>
      <c r="K10" s="110"/>
      <c r="L10" s="482" t="s">
        <v>648</v>
      </c>
      <c r="M10" s="468" t="s">
        <v>649</v>
      </c>
      <c r="N10" s="31"/>
      <c r="O10" s="32">
        <v>356.0</v>
      </c>
    </row>
    <row r="11">
      <c r="A11" s="20" t="s">
        <v>650</v>
      </c>
      <c r="B11" s="51"/>
      <c r="C11" s="22">
        <v>9000000.0</v>
      </c>
      <c r="D11" s="26">
        <v>2020.0</v>
      </c>
      <c r="E11" s="26" t="s">
        <v>2220</v>
      </c>
      <c r="F11" s="412" t="s">
        <v>22</v>
      </c>
      <c r="G11" s="412" t="s">
        <v>23</v>
      </c>
      <c r="H11" s="28"/>
      <c r="I11" s="480">
        <v>3.0</v>
      </c>
      <c r="J11" s="481">
        <v>9000000.0</v>
      </c>
      <c r="K11" s="110"/>
      <c r="L11" s="482" t="s">
        <v>147</v>
      </c>
      <c r="M11" s="468" t="s">
        <v>653</v>
      </c>
      <c r="N11" s="31"/>
      <c r="O11" s="32">
        <v>355.0</v>
      </c>
    </row>
    <row r="12">
      <c r="A12" s="20" t="s">
        <v>356</v>
      </c>
      <c r="B12" s="51"/>
      <c r="C12" s="22">
        <v>2.5E8</v>
      </c>
      <c r="D12" s="26">
        <v>2020.0</v>
      </c>
      <c r="E12" s="26" t="s">
        <v>2188</v>
      </c>
      <c r="F12" s="412" t="s">
        <v>28</v>
      </c>
      <c r="G12" s="412" t="s">
        <v>51</v>
      </c>
      <c r="H12" s="28"/>
      <c r="I12" s="480">
        <v>1.0</v>
      </c>
      <c r="J12" s="481">
        <v>2.5E8</v>
      </c>
      <c r="K12" s="110"/>
      <c r="L12" s="482" t="s">
        <v>278</v>
      </c>
      <c r="M12" s="468" t="s">
        <v>656</v>
      </c>
      <c r="N12" s="31"/>
      <c r="O12" s="32">
        <v>354.0</v>
      </c>
    </row>
    <row r="13">
      <c r="A13" s="20" t="s">
        <v>657</v>
      </c>
      <c r="B13" s="51"/>
      <c r="C13" s="22">
        <v>6900000.0</v>
      </c>
      <c r="D13" s="26">
        <v>2020.0</v>
      </c>
      <c r="E13" s="26" t="s">
        <v>2221</v>
      </c>
      <c r="F13" s="412" t="s">
        <v>64</v>
      </c>
      <c r="G13" s="412" t="s">
        <v>659</v>
      </c>
      <c r="H13" s="28"/>
      <c r="I13" s="480">
        <v>4.0</v>
      </c>
      <c r="J13" s="481">
        <v>6900000.0</v>
      </c>
      <c r="K13" s="110"/>
      <c r="L13" s="482" t="s">
        <v>571</v>
      </c>
      <c r="M13" s="468" t="s">
        <v>660</v>
      </c>
      <c r="N13" s="31"/>
      <c r="O13" s="32">
        <v>353.0</v>
      </c>
    </row>
    <row r="14">
      <c r="A14" s="20" t="s">
        <v>661</v>
      </c>
      <c r="B14" s="51"/>
      <c r="C14" s="22">
        <v>900000.0</v>
      </c>
      <c r="D14" s="26">
        <v>2020.0</v>
      </c>
      <c r="E14" s="26" t="s">
        <v>2227</v>
      </c>
      <c r="F14" s="412" t="s">
        <v>43</v>
      </c>
      <c r="G14" s="412" t="s">
        <v>51</v>
      </c>
      <c r="H14" s="28"/>
      <c r="I14" s="480">
        <v>1.0</v>
      </c>
      <c r="J14" s="481">
        <v>900000.0</v>
      </c>
      <c r="K14" s="110"/>
      <c r="L14" s="482" t="s">
        <v>664</v>
      </c>
      <c r="M14" s="468" t="s">
        <v>665</v>
      </c>
      <c r="N14" s="31"/>
      <c r="O14" s="32">
        <v>352.0</v>
      </c>
    </row>
    <row r="15">
      <c r="A15" s="20" t="s">
        <v>666</v>
      </c>
      <c r="B15" s="51"/>
      <c r="C15" s="22">
        <v>150000.0</v>
      </c>
      <c r="D15" s="26">
        <v>2020.0</v>
      </c>
      <c r="E15" s="26" t="s">
        <v>2233</v>
      </c>
      <c r="F15" s="412" t="s">
        <v>43</v>
      </c>
      <c r="G15" s="412" t="s">
        <v>23</v>
      </c>
      <c r="H15" s="28"/>
      <c r="I15" s="480">
        <v>1.0</v>
      </c>
      <c r="J15" s="481">
        <v>150000.0</v>
      </c>
      <c r="K15" s="110"/>
      <c r="L15" s="482" t="s">
        <v>669</v>
      </c>
      <c r="M15" s="468" t="s">
        <v>670</v>
      </c>
      <c r="N15" s="31"/>
      <c r="O15" s="32">
        <v>351.0</v>
      </c>
    </row>
    <row r="16">
      <c r="A16" s="20" t="s">
        <v>671</v>
      </c>
      <c r="B16" s="51"/>
      <c r="C16" s="22">
        <v>600000.0</v>
      </c>
      <c r="D16" s="26">
        <v>2020.0</v>
      </c>
      <c r="E16" s="26" t="s">
        <v>2228</v>
      </c>
      <c r="F16" s="412" t="s">
        <v>43</v>
      </c>
      <c r="G16" s="412" t="s">
        <v>23</v>
      </c>
      <c r="H16" s="28"/>
      <c r="I16" s="480">
        <v>1.0</v>
      </c>
      <c r="J16" s="481">
        <v>600000.0</v>
      </c>
      <c r="K16" s="110"/>
      <c r="L16" s="482" t="s">
        <v>475</v>
      </c>
      <c r="M16" s="468" t="s">
        <v>674</v>
      </c>
      <c r="N16" s="31"/>
      <c r="O16" s="32">
        <v>350.0</v>
      </c>
    </row>
    <row r="17">
      <c r="A17" s="20" t="s">
        <v>675</v>
      </c>
      <c r="B17" s="51"/>
      <c r="C17" s="22">
        <v>5200000.0</v>
      </c>
      <c r="D17" s="26">
        <v>2020.0</v>
      </c>
      <c r="E17" s="26" t="s">
        <v>2223</v>
      </c>
      <c r="F17" s="412" t="s">
        <v>43</v>
      </c>
      <c r="G17" s="412" t="s">
        <v>59</v>
      </c>
      <c r="H17" s="28"/>
      <c r="I17" s="480">
        <v>2.0</v>
      </c>
      <c r="J17" s="481">
        <v>5200000.0</v>
      </c>
      <c r="K17" s="110"/>
      <c r="L17" s="482" t="s">
        <v>678</v>
      </c>
      <c r="M17" s="468" t="s">
        <v>679</v>
      </c>
      <c r="N17" s="31"/>
      <c r="O17" s="32">
        <v>349.0</v>
      </c>
    </row>
    <row r="18">
      <c r="A18" s="20" t="s">
        <v>680</v>
      </c>
      <c r="B18" s="51"/>
      <c r="C18" s="22">
        <v>500000.0</v>
      </c>
      <c r="D18" s="26">
        <v>2020.0</v>
      </c>
      <c r="E18" s="26" t="s">
        <v>2229</v>
      </c>
      <c r="F18" s="412" t="s">
        <v>2163</v>
      </c>
      <c r="G18" s="412" t="s">
        <v>23</v>
      </c>
      <c r="H18" s="28"/>
      <c r="I18" s="480">
        <v>1.0</v>
      </c>
      <c r="J18" s="481">
        <v>500000.0</v>
      </c>
      <c r="K18" s="110"/>
      <c r="L18" s="482" t="s">
        <v>683</v>
      </c>
      <c r="M18" s="415" t="s">
        <v>684</v>
      </c>
      <c r="N18" s="31"/>
      <c r="O18" s="32">
        <v>348.0</v>
      </c>
    </row>
    <row r="19">
      <c r="A19" s="20" t="s">
        <v>685</v>
      </c>
      <c r="B19" s="51"/>
      <c r="C19" s="22">
        <v>6500000.0</v>
      </c>
      <c r="D19" s="26">
        <v>2020.0</v>
      </c>
      <c r="E19" s="26" t="s">
        <v>2222</v>
      </c>
      <c r="F19" s="412" t="s">
        <v>64</v>
      </c>
      <c r="G19" s="412" t="s">
        <v>51</v>
      </c>
      <c r="H19" s="28"/>
      <c r="I19" s="480">
        <v>2.0</v>
      </c>
      <c r="J19" s="481">
        <v>6500000.0</v>
      </c>
      <c r="K19" s="110"/>
      <c r="L19" s="482" t="s">
        <v>688</v>
      </c>
      <c r="M19" s="467" t="s">
        <v>689</v>
      </c>
      <c r="N19" s="31"/>
      <c r="O19" s="32">
        <v>347.0</v>
      </c>
    </row>
    <row r="20">
      <c r="A20" s="20" t="s">
        <v>690</v>
      </c>
      <c r="B20" s="51"/>
      <c r="C20" s="22">
        <v>1.06E7</v>
      </c>
      <c r="D20" s="26">
        <v>2020.0</v>
      </c>
      <c r="E20" s="26" t="s">
        <v>2219</v>
      </c>
      <c r="F20" s="412" t="s">
        <v>43</v>
      </c>
      <c r="G20" s="412" t="s">
        <v>23</v>
      </c>
      <c r="H20" s="28"/>
      <c r="I20" s="480">
        <v>2.0</v>
      </c>
      <c r="J20" s="481">
        <v>1.06E7</v>
      </c>
      <c r="K20" s="110"/>
      <c r="L20" s="482" t="s">
        <v>571</v>
      </c>
      <c r="M20" s="467" t="s">
        <v>693</v>
      </c>
      <c r="N20" s="31"/>
      <c r="O20" s="32">
        <v>346.0</v>
      </c>
    </row>
    <row r="21">
      <c r="A21" s="20" t="s">
        <v>694</v>
      </c>
      <c r="B21" s="51"/>
      <c r="C21" s="22">
        <v>5000000.0</v>
      </c>
      <c r="D21" s="26">
        <v>2020.0</v>
      </c>
      <c r="E21" s="26" t="s">
        <v>2224</v>
      </c>
      <c r="F21" s="412" t="s">
        <v>22</v>
      </c>
      <c r="G21" s="412" t="s">
        <v>51</v>
      </c>
      <c r="H21" s="28"/>
      <c r="I21" s="480">
        <v>2.0</v>
      </c>
      <c r="J21" s="481">
        <v>5000000.0</v>
      </c>
      <c r="K21" s="110"/>
      <c r="L21" s="482" t="s">
        <v>696</v>
      </c>
      <c r="M21" s="467" t="s">
        <v>697</v>
      </c>
      <c r="N21" s="31"/>
      <c r="O21" s="32">
        <v>345.0</v>
      </c>
    </row>
    <row r="22">
      <c r="A22" s="20" t="s">
        <v>698</v>
      </c>
      <c r="B22" s="98" t="s">
        <v>699</v>
      </c>
      <c r="C22" s="22">
        <v>3.0E7</v>
      </c>
      <c r="D22" s="26">
        <v>2019.0</v>
      </c>
      <c r="E22" s="26" t="s">
        <v>2216</v>
      </c>
      <c r="F22" s="412" t="s">
        <v>43</v>
      </c>
      <c r="G22" s="412" t="s">
        <v>23</v>
      </c>
      <c r="H22" s="28"/>
      <c r="I22" s="480">
        <v>3.0</v>
      </c>
      <c r="J22" s="481">
        <v>3.0E7</v>
      </c>
      <c r="K22" s="110"/>
      <c r="L22" s="482" t="s">
        <v>702</v>
      </c>
      <c r="M22" s="468" t="s">
        <v>703</v>
      </c>
      <c r="N22" s="31"/>
      <c r="O22" s="32">
        <v>344.0</v>
      </c>
    </row>
    <row r="23">
      <c r="A23" s="103" t="s">
        <v>704</v>
      </c>
      <c r="B23" s="420"/>
      <c r="C23" s="22">
        <v>4200000.0</v>
      </c>
      <c r="D23" s="26">
        <v>2019.0</v>
      </c>
      <c r="E23" s="26" t="s">
        <v>2324</v>
      </c>
      <c r="F23" s="412" t="s">
        <v>58</v>
      </c>
      <c r="G23" s="412" t="s">
        <v>59</v>
      </c>
      <c r="H23" s="26"/>
      <c r="I23" s="480">
        <v>2.0</v>
      </c>
      <c r="J23" s="481"/>
      <c r="K23" s="110"/>
      <c r="L23" s="482" t="s">
        <v>706</v>
      </c>
      <c r="M23" s="106" t="s">
        <v>707</v>
      </c>
      <c r="N23" s="107"/>
      <c r="O23" s="32">
        <v>343.0</v>
      </c>
    </row>
    <row r="24">
      <c r="A24" s="103" t="s">
        <v>708</v>
      </c>
      <c r="B24" s="420"/>
      <c r="C24" s="22">
        <v>100000.0</v>
      </c>
      <c r="D24" s="26">
        <v>2019.0</v>
      </c>
      <c r="E24" s="26" t="s">
        <v>2476</v>
      </c>
      <c r="F24" s="412" t="s">
        <v>64</v>
      </c>
      <c r="G24" s="412" t="s">
        <v>23</v>
      </c>
      <c r="H24" s="26" t="s">
        <v>29</v>
      </c>
      <c r="I24" s="480">
        <v>2.0</v>
      </c>
      <c r="J24" s="481"/>
      <c r="K24" s="110"/>
      <c r="L24" s="482" t="s">
        <v>710</v>
      </c>
      <c r="M24" s="106" t="s">
        <v>711</v>
      </c>
      <c r="N24" s="107"/>
      <c r="O24" s="32">
        <v>342.0</v>
      </c>
    </row>
    <row r="25">
      <c r="A25" s="103" t="s">
        <v>712</v>
      </c>
      <c r="B25" s="420"/>
      <c r="C25" s="22">
        <v>2.0E7</v>
      </c>
      <c r="D25" s="26">
        <v>2019.0</v>
      </c>
      <c r="E25" s="26" t="s">
        <v>2272</v>
      </c>
      <c r="F25" s="412" t="s">
        <v>258</v>
      </c>
      <c r="G25" s="412" t="s">
        <v>51</v>
      </c>
      <c r="H25" s="26"/>
      <c r="I25" s="480">
        <v>4.0</v>
      </c>
      <c r="J25" s="481"/>
      <c r="K25" s="110"/>
      <c r="L25" s="482" t="s">
        <v>571</v>
      </c>
      <c r="M25" s="106" t="s">
        <v>714</v>
      </c>
      <c r="N25" s="107"/>
      <c r="O25" s="32">
        <v>341.0</v>
      </c>
    </row>
    <row r="26">
      <c r="A26" s="103" t="s">
        <v>715</v>
      </c>
      <c r="B26" s="420"/>
      <c r="C26" s="22">
        <v>200000.0</v>
      </c>
      <c r="D26" s="26">
        <v>2019.0</v>
      </c>
      <c r="E26" s="26" t="s">
        <v>2447</v>
      </c>
      <c r="F26" s="412" t="s">
        <v>2060</v>
      </c>
      <c r="G26" s="412" t="s">
        <v>23</v>
      </c>
      <c r="H26" s="26"/>
      <c r="I26" s="480">
        <v>4.0</v>
      </c>
      <c r="J26" s="481"/>
      <c r="K26" s="110"/>
      <c r="L26" s="482" t="s">
        <v>507</v>
      </c>
      <c r="M26" s="106" t="s">
        <v>717</v>
      </c>
      <c r="N26" s="107"/>
      <c r="O26" s="32">
        <v>340.0</v>
      </c>
    </row>
    <row r="27">
      <c r="A27" s="103" t="s">
        <v>718</v>
      </c>
      <c r="B27" s="420"/>
      <c r="C27" s="22">
        <v>1.39E8</v>
      </c>
      <c r="D27" s="26">
        <v>2019.0</v>
      </c>
      <c r="E27" s="26" t="s">
        <v>2198</v>
      </c>
      <c r="F27" s="412" t="s">
        <v>28</v>
      </c>
      <c r="G27" s="412" t="s">
        <v>23</v>
      </c>
      <c r="H27" s="26"/>
      <c r="I27" s="480">
        <v>2.0</v>
      </c>
      <c r="J27" s="481">
        <v>1.39E8</v>
      </c>
      <c r="K27" s="110"/>
      <c r="L27" s="482" t="s">
        <v>571</v>
      </c>
      <c r="M27" s="106" t="s">
        <v>721</v>
      </c>
      <c r="N27" s="107"/>
      <c r="O27" s="32">
        <v>339.0</v>
      </c>
    </row>
    <row r="28">
      <c r="A28" s="103" t="s">
        <v>722</v>
      </c>
      <c r="B28" s="420" t="s">
        <v>723</v>
      </c>
      <c r="C28" s="22">
        <v>4.9E7</v>
      </c>
      <c r="D28" s="26">
        <v>2019.0</v>
      </c>
      <c r="E28" s="26" t="s">
        <v>2246</v>
      </c>
      <c r="F28" s="412" t="s">
        <v>38</v>
      </c>
      <c r="G28" s="412" t="s">
        <v>51</v>
      </c>
      <c r="H28" s="26" t="s">
        <v>29</v>
      </c>
      <c r="I28" s="480">
        <v>1.0</v>
      </c>
      <c r="J28" s="481"/>
      <c r="K28" s="110"/>
      <c r="L28" s="482" t="s">
        <v>725</v>
      </c>
      <c r="M28" s="106" t="s">
        <v>726</v>
      </c>
      <c r="N28" s="107"/>
      <c r="O28" s="32">
        <v>337.0</v>
      </c>
    </row>
    <row r="29">
      <c r="A29" s="103" t="s">
        <v>727</v>
      </c>
      <c r="B29" s="420" t="s">
        <v>728</v>
      </c>
      <c r="C29" s="22">
        <v>2000000.0</v>
      </c>
      <c r="D29" s="26">
        <v>2019.0</v>
      </c>
      <c r="E29" s="26" t="s">
        <v>2175</v>
      </c>
      <c r="F29" s="412" t="s">
        <v>2163</v>
      </c>
      <c r="G29" s="412" t="s">
        <v>51</v>
      </c>
      <c r="H29" s="26"/>
      <c r="I29" s="480">
        <v>1.0</v>
      </c>
      <c r="J29" s="481" t="str">
        <f t="shared" ref="J29:J56" si="1">IF(C29&gt;100000000,C29,"")</f>
        <v/>
      </c>
      <c r="K29" s="110"/>
      <c r="L29" s="482" t="s">
        <v>725</v>
      </c>
      <c r="M29" s="106" t="s">
        <v>730</v>
      </c>
      <c r="N29" s="107"/>
      <c r="O29" s="32">
        <v>336.0</v>
      </c>
    </row>
    <row r="30">
      <c r="A30" s="103" t="s">
        <v>378</v>
      </c>
      <c r="B30" s="420"/>
      <c r="C30" s="22">
        <v>3100000.0</v>
      </c>
      <c r="D30" s="26">
        <v>2019.0</v>
      </c>
      <c r="E30" s="26" t="s">
        <v>2172</v>
      </c>
      <c r="F30" s="412" t="s">
        <v>22</v>
      </c>
      <c r="G30" s="412" t="s">
        <v>23</v>
      </c>
      <c r="H30" s="26"/>
      <c r="I30" s="480">
        <v>2.0</v>
      </c>
      <c r="J30" s="481" t="str">
        <f t="shared" si="1"/>
        <v/>
      </c>
      <c r="K30" s="110"/>
      <c r="L30" s="482" t="s">
        <v>85</v>
      </c>
      <c r="M30" s="106" t="s">
        <v>732</v>
      </c>
      <c r="N30" s="106" t="s">
        <v>733</v>
      </c>
      <c r="O30" s="32">
        <v>335.0</v>
      </c>
    </row>
    <row r="31">
      <c r="A31" s="103" t="s">
        <v>734</v>
      </c>
      <c r="B31" s="420" t="s">
        <v>735</v>
      </c>
      <c r="C31" s="22">
        <v>1800000.0</v>
      </c>
      <c r="D31" s="26">
        <v>2019.0</v>
      </c>
      <c r="E31" s="26" t="s">
        <v>2176</v>
      </c>
      <c r="F31" s="412" t="s">
        <v>28</v>
      </c>
      <c r="G31" s="412" t="s">
        <v>51</v>
      </c>
      <c r="H31" s="26" t="s">
        <v>29</v>
      </c>
      <c r="I31" s="480">
        <v>4.0</v>
      </c>
      <c r="J31" s="481" t="str">
        <f t="shared" si="1"/>
        <v/>
      </c>
      <c r="K31" s="110"/>
      <c r="L31" s="482" t="s">
        <v>325</v>
      </c>
      <c r="M31" s="106" t="s">
        <v>737</v>
      </c>
      <c r="N31" s="107"/>
      <c r="O31" s="32">
        <v>334.0</v>
      </c>
    </row>
    <row r="32">
      <c r="A32" s="103" t="s">
        <v>738</v>
      </c>
      <c r="B32" s="420" t="s">
        <v>739</v>
      </c>
      <c r="C32" s="22">
        <v>2700000.0</v>
      </c>
      <c r="D32" s="26">
        <v>2019.0</v>
      </c>
      <c r="E32" s="26" t="s">
        <v>2173</v>
      </c>
      <c r="F32" s="412" t="s">
        <v>258</v>
      </c>
      <c r="G32" s="412" t="s">
        <v>51</v>
      </c>
      <c r="H32" s="26" t="s">
        <v>29</v>
      </c>
      <c r="I32" s="480">
        <v>5.0</v>
      </c>
      <c r="J32" s="481" t="str">
        <f t="shared" si="1"/>
        <v/>
      </c>
      <c r="K32" s="110"/>
      <c r="L32" s="482" t="s">
        <v>741</v>
      </c>
      <c r="M32" s="106" t="s">
        <v>742</v>
      </c>
      <c r="N32" s="106" t="s">
        <v>743</v>
      </c>
      <c r="O32" s="32">
        <v>333.0</v>
      </c>
    </row>
    <row r="33">
      <c r="A33" s="103" t="s">
        <v>744</v>
      </c>
      <c r="B33" s="420"/>
      <c r="C33" s="22">
        <v>1.62E8</v>
      </c>
      <c r="D33" s="26">
        <v>2019.0</v>
      </c>
      <c r="E33" s="26" t="s">
        <v>2168</v>
      </c>
      <c r="F33" s="412" t="s">
        <v>409</v>
      </c>
      <c r="G33" s="412" t="s">
        <v>23</v>
      </c>
      <c r="H33" s="28"/>
      <c r="I33" s="480">
        <v>1.0</v>
      </c>
      <c r="J33" s="481">
        <f t="shared" si="1"/>
        <v>162000000</v>
      </c>
      <c r="K33" s="110"/>
      <c r="L33" s="482" t="s">
        <v>227</v>
      </c>
      <c r="M33" s="106" t="s">
        <v>747</v>
      </c>
      <c r="N33" s="109"/>
      <c r="O33" s="32">
        <v>332.0</v>
      </c>
    </row>
    <row r="34">
      <c r="A34" s="103" t="s">
        <v>748</v>
      </c>
      <c r="B34" s="420"/>
      <c r="C34" s="22">
        <v>4.1E7</v>
      </c>
      <c r="D34" s="26">
        <v>2019.0</v>
      </c>
      <c r="E34" s="26" t="s">
        <v>2168</v>
      </c>
      <c r="F34" s="412" t="s">
        <v>28</v>
      </c>
      <c r="G34" s="412" t="s">
        <v>23</v>
      </c>
      <c r="H34" s="28"/>
      <c r="I34" s="480">
        <v>1.0</v>
      </c>
      <c r="J34" s="481" t="str">
        <f t="shared" si="1"/>
        <v/>
      </c>
      <c r="K34" s="110"/>
      <c r="L34" s="482" t="s">
        <v>227</v>
      </c>
      <c r="M34" s="106" t="s">
        <v>747</v>
      </c>
      <c r="N34" s="109"/>
      <c r="O34" s="32">
        <v>331.0</v>
      </c>
    </row>
    <row r="35">
      <c r="A35" s="103" t="s">
        <v>749</v>
      </c>
      <c r="B35" s="420"/>
      <c r="C35" s="22">
        <v>2.8E7</v>
      </c>
      <c r="D35" s="26">
        <v>2019.0</v>
      </c>
      <c r="E35" s="26" t="s">
        <v>2168</v>
      </c>
      <c r="F35" s="412" t="s">
        <v>43</v>
      </c>
      <c r="G35" s="412" t="s">
        <v>23</v>
      </c>
      <c r="H35" s="28"/>
      <c r="I35" s="480">
        <v>1.0</v>
      </c>
      <c r="J35" s="481" t="str">
        <f t="shared" si="1"/>
        <v/>
      </c>
      <c r="K35" s="110"/>
      <c r="L35" s="482" t="s">
        <v>227</v>
      </c>
      <c r="M35" s="106" t="s">
        <v>747</v>
      </c>
      <c r="N35" s="109"/>
      <c r="O35" s="32">
        <v>330.0</v>
      </c>
    </row>
    <row r="36">
      <c r="A36" s="103" t="s">
        <v>750</v>
      </c>
      <c r="B36" s="420"/>
      <c r="C36" s="22">
        <v>2.5E7</v>
      </c>
      <c r="D36" s="26">
        <v>2019.0</v>
      </c>
      <c r="E36" s="26" t="s">
        <v>2168</v>
      </c>
      <c r="F36" s="412" t="s">
        <v>28</v>
      </c>
      <c r="G36" s="412" t="s">
        <v>23</v>
      </c>
      <c r="H36" s="28"/>
      <c r="I36" s="480">
        <v>1.0</v>
      </c>
      <c r="J36" s="481" t="str">
        <f t="shared" si="1"/>
        <v/>
      </c>
      <c r="K36" s="110"/>
      <c r="L36" s="482" t="s">
        <v>227</v>
      </c>
      <c r="M36" s="106" t="s">
        <v>747</v>
      </c>
      <c r="N36" s="109"/>
      <c r="O36" s="32">
        <v>329.0</v>
      </c>
    </row>
    <row r="37">
      <c r="A37" s="103" t="s">
        <v>751</v>
      </c>
      <c r="B37" s="420"/>
      <c r="C37" s="22">
        <v>2.2E7</v>
      </c>
      <c r="D37" s="26">
        <v>2019.0</v>
      </c>
      <c r="E37" s="26" t="s">
        <v>2168</v>
      </c>
      <c r="F37" s="412" t="s">
        <v>28</v>
      </c>
      <c r="G37" s="412" t="s">
        <v>23</v>
      </c>
      <c r="H37" s="28"/>
      <c r="I37" s="480">
        <v>1.0</v>
      </c>
      <c r="J37" s="481" t="str">
        <f t="shared" si="1"/>
        <v/>
      </c>
      <c r="K37" s="110"/>
      <c r="L37" s="482" t="s">
        <v>227</v>
      </c>
      <c r="M37" s="106" t="s">
        <v>747</v>
      </c>
      <c r="N37" s="109"/>
      <c r="O37" s="32">
        <v>328.0</v>
      </c>
    </row>
    <row r="38">
      <c r="A38" s="103" t="s">
        <v>752</v>
      </c>
      <c r="B38" s="420"/>
      <c r="C38" s="22">
        <v>2.0E7</v>
      </c>
      <c r="D38" s="26">
        <v>2019.0</v>
      </c>
      <c r="E38" s="26" t="s">
        <v>2168</v>
      </c>
      <c r="F38" s="412" t="s">
        <v>28</v>
      </c>
      <c r="G38" s="412" t="s">
        <v>23</v>
      </c>
      <c r="H38" s="28"/>
      <c r="I38" s="480">
        <v>1.0</v>
      </c>
      <c r="J38" s="481" t="str">
        <f t="shared" si="1"/>
        <v/>
      </c>
      <c r="K38" s="110"/>
      <c r="L38" s="482" t="s">
        <v>227</v>
      </c>
      <c r="M38" s="106" t="s">
        <v>747</v>
      </c>
      <c r="N38" s="109"/>
      <c r="O38" s="32">
        <v>327.0</v>
      </c>
    </row>
    <row r="39">
      <c r="A39" s="103" t="s">
        <v>753</v>
      </c>
      <c r="B39" s="420"/>
      <c r="C39" s="22">
        <v>1.8E7</v>
      </c>
      <c r="D39" s="26">
        <v>2019.0</v>
      </c>
      <c r="E39" s="26" t="s">
        <v>2168</v>
      </c>
      <c r="F39" s="412" t="s">
        <v>28</v>
      </c>
      <c r="G39" s="412" t="s">
        <v>23</v>
      </c>
      <c r="H39" s="28"/>
      <c r="I39" s="480">
        <v>1.0</v>
      </c>
      <c r="J39" s="481" t="str">
        <f t="shared" si="1"/>
        <v/>
      </c>
      <c r="K39" s="110"/>
      <c r="L39" s="482" t="s">
        <v>227</v>
      </c>
      <c r="M39" s="106" t="s">
        <v>747</v>
      </c>
      <c r="N39" s="109"/>
      <c r="O39" s="32">
        <v>326.0</v>
      </c>
    </row>
    <row r="40">
      <c r="A40" s="103" t="s">
        <v>754</v>
      </c>
      <c r="B40" s="420"/>
      <c r="C40" s="22">
        <v>1.6E7</v>
      </c>
      <c r="D40" s="26">
        <v>2019.0</v>
      </c>
      <c r="E40" s="26" t="s">
        <v>2168</v>
      </c>
      <c r="F40" s="412" t="s">
        <v>28</v>
      </c>
      <c r="G40" s="412" t="s">
        <v>23</v>
      </c>
      <c r="H40" s="28"/>
      <c r="I40" s="480">
        <v>1.0</v>
      </c>
      <c r="J40" s="481" t="str">
        <f t="shared" si="1"/>
        <v/>
      </c>
      <c r="K40" s="110"/>
      <c r="L40" s="482" t="s">
        <v>227</v>
      </c>
      <c r="M40" s="106" t="s">
        <v>747</v>
      </c>
      <c r="N40" s="109"/>
      <c r="O40" s="32">
        <v>325.0</v>
      </c>
    </row>
    <row r="41">
      <c r="A41" s="103" t="s">
        <v>755</v>
      </c>
      <c r="B41" s="420"/>
      <c r="C41" s="22">
        <v>1.1E7</v>
      </c>
      <c r="D41" s="26">
        <v>2019.0</v>
      </c>
      <c r="E41" s="26" t="s">
        <v>2168</v>
      </c>
      <c r="F41" s="412" t="s">
        <v>236</v>
      </c>
      <c r="G41" s="412" t="s">
        <v>23</v>
      </c>
      <c r="H41" s="28"/>
      <c r="I41" s="480">
        <v>1.0</v>
      </c>
      <c r="J41" s="481" t="str">
        <f t="shared" si="1"/>
        <v/>
      </c>
      <c r="K41" s="110"/>
      <c r="L41" s="482" t="s">
        <v>227</v>
      </c>
      <c r="M41" s="106" t="s">
        <v>747</v>
      </c>
      <c r="N41" s="109"/>
      <c r="O41" s="32">
        <v>324.0</v>
      </c>
    </row>
    <row r="42">
      <c r="A42" s="103" t="s">
        <v>756</v>
      </c>
      <c r="B42" s="420"/>
      <c r="C42" s="22">
        <v>8000000.0</v>
      </c>
      <c r="D42" s="26">
        <v>2019.0</v>
      </c>
      <c r="E42" s="26" t="s">
        <v>2168</v>
      </c>
      <c r="F42" s="412" t="s">
        <v>28</v>
      </c>
      <c r="G42" s="412" t="s">
        <v>23</v>
      </c>
      <c r="H42" s="28"/>
      <c r="I42" s="480">
        <v>1.0</v>
      </c>
      <c r="J42" s="481" t="str">
        <f t="shared" si="1"/>
        <v/>
      </c>
      <c r="K42" s="110"/>
      <c r="L42" s="482" t="s">
        <v>227</v>
      </c>
      <c r="M42" s="106" t="s">
        <v>747</v>
      </c>
      <c r="N42" s="109"/>
      <c r="O42" s="32">
        <v>323.0</v>
      </c>
    </row>
    <row r="43">
      <c r="A43" s="103" t="s">
        <v>757</v>
      </c>
      <c r="B43" s="420"/>
      <c r="C43" s="22">
        <v>6000000.0</v>
      </c>
      <c r="D43" s="26">
        <v>2019.0</v>
      </c>
      <c r="E43" s="26" t="s">
        <v>2168</v>
      </c>
      <c r="F43" s="412" t="s">
        <v>28</v>
      </c>
      <c r="G43" s="412" t="s">
        <v>23</v>
      </c>
      <c r="H43" s="28"/>
      <c r="I43" s="480">
        <v>1.0</v>
      </c>
      <c r="J43" s="481" t="str">
        <f t="shared" si="1"/>
        <v/>
      </c>
      <c r="K43" s="110"/>
      <c r="L43" s="482" t="s">
        <v>227</v>
      </c>
      <c r="M43" s="106" t="s">
        <v>747</v>
      </c>
      <c r="N43" s="109"/>
      <c r="O43" s="32">
        <v>322.0</v>
      </c>
    </row>
    <row r="44">
      <c r="A44" s="103" t="s">
        <v>758</v>
      </c>
      <c r="B44" s="420"/>
      <c r="C44" s="22">
        <v>1000000.0</v>
      </c>
      <c r="D44" s="26">
        <v>2019.0</v>
      </c>
      <c r="E44" s="26" t="s">
        <v>2168</v>
      </c>
      <c r="F44" s="412" t="s">
        <v>28</v>
      </c>
      <c r="G44" s="412" t="s">
        <v>23</v>
      </c>
      <c r="H44" s="28"/>
      <c r="I44" s="480">
        <v>1.0</v>
      </c>
      <c r="J44" s="481" t="str">
        <f t="shared" si="1"/>
        <v/>
      </c>
      <c r="K44" s="110"/>
      <c r="L44" s="482" t="s">
        <v>227</v>
      </c>
      <c r="M44" s="106" t="s">
        <v>747</v>
      </c>
      <c r="N44" s="109"/>
      <c r="O44" s="32">
        <v>321.0</v>
      </c>
    </row>
    <row r="45">
      <c r="A45" s="103" t="s">
        <v>759</v>
      </c>
      <c r="B45" s="420"/>
      <c r="C45" s="22">
        <v>700000.0</v>
      </c>
      <c r="D45" s="26">
        <v>2019.0</v>
      </c>
      <c r="E45" s="26" t="s">
        <v>2168</v>
      </c>
      <c r="F45" s="412" t="s">
        <v>28</v>
      </c>
      <c r="G45" s="412" t="s">
        <v>23</v>
      </c>
      <c r="H45" s="28"/>
      <c r="I45" s="480">
        <v>1.0</v>
      </c>
      <c r="J45" s="481" t="str">
        <f t="shared" si="1"/>
        <v/>
      </c>
      <c r="K45" s="110"/>
      <c r="L45" s="482" t="s">
        <v>227</v>
      </c>
      <c r="M45" s="106" t="s">
        <v>747</v>
      </c>
      <c r="N45" s="109"/>
      <c r="O45" s="32">
        <v>320.0</v>
      </c>
    </row>
    <row r="46">
      <c r="A46" s="103" t="s">
        <v>760</v>
      </c>
      <c r="B46" s="420"/>
      <c r="C46" s="22">
        <v>1.8E7</v>
      </c>
      <c r="D46" s="26">
        <v>2019.0</v>
      </c>
      <c r="E46" s="26" t="s">
        <v>2166</v>
      </c>
      <c r="F46" s="412" t="s">
        <v>22</v>
      </c>
      <c r="G46" s="412" t="s">
        <v>51</v>
      </c>
      <c r="H46" s="28"/>
      <c r="I46" s="480">
        <v>1.0</v>
      </c>
      <c r="J46" s="481" t="str">
        <f t="shared" si="1"/>
        <v/>
      </c>
      <c r="K46" s="110"/>
      <c r="L46" s="482" t="s">
        <v>725</v>
      </c>
      <c r="M46" s="106" t="s">
        <v>762</v>
      </c>
      <c r="N46" s="109"/>
      <c r="O46" s="32">
        <v>319.0</v>
      </c>
    </row>
    <row r="47">
      <c r="A47" s="103" t="s">
        <v>763</v>
      </c>
      <c r="B47" s="420"/>
      <c r="C47" s="22">
        <v>4.0E7</v>
      </c>
      <c r="D47" s="26">
        <v>2019.0</v>
      </c>
      <c r="E47" s="26" t="s">
        <v>2166</v>
      </c>
      <c r="F47" s="412" t="s">
        <v>28</v>
      </c>
      <c r="G47" s="412" t="s">
        <v>23</v>
      </c>
      <c r="H47" s="28"/>
      <c r="I47" s="480">
        <v>1.0</v>
      </c>
      <c r="J47" s="481" t="str">
        <f t="shared" si="1"/>
        <v/>
      </c>
      <c r="K47" s="110"/>
      <c r="L47" s="482" t="s">
        <v>725</v>
      </c>
      <c r="M47" s="106" t="s">
        <v>762</v>
      </c>
      <c r="N47" s="109"/>
      <c r="O47" s="32">
        <v>318.0</v>
      </c>
    </row>
    <row r="48">
      <c r="A48" s="103" t="s">
        <v>764</v>
      </c>
      <c r="B48" s="420"/>
      <c r="C48" s="22">
        <v>5.7E7</v>
      </c>
      <c r="D48" s="26">
        <v>2019.0</v>
      </c>
      <c r="E48" s="26" t="s">
        <v>2166</v>
      </c>
      <c r="F48" s="412" t="s">
        <v>43</v>
      </c>
      <c r="G48" s="412" t="s">
        <v>23</v>
      </c>
      <c r="H48" s="28"/>
      <c r="I48" s="480">
        <v>2.0</v>
      </c>
      <c r="J48" s="481" t="str">
        <f t="shared" si="1"/>
        <v/>
      </c>
      <c r="K48" s="110"/>
      <c r="L48" s="482" t="s">
        <v>725</v>
      </c>
      <c r="M48" s="106" t="s">
        <v>765</v>
      </c>
      <c r="N48" s="109"/>
      <c r="O48" s="32">
        <v>317.0</v>
      </c>
    </row>
    <row r="49">
      <c r="A49" s="103" t="s">
        <v>766</v>
      </c>
      <c r="B49" s="420"/>
      <c r="C49" s="22">
        <v>1800000.0</v>
      </c>
      <c r="D49" s="26">
        <v>2019.0</v>
      </c>
      <c r="E49" s="26" t="s">
        <v>2166</v>
      </c>
      <c r="F49" s="412" t="s">
        <v>28</v>
      </c>
      <c r="G49" s="412" t="s">
        <v>23</v>
      </c>
      <c r="H49" s="28"/>
      <c r="I49" s="480">
        <v>1.0</v>
      </c>
      <c r="J49" s="481" t="str">
        <f t="shared" si="1"/>
        <v/>
      </c>
      <c r="K49" s="110"/>
      <c r="L49" s="482" t="s">
        <v>725</v>
      </c>
      <c r="M49" s="106" t="s">
        <v>762</v>
      </c>
      <c r="N49" s="109"/>
      <c r="O49" s="32">
        <v>316.0</v>
      </c>
    </row>
    <row r="50">
      <c r="A50" s="103" t="s">
        <v>767</v>
      </c>
      <c r="B50" s="420"/>
      <c r="C50" s="22">
        <v>450000.0</v>
      </c>
      <c r="D50" s="26">
        <v>2019.0</v>
      </c>
      <c r="E50" s="26" t="s">
        <v>2166</v>
      </c>
      <c r="F50" s="412" t="s">
        <v>58</v>
      </c>
      <c r="G50" s="412" t="s">
        <v>23</v>
      </c>
      <c r="H50" s="28"/>
      <c r="I50" s="480">
        <v>1.0</v>
      </c>
      <c r="J50" s="481" t="str">
        <f t="shared" si="1"/>
        <v/>
      </c>
      <c r="K50" s="110"/>
      <c r="L50" s="482" t="s">
        <v>725</v>
      </c>
      <c r="M50" s="106" t="s">
        <v>762</v>
      </c>
      <c r="N50" s="109"/>
      <c r="O50" s="32">
        <v>315.0</v>
      </c>
    </row>
    <row r="51">
      <c r="A51" s="103" t="s">
        <v>768</v>
      </c>
      <c r="B51" s="420"/>
      <c r="C51" s="22">
        <v>4000000.0</v>
      </c>
      <c r="D51" s="26">
        <v>2019.0</v>
      </c>
      <c r="E51" s="26" t="s">
        <v>2166</v>
      </c>
      <c r="F51" s="412" t="s">
        <v>236</v>
      </c>
      <c r="G51" s="412" t="s">
        <v>23</v>
      </c>
      <c r="H51" s="28"/>
      <c r="I51" s="480">
        <v>1.0</v>
      </c>
      <c r="J51" s="481" t="str">
        <f t="shared" si="1"/>
        <v/>
      </c>
      <c r="K51" s="110"/>
      <c r="L51" s="482" t="s">
        <v>725</v>
      </c>
      <c r="M51" s="106" t="s">
        <v>762</v>
      </c>
      <c r="N51" s="109"/>
      <c r="O51" s="32">
        <v>314.0</v>
      </c>
    </row>
    <row r="52">
      <c r="A52" s="103" t="s">
        <v>769</v>
      </c>
      <c r="B52" s="420"/>
      <c r="C52" s="22">
        <v>5000000.0</v>
      </c>
      <c r="D52" s="26">
        <v>2019.0</v>
      </c>
      <c r="E52" s="26" t="s">
        <v>2166</v>
      </c>
      <c r="F52" s="412" t="s">
        <v>236</v>
      </c>
      <c r="G52" s="412" t="s">
        <v>23</v>
      </c>
      <c r="H52" s="28"/>
      <c r="I52" s="480">
        <v>1.0</v>
      </c>
      <c r="J52" s="481" t="str">
        <f t="shared" si="1"/>
        <v/>
      </c>
      <c r="K52" s="110"/>
      <c r="L52" s="482" t="s">
        <v>725</v>
      </c>
      <c r="M52" s="106" t="s">
        <v>762</v>
      </c>
      <c r="N52" s="109"/>
      <c r="O52" s="32">
        <v>313.0</v>
      </c>
    </row>
    <row r="53">
      <c r="A53" s="103" t="s">
        <v>770</v>
      </c>
      <c r="B53" s="420"/>
      <c r="C53" s="22">
        <v>1000000.0</v>
      </c>
      <c r="D53" s="26">
        <v>2019.0</v>
      </c>
      <c r="E53" s="26" t="s">
        <v>2166</v>
      </c>
      <c r="F53" s="412" t="s">
        <v>43</v>
      </c>
      <c r="G53" s="412" t="s">
        <v>51</v>
      </c>
      <c r="H53" s="28"/>
      <c r="I53" s="480">
        <v>1.0</v>
      </c>
      <c r="J53" s="481" t="str">
        <f t="shared" si="1"/>
        <v/>
      </c>
      <c r="K53" s="110"/>
      <c r="L53" s="482" t="s">
        <v>725</v>
      </c>
      <c r="M53" s="106" t="s">
        <v>762</v>
      </c>
      <c r="N53" s="109"/>
      <c r="O53" s="32">
        <v>312.0</v>
      </c>
    </row>
    <row r="54">
      <c r="A54" s="103" t="s">
        <v>771</v>
      </c>
      <c r="B54" s="420"/>
      <c r="C54" s="22">
        <v>1.48E7</v>
      </c>
      <c r="D54" s="26">
        <v>2019.0</v>
      </c>
      <c r="E54" s="26" t="s">
        <v>2169</v>
      </c>
      <c r="F54" s="412" t="s">
        <v>28</v>
      </c>
      <c r="G54" s="412" t="s">
        <v>23</v>
      </c>
      <c r="H54" s="28"/>
      <c r="I54" s="480">
        <v>2.0</v>
      </c>
      <c r="J54" s="481" t="str">
        <f t="shared" si="1"/>
        <v/>
      </c>
      <c r="K54" s="110"/>
      <c r="L54" s="482" t="s">
        <v>773</v>
      </c>
      <c r="M54" s="106" t="s">
        <v>774</v>
      </c>
      <c r="N54" s="109"/>
      <c r="O54" s="32">
        <v>311.0</v>
      </c>
    </row>
    <row r="55">
      <c r="A55" s="421" t="s">
        <v>775</v>
      </c>
      <c r="B55" s="422" t="s">
        <v>776</v>
      </c>
      <c r="C55" s="423">
        <v>2400000.0</v>
      </c>
      <c r="D55" s="422">
        <v>2019.0</v>
      </c>
      <c r="E55" s="422" t="s">
        <v>2174</v>
      </c>
      <c r="F55" s="412" t="s">
        <v>50</v>
      </c>
      <c r="G55" s="413" t="s">
        <v>142</v>
      </c>
      <c r="H55" s="426"/>
      <c r="I55" s="483">
        <v>1.0</v>
      </c>
      <c r="J55" s="481" t="str">
        <f t="shared" si="1"/>
        <v/>
      </c>
      <c r="K55" s="110"/>
      <c r="L55" s="480" t="s">
        <v>571</v>
      </c>
      <c r="M55" s="465" t="s">
        <v>778</v>
      </c>
      <c r="N55" s="427"/>
      <c r="O55" s="32">
        <v>310.0</v>
      </c>
    </row>
    <row r="56">
      <c r="A56" s="421" t="s">
        <v>779</v>
      </c>
      <c r="B56" s="422"/>
      <c r="C56" s="423">
        <v>7600000.0</v>
      </c>
      <c r="D56" s="422">
        <v>2019.0</v>
      </c>
      <c r="E56" s="422" t="s">
        <v>2171</v>
      </c>
      <c r="F56" s="412" t="s">
        <v>236</v>
      </c>
      <c r="G56" s="413" t="s">
        <v>23</v>
      </c>
      <c r="H56" s="426"/>
      <c r="I56" s="483">
        <v>1.0</v>
      </c>
      <c r="J56" s="481" t="str">
        <f t="shared" si="1"/>
        <v/>
      </c>
      <c r="K56" s="110"/>
      <c r="L56" s="480" t="s">
        <v>571</v>
      </c>
      <c r="M56" s="465" t="s">
        <v>781</v>
      </c>
      <c r="N56" s="427"/>
      <c r="O56" s="32">
        <v>309.0</v>
      </c>
    </row>
    <row r="57">
      <c r="A57" s="52" t="s">
        <v>782</v>
      </c>
      <c r="B57" s="428"/>
      <c r="C57" s="22">
        <v>2.75265298E8</v>
      </c>
      <c r="D57" s="422">
        <v>2019.0</v>
      </c>
      <c r="E57" s="425" t="s">
        <v>2187</v>
      </c>
      <c r="F57" s="413" t="s">
        <v>28</v>
      </c>
      <c r="G57" s="413" t="s">
        <v>51</v>
      </c>
      <c r="H57" s="428"/>
      <c r="I57" s="483">
        <v>2.0</v>
      </c>
      <c r="J57" s="484">
        <v>2.75E8</v>
      </c>
      <c r="K57" s="485"/>
      <c r="L57" s="486" t="s">
        <v>85</v>
      </c>
      <c r="M57" s="467" t="s">
        <v>785</v>
      </c>
      <c r="N57" s="428"/>
      <c r="O57" s="32">
        <v>308.0</v>
      </c>
    </row>
    <row r="58">
      <c r="A58" s="20" t="s">
        <v>786</v>
      </c>
      <c r="B58" s="111"/>
      <c r="C58" s="22">
        <v>5000000.0</v>
      </c>
      <c r="D58" s="26">
        <v>2019.0</v>
      </c>
      <c r="E58" s="26" t="s">
        <v>2313</v>
      </c>
      <c r="F58" s="412" t="s">
        <v>64</v>
      </c>
      <c r="G58" s="412" t="s">
        <v>23</v>
      </c>
      <c r="H58" s="28"/>
      <c r="I58" s="480">
        <v>2.0</v>
      </c>
      <c r="J58" s="481"/>
      <c r="K58" s="110"/>
      <c r="L58" s="482" t="s">
        <v>571</v>
      </c>
      <c r="M58" s="467" t="s">
        <v>788</v>
      </c>
      <c r="N58" s="31"/>
      <c r="O58" s="32">
        <v>307.0</v>
      </c>
    </row>
    <row r="59">
      <c r="A59" s="20" t="s">
        <v>789</v>
      </c>
      <c r="B59" s="111"/>
      <c r="C59" s="22">
        <v>1.0E8</v>
      </c>
      <c r="D59" s="26">
        <v>2019.0</v>
      </c>
      <c r="E59" s="26" t="s">
        <v>2204</v>
      </c>
      <c r="F59" s="412" t="s">
        <v>58</v>
      </c>
      <c r="G59" s="412" t="s">
        <v>23</v>
      </c>
      <c r="H59" s="28"/>
      <c r="I59" s="480">
        <v>3.0</v>
      </c>
      <c r="J59" s="481">
        <v>1.0E8</v>
      </c>
      <c r="K59" s="110"/>
      <c r="L59" s="482" t="s">
        <v>278</v>
      </c>
      <c r="M59" s="467" t="s">
        <v>791</v>
      </c>
      <c r="N59" s="31"/>
      <c r="O59" s="32">
        <v>306.0</v>
      </c>
    </row>
    <row r="60">
      <c r="A60" s="20" t="s">
        <v>792</v>
      </c>
      <c r="B60" s="111" t="s">
        <v>793</v>
      </c>
      <c r="C60" s="22">
        <v>2.78E7</v>
      </c>
      <c r="D60" s="26">
        <v>2019.0</v>
      </c>
      <c r="E60" s="26" t="s">
        <v>2263</v>
      </c>
      <c r="F60" s="412" t="s">
        <v>50</v>
      </c>
      <c r="G60" s="412" t="s">
        <v>51</v>
      </c>
      <c r="H60" s="28"/>
      <c r="I60" s="480">
        <v>5.0</v>
      </c>
      <c r="J60" s="481"/>
      <c r="K60" s="110"/>
      <c r="L60" s="482" t="s">
        <v>507</v>
      </c>
      <c r="M60" s="467" t="s">
        <v>795</v>
      </c>
      <c r="N60" s="31"/>
      <c r="O60" s="32">
        <v>305.0</v>
      </c>
    </row>
    <row r="61">
      <c r="A61" s="20" t="s">
        <v>588</v>
      </c>
      <c r="B61" s="111"/>
      <c r="C61" s="22">
        <v>4.19E8</v>
      </c>
      <c r="D61" s="26">
        <v>2019.0</v>
      </c>
      <c r="E61" s="26" t="s">
        <v>2181</v>
      </c>
      <c r="F61" s="412" t="s">
        <v>28</v>
      </c>
      <c r="G61" s="412" t="s">
        <v>51</v>
      </c>
      <c r="H61" s="28"/>
      <c r="I61" s="480">
        <v>2.0</v>
      </c>
      <c r="J61" s="481">
        <v>4.2E8</v>
      </c>
      <c r="K61" s="110"/>
      <c r="L61" s="482" t="s">
        <v>798</v>
      </c>
      <c r="M61" s="35" t="s">
        <v>799</v>
      </c>
      <c r="N61" s="31"/>
      <c r="O61" s="32">
        <v>304.0</v>
      </c>
    </row>
    <row r="62">
      <c r="A62" s="20" t="s">
        <v>800</v>
      </c>
      <c r="B62" s="98" t="s">
        <v>801</v>
      </c>
      <c r="C62" s="22">
        <v>4900000.0</v>
      </c>
      <c r="D62" s="26">
        <v>2019.0</v>
      </c>
      <c r="E62" s="26" t="s">
        <v>2225</v>
      </c>
      <c r="F62" s="412" t="s">
        <v>22</v>
      </c>
      <c r="G62" s="412" t="s">
        <v>23</v>
      </c>
      <c r="H62" s="28"/>
      <c r="I62" s="480">
        <v>2.0</v>
      </c>
      <c r="J62" s="481">
        <v>4900000.0</v>
      </c>
      <c r="K62" s="110"/>
      <c r="L62" s="482" t="s">
        <v>725</v>
      </c>
      <c r="M62" s="467" t="s">
        <v>804</v>
      </c>
      <c r="N62" s="31"/>
      <c r="O62" s="32">
        <v>303.0</v>
      </c>
    </row>
    <row r="63">
      <c r="A63" s="20" t="s">
        <v>805</v>
      </c>
      <c r="B63" s="98" t="s">
        <v>806</v>
      </c>
      <c r="C63" s="22">
        <v>2.6E7</v>
      </c>
      <c r="D63" s="26">
        <v>2019.0</v>
      </c>
      <c r="E63" s="26" t="s">
        <v>2217</v>
      </c>
      <c r="F63" s="412" t="s">
        <v>28</v>
      </c>
      <c r="G63" s="412" t="s">
        <v>23</v>
      </c>
      <c r="H63" s="28"/>
      <c r="I63" s="480">
        <v>3.0</v>
      </c>
      <c r="J63" s="481">
        <v>2.6E7</v>
      </c>
      <c r="K63" s="110"/>
      <c r="L63" s="482" t="s">
        <v>247</v>
      </c>
      <c r="M63" s="467" t="s">
        <v>809</v>
      </c>
      <c r="N63" s="31"/>
      <c r="O63" s="32">
        <v>302.0</v>
      </c>
    </row>
    <row r="64">
      <c r="A64" s="20" t="s">
        <v>810</v>
      </c>
      <c r="B64" s="51"/>
      <c r="C64" s="22">
        <v>3.8E8</v>
      </c>
      <c r="D64" s="26">
        <v>2019.0</v>
      </c>
      <c r="E64" s="26" t="s">
        <v>2184</v>
      </c>
      <c r="F64" s="412" t="s">
        <v>50</v>
      </c>
      <c r="G64" s="412" t="s">
        <v>51</v>
      </c>
      <c r="H64" s="28"/>
      <c r="I64" s="480">
        <v>2.0</v>
      </c>
      <c r="J64" s="481">
        <v>3.8E8</v>
      </c>
      <c r="K64" s="110"/>
      <c r="L64" s="482" t="s">
        <v>813</v>
      </c>
      <c r="M64" s="467" t="s">
        <v>814</v>
      </c>
      <c r="N64" s="31"/>
      <c r="O64" s="32">
        <v>300.0</v>
      </c>
    </row>
    <row r="65">
      <c r="A65" s="103" t="s">
        <v>815</v>
      </c>
      <c r="B65" s="420"/>
      <c r="C65" s="22">
        <v>300000.0</v>
      </c>
      <c r="D65" s="26">
        <v>2018.0</v>
      </c>
      <c r="E65" s="26" t="s">
        <v>2433</v>
      </c>
      <c r="F65" s="412" t="s">
        <v>58</v>
      </c>
      <c r="G65" s="412" t="s">
        <v>23</v>
      </c>
      <c r="H65" s="26"/>
      <c r="I65" s="480">
        <v>3.0</v>
      </c>
      <c r="J65" s="481"/>
      <c r="K65" s="110"/>
      <c r="L65" s="482" t="s">
        <v>817</v>
      </c>
      <c r="M65" s="106" t="s">
        <v>818</v>
      </c>
      <c r="N65" s="107"/>
      <c r="O65" s="32">
        <v>299.0</v>
      </c>
    </row>
    <row r="66">
      <c r="A66" s="103" t="s">
        <v>819</v>
      </c>
      <c r="B66" s="420"/>
      <c r="C66" s="22">
        <v>1500000.0</v>
      </c>
      <c r="D66" s="26">
        <v>2018.0</v>
      </c>
      <c r="E66" s="26" t="s">
        <v>2376</v>
      </c>
      <c r="F66" s="412" t="s">
        <v>258</v>
      </c>
      <c r="G66" s="412" t="s">
        <v>23</v>
      </c>
      <c r="H66" s="26"/>
      <c r="I66" s="480">
        <v>4.0</v>
      </c>
      <c r="J66" s="481"/>
      <c r="K66" s="110"/>
      <c r="L66" s="482" t="s">
        <v>821</v>
      </c>
      <c r="M66" s="106" t="s">
        <v>822</v>
      </c>
      <c r="N66" s="107"/>
      <c r="O66" s="32">
        <v>298.0</v>
      </c>
    </row>
    <row r="67">
      <c r="A67" s="103" t="s">
        <v>823</v>
      </c>
      <c r="B67" s="420" t="s">
        <v>824</v>
      </c>
      <c r="C67" s="22">
        <v>1.4E7</v>
      </c>
      <c r="D67" s="26">
        <v>2018.0</v>
      </c>
      <c r="E67" s="26" t="s">
        <v>2170</v>
      </c>
      <c r="F67" s="412" t="s">
        <v>58</v>
      </c>
      <c r="G67" s="412" t="s">
        <v>51</v>
      </c>
      <c r="H67" s="28"/>
      <c r="I67" s="480">
        <v>2.0</v>
      </c>
      <c r="J67" s="481" t="str">
        <f t="shared" ref="J67:J70" si="2">IF(C67&gt;100000000,C67,"")</f>
        <v/>
      </c>
      <c r="K67" s="110"/>
      <c r="L67" s="482" t="s">
        <v>702</v>
      </c>
      <c r="M67" s="106" t="s">
        <v>826</v>
      </c>
      <c r="N67" s="109"/>
      <c r="O67" s="32">
        <v>297.0</v>
      </c>
    </row>
    <row r="68">
      <c r="A68" s="421" t="s">
        <v>827</v>
      </c>
      <c r="B68" s="422"/>
      <c r="C68" s="423">
        <v>9.4E7</v>
      </c>
      <c r="D68" s="422">
        <v>2018.0</v>
      </c>
      <c r="E68" s="422" t="s">
        <v>2165</v>
      </c>
      <c r="F68" s="412" t="s">
        <v>22</v>
      </c>
      <c r="G68" s="413" t="s">
        <v>23</v>
      </c>
      <c r="H68" s="426"/>
      <c r="I68" s="483">
        <v>3.0</v>
      </c>
      <c r="J68" s="481" t="str">
        <f t="shared" si="2"/>
        <v/>
      </c>
      <c r="K68" s="110"/>
      <c r="L68" s="480" t="s">
        <v>829</v>
      </c>
      <c r="M68" s="465" t="s">
        <v>830</v>
      </c>
      <c r="N68" s="427"/>
      <c r="O68" s="32">
        <v>296.0</v>
      </c>
    </row>
    <row r="69">
      <c r="A69" s="421" t="s">
        <v>831</v>
      </c>
      <c r="B69" s="422"/>
      <c r="C69" s="423">
        <v>2.02E8</v>
      </c>
      <c r="D69" s="422">
        <v>2018.0</v>
      </c>
      <c r="E69" s="422" t="s">
        <v>2189</v>
      </c>
      <c r="F69" s="412" t="s">
        <v>28</v>
      </c>
      <c r="G69" s="487" t="s">
        <v>51</v>
      </c>
      <c r="H69" s="426"/>
      <c r="I69" s="483">
        <v>2.0</v>
      </c>
      <c r="J69" s="481">
        <f t="shared" si="2"/>
        <v>202000000</v>
      </c>
      <c r="K69" s="110"/>
      <c r="L69" s="480" t="s">
        <v>834</v>
      </c>
      <c r="M69" s="465" t="s">
        <v>835</v>
      </c>
      <c r="N69" s="427"/>
      <c r="O69" s="32">
        <v>295.0</v>
      </c>
    </row>
    <row r="70">
      <c r="A70" s="421" t="s">
        <v>836</v>
      </c>
      <c r="B70" s="422"/>
      <c r="C70" s="423">
        <v>5.25E7</v>
      </c>
      <c r="D70" s="422">
        <v>2018.0</v>
      </c>
      <c r="E70" s="422" t="s">
        <v>2167</v>
      </c>
      <c r="F70" s="488" t="s">
        <v>28</v>
      </c>
      <c r="G70" s="487" t="s">
        <v>51</v>
      </c>
      <c r="H70" s="426"/>
      <c r="I70" s="483">
        <v>2.0</v>
      </c>
      <c r="J70" s="481" t="str">
        <f t="shared" si="2"/>
        <v/>
      </c>
      <c r="K70" s="110"/>
      <c r="L70" s="480" t="s">
        <v>314</v>
      </c>
      <c r="M70" s="465" t="s">
        <v>838</v>
      </c>
      <c r="N70" s="431"/>
      <c r="O70" s="32">
        <v>294.0</v>
      </c>
    </row>
    <row r="71">
      <c r="A71" s="421" t="s">
        <v>839</v>
      </c>
      <c r="B71" s="422"/>
      <c r="C71" s="423">
        <v>1.0E8</v>
      </c>
      <c r="D71" s="422">
        <v>2018.0</v>
      </c>
      <c r="E71" s="422" t="s">
        <v>2205</v>
      </c>
      <c r="F71" s="488" t="s">
        <v>28</v>
      </c>
      <c r="G71" s="413" t="s">
        <v>23</v>
      </c>
      <c r="H71" s="426"/>
      <c r="I71" s="483">
        <v>1.0</v>
      </c>
      <c r="J71" s="484">
        <v>1.0E8</v>
      </c>
      <c r="K71" s="110"/>
      <c r="L71" s="480" t="s">
        <v>841</v>
      </c>
      <c r="M71" s="465" t="s">
        <v>842</v>
      </c>
      <c r="N71" s="431"/>
      <c r="O71" s="32">
        <v>293.0</v>
      </c>
    </row>
    <row r="72">
      <c r="A72" s="421" t="s">
        <v>843</v>
      </c>
      <c r="B72" s="422"/>
      <c r="C72" s="423">
        <v>3.83E8</v>
      </c>
      <c r="D72" s="422">
        <v>2018.0</v>
      </c>
      <c r="E72" s="422" t="s">
        <v>2183</v>
      </c>
      <c r="F72" s="488" t="s">
        <v>43</v>
      </c>
      <c r="G72" s="413" t="s">
        <v>23</v>
      </c>
      <c r="H72" s="426"/>
      <c r="I72" s="483">
        <v>3.0</v>
      </c>
      <c r="J72" s="484">
        <v>3.83E8</v>
      </c>
      <c r="K72" s="110"/>
      <c r="L72" s="480" t="s">
        <v>846</v>
      </c>
      <c r="M72" s="465" t="s">
        <v>847</v>
      </c>
      <c r="N72" s="465" t="s">
        <v>848</v>
      </c>
      <c r="O72" s="32">
        <v>292.0</v>
      </c>
    </row>
    <row r="73">
      <c r="A73" s="114" t="s">
        <v>849</v>
      </c>
      <c r="B73" s="115" t="s">
        <v>850</v>
      </c>
      <c r="C73" s="22">
        <v>700000.0</v>
      </c>
      <c r="D73" s="26">
        <v>2018.0</v>
      </c>
      <c r="E73" s="34" t="s">
        <v>2409</v>
      </c>
      <c r="F73" s="489" t="s">
        <v>22</v>
      </c>
      <c r="G73" s="413" t="s">
        <v>142</v>
      </c>
      <c r="H73" s="34" t="s">
        <v>29</v>
      </c>
      <c r="I73" s="480">
        <v>2.0</v>
      </c>
      <c r="J73" s="490"/>
      <c r="K73" s="491"/>
      <c r="L73" s="482" t="s">
        <v>852</v>
      </c>
      <c r="M73" s="116" t="s">
        <v>853</v>
      </c>
      <c r="N73" s="432"/>
      <c r="O73" s="32">
        <v>291.0</v>
      </c>
    </row>
    <row r="74">
      <c r="A74" s="421" t="s">
        <v>588</v>
      </c>
      <c r="B74" s="422"/>
      <c r="C74" s="423">
        <v>5.0E7</v>
      </c>
      <c r="D74" s="422">
        <v>2018.0</v>
      </c>
      <c r="E74" s="422" t="s">
        <v>2214</v>
      </c>
      <c r="F74" s="488" t="s">
        <v>28</v>
      </c>
      <c r="G74" s="488" t="s">
        <v>23</v>
      </c>
      <c r="H74" s="422" t="s">
        <v>29</v>
      </c>
      <c r="I74" s="483">
        <v>1.0</v>
      </c>
      <c r="J74" s="481">
        <v>5.0E7</v>
      </c>
      <c r="K74" s="110"/>
      <c r="L74" s="480" t="s">
        <v>507</v>
      </c>
      <c r="M74" s="465" t="s">
        <v>856</v>
      </c>
      <c r="N74" s="431"/>
      <c r="O74" s="32">
        <v>290.0</v>
      </c>
    </row>
    <row r="75">
      <c r="A75" s="433" t="s">
        <v>857</v>
      </c>
      <c r="B75" s="430"/>
      <c r="C75" s="434">
        <v>3.7E7</v>
      </c>
      <c r="D75" s="422">
        <v>2018.0</v>
      </c>
      <c r="E75" s="425" t="s">
        <v>2255</v>
      </c>
      <c r="F75" s="487" t="s">
        <v>43</v>
      </c>
      <c r="G75" s="487" t="s">
        <v>51</v>
      </c>
      <c r="H75" s="435"/>
      <c r="I75" s="483">
        <v>2.0</v>
      </c>
      <c r="J75" s="490"/>
      <c r="K75" s="491"/>
      <c r="L75" s="492" t="s">
        <v>859</v>
      </c>
      <c r="M75" s="436" t="s">
        <v>860</v>
      </c>
      <c r="N75" s="437" t="s">
        <v>861</v>
      </c>
      <c r="O75" s="32">
        <v>289.0</v>
      </c>
    </row>
    <row r="76">
      <c r="A76" s="421" t="s">
        <v>862</v>
      </c>
      <c r="B76" s="422"/>
      <c r="C76" s="423">
        <v>1.0E7</v>
      </c>
      <c r="D76" s="422">
        <v>2018.0</v>
      </c>
      <c r="E76" s="422" t="s">
        <v>2290</v>
      </c>
      <c r="F76" s="488" t="s">
        <v>129</v>
      </c>
      <c r="G76" s="488" t="s">
        <v>23</v>
      </c>
      <c r="H76" s="426"/>
      <c r="I76" s="483">
        <v>1.0</v>
      </c>
      <c r="J76" s="490"/>
      <c r="K76" s="110"/>
      <c r="L76" s="480" t="s">
        <v>147</v>
      </c>
      <c r="M76" s="465" t="s">
        <v>864</v>
      </c>
      <c r="N76" s="431"/>
      <c r="O76" s="32">
        <v>288.0</v>
      </c>
    </row>
    <row r="77">
      <c r="A77" s="421" t="s">
        <v>865</v>
      </c>
      <c r="B77" s="422"/>
      <c r="C77" s="423">
        <v>9.2283889E7</v>
      </c>
      <c r="D77" s="422">
        <v>2018.0</v>
      </c>
      <c r="E77" s="422" t="s">
        <v>2234</v>
      </c>
      <c r="F77" s="488" t="s">
        <v>28</v>
      </c>
      <c r="G77" s="413" t="s">
        <v>23</v>
      </c>
      <c r="H77" s="426"/>
      <c r="I77" s="483">
        <v>1.0</v>
      </c>
      <c r="J77" s="490"/>
      <c r="K77" s="110"/>
      <c r="L77" s="480" t="s">
        <v>867</v>
      </c>
      <c r="M77" s="465" t="s">
        <v>868</v>
      </c>
      <c r="N77" s="431"/>
      <c r="O77" s="32">
        <v>287.0</v>
      </c>
    </row>
    <row r="78">
      <c r="A78" s="433" t="s">
        <v>869</v>
      </c>
      <c r="B78" s="430" t="s">
        <v>870</v>
      </c>
      <c r="C78" s="434">
        <v>5000000.0</v>
      </c>
      <c r="D78" s="438">
        <v>2018.0</v>
      </c>
      <c r="E78" s="425" t="s">
        <v>2314</v>
      </c>
      <c r="F78" s="487" t="s">
        <v>43</v>
      </c>
      <c r="G78" s="487" t="s">
        <v>23</v>
      </c>
      <c r="H78" s="419" t="s">
        <v>29</v>
      </c>
      <c r="I78" s="483">
        <v>3.0</v>
      </c>
      <c r="J78" s="490"/>
      <c r="K78" s="491"/>
      <c r="L78" s="492" t="s">
        <v>688</v>
      </c>
      <c r="M78" s="436" t="s">
        <v>872</v>
      </c>
      <c r="N78" s="432"/>
      <c r="O78" s="32">
        <v>286.0</v>
      </c>
    </row>
    <row r="79">
      <c r="A79" s="421" t="s">
        <v>873</v>
      </c>
      <c r="B79" s="422" t="s">
        <v>874</v>
      </c>
      <c r="C79" s="423">
        <v>1.4E7</v>
      </c>
      <c r="D79" s="422">
        <v>2018.0</v>
      </c>
      <c r="E79" s="422" t="s">
        <v>2282</v>
      </c>
      <c r="F79" s="488" t="s">
        <v>2163</v>
      </c>
      <c r="G79" s="488" t="s">
        <v>23</v>
      </c>
      <c r="H79" s="426"/>
      <c r="I79" s="483">
        <v>2.0</v>
      </c>
      <c r="J79" s="490"/>
      <c r="K79" s="110"/>
      <c r="L79" s="480" t="s">
        <v>876</v>
      </c>
      <c r="M79" s="465" t="s">
        <v>877</v>
      </c>
      <c r="N79" s="431"/>
      <c r="O79" s="32">
        <v>285.0</v>
      </c>
    </row>
    <row r="80">
      <c r="A80" s="421" t="s">
        <v>878</v>
      </c>
      <c r="B80" s="422"/>
      <c r="C80" s="423">
        <v>1.48E7</v>
      </c>
      <c r="D80" s="422">
        <v>2018.0</v>
      </c>
      <c r="E80" s="422" t="s">
        <v>2281</v>
      </c>
      <c r="F80" s="488" t="s">
        <v>28</v>
      </c>
      <c r="G80" s="488" t="s">
        <v>51</v>
      </c>
      <c r="H80" s="426"/>
      <c r="I80" s="483">
        <v>2.0</v>
      </c>
      <c r="J80" s="490"/>
      <c r="K80" s="110"/>
      <c r="L80" s="480" t="s">
        <v>880</v>
      </c>
      <c r="M80" s="465" t="s">
        <v>881</v>
      </c>
      <c r="N80" s="431"/>
      <c r="O80" s="32">
        <v>284.0</v>
      </c>
    </row>
    <row r="81">
      <c r="A81" s="421" t="s">
        <v>882</v>
      </c>
      <c r="B81" s="422"/>
      <c r="C81" s="423">
        <v>380000.0</v>
      </c>
      <c r="D81" s="422">
        <v>2018.0</v>
      </c>
      <c r="E81" s="422" t="s">
        <v>2429</v>
      </c>
      <c r="F81" s="488" t="s">
        <v>22</v>
      </c>
      <c r="G81" s="488" t="s">
        <v>23</v>
      </c>
      <c r="H81" s="426"/>
      <c r="I81" s="483">
        <v>4.0</v>
      </c>
      <c r="J81" s="490"/>
      <c r="K81" s="110"/>
      <c r="L81" s="480" t="s">
        <v>507</v>
      </c>
      <c r="M81" s="465" t="s">
        <v>884</v>
      </c>
      <c r="N81" s="431"/>
      <c r="O81" s="32">
        <v>283.0</v>
      </c>
    </row>
    <row r="82">
      <c r="A82" s="421" t="s">
        <v>341</v>
      </c>
      <c r="B82" s="422"/>
      <c r="C82" s="423">
        <v>2000000.0</v>
      </c>
      <c r="D82" s="422">
        <v>2018.0</v>
      </c>
      <c r="E82" s="422" t="s">
        <v>2362</v>
      </c>
      <c r="F82" s="488" t="s">
        <v>129</v>
      </c>
      <c r="G82" s="488" t="s">
        <v>23</v>
      </c>
      <c r="H82" s="426"/>
      <c r="I82" s="483">
        <v>1.0</v>
      </c>
      <c r="J82" s="490"/>
      <c r="K82" s="110"/>
      <c r="L82" s="480" t="s">
        <v>886</v>
      </c>
      <c r="M82" s="465" t="s">
        <v>887</v>
      </c>
      <c r="N82" s="431"/>
      <c r="O82" s="32">
        <v>282.0</v>
      </c>
    </row>
    <row r="83">
      <c r="A83" s="433" t="s">
        <v>888</v>
      </c>
      <c r="B83" s="430" t="s">
        <v>889</v>
      </c>
      <c r="C83" s="434">
        <v>1.5E8</v>
      </c>
      <c r="D83" s="438">
        <v>2018.0</v>
      </c>
      <c r="E83" s="425" t="s">
        <v>2195</v>
      </c>
      <c r="F83" s="487" t="s">
        <v>2163</v>
      </c>
      <c r="G83" s="487" t="s">
        <v>23</v>
      </c>
      <c r="H83" s="435"/>
      <c r="I83" s="493">
        <v>1.0</v>
      </c>
      <c r="J83" s="481">
        <v>1.5E8</v>
      </c>
      <c r="K83" s="491"/>
      <c r="L83" s="492" t="s">
        <v>507</v>
      </c>
      <c r="M83" s="436" t="s">
        <v>892</v>
      </c>
      <c r="N83" s="432"/>
      <c r="O83" s="32">
        <v>281.0</v>
      </c>
    </row>
    <row r="84">
      <c r="A84" s="421" t="s">
        <v>893</v>
      </c>
      <c r="B84" s="422" t="s">
        <v>894</v>
      </c>
      <c r="C84" s="423">
        <v>3000000.0</v>
      </c>
      <c r="D84" s="422">
        <v>2018.0</v>
      </c>
      <c r="E84" s="422" t="s">
        <v>2342</v>
      </c>
      <c r="F84" s="412" t="s">
        <v>258</v>
      </c>
      <c r="G84" s="488" t="s">
        <v>23</v>
      </c>
      <c r="H84" s="426"/>
      <c r="I84" s="483">
        <v>4.0</v>
      </c>
      <c r="J84" s="490"/>
      <c r="K84" s="110"/>
      <c r="L84" s="480" t="s">
        <v>896</v>
      </c>
      <c r="M84" s="465" t="s">
        <v>897</v>
      </c>
      <c r="N84" s="431"/>
      <c r="O84" s="32">
        <v>280.0</v>
      </c>
    </row>
    <row r="85">
      <c r="A85" s="421" t="s">
        <v>898</v>
      </c>
      <c r="B85" s="422" t="s">
        <v>899</v>
      </c>
      <c r="C85" s="423">
        <v>1.2E8</v>
      </c>
      <c r="D85" s="422">
        <v>2018.0</v>
      </c>
      <c r="E85" s="422" t="s">
        <v>2200</v>
      </c>
      <c r="F85" s="488" t="s">
        <v>2163</v>
      </c>
      <c r="G85" s="488" t="s">
        <v>51</v>
      </c>
      <c r="H85" s="422" t="s">
        <v>29</v>
      </c>
      <c r="I85" s="483">
        <v>1.0</v>
      </c>
      <c r="J85" s="481">
        <v>1.2E8</v>
      </c>
      <c r="K85" s="110"/>
      <c r="L85" s="480" t="s">
        <v>902</v>
      </c>
      <c r="M85" s="465" t="s">
        <v>903</v>
      </c>
      <c r="N85" s="431"/>
      <c r="O85" s="32">
        <v>279.0</v>
      </c>
    </row>
    <row r="86">
      <c r="A86" s="421" t="s">
        <v>144</v>
      </c>
      <c r="B86" s="422"/>
      <c r="C86" s="423">
        <v>40000.0</v>
      </c>
      <c r="D86" s="422">
        <v>2018.0</v>
      </c>
      <c r="E86" s="422" t="s">
        <v>2496</v>
      </c>
      <c r="F86" s="488" t="s">
        <v>28</v>
      </c>
      <c r="G86" s="488" t="s">
        <v>23</v>
      </c>
      <c r="H86" s="426"/>
      <c r="I86" s="483">
        <v>3.0</v>
      </c>
      <c r="J86" s="490"/>
      <c r="K86" s="110"/>
      <c r="L86" s="491" t="s">
        <v>905</v>
      </c>
      <c r="M86" s="125" t="s">
        <v>906</v>
      </c>
      <c r="N86" s="432"/>
      <c r="O86" s="32">
        <v>278.0</v>
      </c>
    </row>
    <row r="87">
      <c r="A87" s="421" t="s">
        <v>907</v>
      </c>
      <c r="B87" s="126" t="s">
        <v>908</v>
      </c>
      <c r="C87" s="423">
        <v>1.0E8</v>
      </c>
      <c r="D87" s="422">
        <v>2018.0</v>
      </c>
      <c r="E87" s="422" t="s">
        <v>2206</v>
      </c>
      <c r="F87" s="488" t="s">
        <v>2163</v>
      </c>
      <c r="G87" s="488" t="s">
        <v>51</v>
      </c>
      <c r="H87" s="426"/>
      <c r="I87" s="483">
        <v>5.0</v>
      </c>
      <c r="J87" s="481">
        <v>1.0E8</v>
      </c>
      <c r="K87" s="110"/>
      <c r="L87" s="480" t="s">
        <v>85</v>
      </c>
      <c r="M87" s="465" t="s">
        <v>910</v>
      </c>
      <c r="N87" s="431"/>
      <c r="O87" s="32">
        <v>277.0</v>
      </c>
    </row>
    <row r="88">
      <c r="A88" s="421" t="s">
        <v>911</v>
      </c>
      <c r="B88" s="422" t="s">
        <v>912</v>
      </c>
      <c r="C88" s="22">
        <v>5.5E8</v>
      </c>
      <c r="D88" s="422">
        <v>2018.0</v>
      </c>
      <c r="E88" s="422" t="s">
        <v>2177</v>
      </c>
      <c r="F88" s="488" t="s">
        <v>64</v>
      </c>
      <c r="G88" s="487" t="s">
        <v>51</v>
      </c>
      <c r="H88" s="426"/>
      <c r="I88" s="483">
        <v>4.0</v>
      </c>
      <c r="J88" s="484">
        <v>1.1E9</v>
      </c>
      <c r="K88" s="110"/>
      <c r="L88" s="480" t="s">
        <v>571</v>
      </c>
      <c r="M88" s="465" t="s">
        <v>915</v>
      </c>
      <c r="N88" s="431"/>
      <c r="O88" s="32">
        <v>276.0</v>
      </c>
    </row>
    <row r="89">
      <c r="A89" s="421" t="s">
        <v>916</v>
      </c>
      <c r="B89" s="422"/>
      <c r="C89" s="423">
        <v>3000000.0</v>
      </c>
      <c r="D89" s="422">
        <v>2018.0</v>
      </c>
      <c r="E89" s="422" t="s">
        <v>2343</v>
      </c>
      <c r="F89" s="488" t="s">
        <v>2163</v>
      </c>
      <c r="G89" s="488" t="s">
        <v>51</v>
      </c>
      <c r="H89" s="426"/>
      <c r="I89" s="483">
        <v>3.0</v>
      </c>
      <c r="J89" s="490"/>
      <c r="K89" s="110"/>
      <c r="L89" s="480" t="s">
        <v>918</v>
      </c>
      <c r="M89" s="465" t="s">
        <v>919</v>
      </c>
      <c r="N89" s="431"/>
      <c r="O89" s="32">
        <v>275.0</v>
      </c>
    </row>
    <row r="90">
      <c r="A90" s="421" t="s">
        <v>920</v>
      </c>
      <c r="B90" s="422"/>
      <c r="C90" s="423">
        <v>880000.0</v>
      </c>
      <c r="D90" s="422">
        <v>2018.0</v>
      </c>
      <c r="E90" s="422" t="s">
        <v>2400</v>
      </c>
      <c r="F90" s="488" t="s">
        <v>28</v>
      </c>
      <c r="G90" s="488" t="s">
        <v>23</v>
      </c>
      <c r="H90" s="426"/>
      <c r="I90" s="483">
        <v>3.0</v>
      </c>
      <c r="J90" s="490"/>
      <c r="K90" s="110"/>
      <c r="L90" s="480" t="s">
        <v>922</v>
      </c>
      <c r="M90" s="465" t="s">
        <v>923</v>
      </c>
      <c r="N90" s="431"/>
      <c r="O90" s="32">
        <v>274.0</v>
      </c>
    </row>
    <row r="91">
      <c r="A91" s="421" t="s">
        <v>924</v>
      </c>
      <c r="B91" s="422" t="s">
        <v>925</v>
      </c>
      <c r="C91" s="423">
        <v>1300000.0</v>
      </c>
      <c r="D91" s="422">
        <v>2018.0</v>
      </c>
      <c r="E91" s="422" t="s">
        <v>2384</v>
      </c>
      <c r="F91" s="488" t="s">
        <v>43</v>
      </c>
      <c r="G91" s="487" t="s">
        <v>51</v>
      </c>
      <c r="H91" s="426"/>
      <c r="I91" s="483">
        <v>4.0</v>
      </c>
      <c r="J91" s="490"/>
      <c r="K91" s="110"/>
      <c r="L91" s="480" t="s">
        <v>927</v>
      </c>
      <c r="M91" s="465" t="s">
        <v>928</v>
      </c>
      <c r="N91" s="431"/>
      <c r="O91" s="32">
        <v>273.0</v>
      </c>
    </row>
    <row r="92">
      <c r="A92" s="421" t="s">
        <v>929</v>
      </c>
      <c r="B92" s="422" t="s">
        <v>930</v>
      </c>
      <c r="C92" s="423">
        <v>4.8E7</v>
      </c>
      <c r="D92" s="422">
        <v>2018.0</v>
      </c>
      <c r="E92" s="422" t="s">
        <v>2247</v>
      </c>
      <c r="F92" s="488" t="s">
        <v>28</v>
      </c>
      <c r="G92" s="488" t="s">
        <v>51</v>
      </c>
      <c r="H92" s="426"/>
      <c r="I92" s="483">
        <v>2.0</v>
      </c>
      <c r="J92" s="490"/>
      <c r="K92" s="110"/>
      <c r="L92" s="480" t="s">
        <v>932</v>
      </c>
      <c r="M92" s="465" t="s">
        <v>933</v>
      </c>
      <c r="N92" s="431"/>
      <c r="O92" s="32">
        <v>272.0</v>
      </c>
    </row>
    <row r="93">
      <c r="A93" s="421" t="s">
        <v>407</v>
      </c>
      <c r="B93" s="422"/>
      <c r="C93" s="423">
        <v>3.3E8</v>
      </c>
      <c r="D93" s="422">
        <v>2018.0</v>
      </c>
      <c r="E93" s="422" t="s">
        <v>2186</v>
      </c>
      <c r="F93" s="488" t="s">
        <v>50</v>
      </c>
      <c r="G93" s="488" t="s">
        <v>51</v>
      </c>
      <c r="H93" s="426"/>
      <c r="I93" s="483">
        <v>1.0</v>
      </c>
      <c r="J93" s="484">
        <v>3.3E8</v>
      </c>
      <c r="K93" s="110"/>
      <c r="L93" s="480" t="s">
        <v>286</v>
      </c>
      <c r="M93" s="465" t="s">
        <v>936</v>
      </c>
      <c r="N93" s="431"/>
      <c r="O93" s="32">
        <v>271.0</v>
      </c>
    </row>
    <row r="94">
      <c r="A94" s="433" t="s">
        <v>937</v>
      </c>
      <c r="B94" s="430" t="s">
        <v>938</v>
      </c>
      <c r="C94" s="434">
        <v>934000.0</v>
      </c>
      <c r="D94" s="438">
        <v>2018.0</v>
      </c>
      <c r="E94" s="425" t="s">
        <v>2399</v>
      </c>
      <c r="F94" s="487" t="s">
        <v>22</v>
      </c>
      <c r="G94" s="413" t="s">
        <v>142</v>
      </c>
      <c r="H94" s="441"/>
      <c r="I94" s="480">
        <v>4.0</v>
      </c>
      <c r="J94" s="490"/>
      <c r="K94" s="491"/>
      <c r="L94" s="491" t="s">
        <v>940</v>
      </c>
      <c r="M94" s="436" t="s">
        <v>941</v>
      </c>
      <c r="N94" s="432"/>
      <c r="O94" s="32">
        <v>270.0</v>
      </c>
    </row>
    <row r="95">
      <c r="A95" s="421" t="s">
        <v>942</v>
      </c>
      <c r="B95" s="422"/>
      <c r="C95" s="423">
        <v>2.7E7</v>
      </c>
      <c r="D95" s="422">
        <v>2018.0</v>
      </c>
      <c r="E95" s="422" t="s">
        <v>2264</v>
      </c>
      <c r="F95" s="488" t="s">
        <v>28</v>
      </c>
      <c r="G95" s="488" t="s">
        <v>23</v>
      </c>
      <c r="H95" s="426"/>
      <c r="I95" s="483">
        <v>2.0</v>
      </c>
      <c r="J95" s="490"/>
      <c r="K95" s="110"/>
      <c r="L95" s="480" t="s">
        <v>314</v>
      </c>
      <c r="M95" s="465" t="s">
        <v>944</v>
      </c>
      <c r="N95" s="431"/>
      <c r="O95" s="32">
        <v>269.0</v>
      </c>
    </row>
    <row r="96">
      <c r="A96" s="442" t="s">
        <v>945</v>
      </c>
      <c r="B96" s="443"/>
      <c r="C96" s="444">
        <v>5000000.0</v>
      </c>
      <c r="D96" s="445">
        <v>2018.0</v>
      </c>
      <c r="E96" s="445" t="s">
        <v>2315</v>
      </c>
      <c r="F96" s="494" t="s">
        <v>43</v>
      </c>
      <c r="G96" s="495" t="s">
        <v>142</v>
      </c>
      <c r="H96" s="448"/>
      <c r="I96" s="496">
        <v>1.0</v>
      </c>
      <c r="J96" s="497"/>
      <c r="K96" s="452"/>
      <c r="L96" s="498" t="s">
        <v>507</v>
      </c>
      <c r="M96" s="469" t="s">
        <v>947</v>
      </c>
      <c r="N96" s="451"/>
      <c r="O96" s="32">
        <v>268.0</v>
      </c>
    </row>
    <row r="97">
      <c r="A97" s="421" t="s">
        <v>948</v>
      </c>
      <c r="B97" s="422" t="s">
        <v>949</v>
      </c>
      <c r="C97" s="423">
        <v>309000.0</v>
      </c>
      <c r="D97" s="422">
        <v>2018.0</v>
      </c>
      <c r="E97" s="422" t="s">
        <v>2432</v>
      </c>
      <c r="F97" s="488" t="s">
        <v>2163</v>
      </c>
      <c r="G97" s="413" t="s">
        <v>51</v>
      </c>
      <c r="H97" s="426"/>
      <c r="I97" s="483">
        <v>2.0</v>
      </c>
      <c r="J97" s="484"/>
      <c r="K97" s="110"/>
      <c r="L97" s="480" t="s">
        <v>34</v>
      </c>
      <c r="M97" s="465" t="s">
        <v>951</v>
      </c>
      <c r="N97" s="431"/>
      <c r="O97" s="32">
        <v>267.0</v>
      </c>
    </row>
    <row r="98">
      <c r="A98" s="442" t="s">
        <v>952</v>
      </c>
      <c r="B98" s="445"/>
      <c r="C98" s="444">
        <v>100000.0</v>
      </c>
      <c r="D98" s="445">
        <v>2018.0</v>
      </c>
      <c r="E98" s="445" t="s">
        <v>2477</v>
      </c>
      <c r="F98" s="494" t="s">
        <v>50</v>
      </c>
      <c r="G98" s="495" t="s">
        <v>23</v>
      </c>
      <c r="H98" s="448"/>
      <c r="I98" s="496">
        <v>1.0</v>
      </c>
      <c r="J98" s="497"/>
      <c r="K98" s="452"/>
      <c r="L98" s="496" t="s">
        <v>608</v>
      </c>
      <c r="M98" s="469" t="s">
        <v>954</v>
      </c>
      <c r="N98" s="453"/>
      <c r="O98" s="32">
        <v>266.0</v>
      </c>
    </row>
    <row r="99">
      <c r="A99" s="20" t="s">
        <v>955</v>
      </c>
      <c r="B99" s="111" t="s">
        <v>956</v>
      </c>
      <c r="C99" s="22">
        <v>411000.0</v>
      </c>
      <c r="D99" s="26">
        <v>2018.0</v>
      </c>
      <c r="E99" s="26" t="s">
        <v>2424</v>
      </c>
      <c r="F99" s="499" t="s">
        <v>28</v>
      </c>
      <c r="G99" s="412" t="s">
        <v>23</v>
      </c>
      <c r="H99" s="28"/>
      <c r="I99" s="480">
        <v>2.0</v>
      </c>
      <c r="J99" s="481"/>
      <c r="K99" s="110"/>
      <c r="L99" s="482" t="s">
        <v>958</v>
      </c>
      <c r="M99" s="106" t="s">
        <v>959</v>
      </c>
      <c r="N99" s="109"/>
      <c r="O99" s="32">
        <v>265.0</v>
      </c>
    </row>
    <row r="100">
      <c r="A100" s="421" t="s">
        <v>960</v>
      </c>
      <c r="B100" s="422"/>
      <c r="C100" s="423">
        <v>3.2E7</v>
      </c>
      <c r="D100" s="422">
        <v>2018.0</v>
      </c>
      <c r="E100" s="422" t="s">
        <v>2258</v>
      </c>
      <c r="F100" s="488" t="s">
        <v>129</v>
      </c>
      <c r="G100" s="413" t="s">
        <v>51</v>
      </c>
      <c r="H100" s="426"/>
      <c r="I100" s="483">
        <v>1.0</v>
      </c>
      <c r="J100" s="484"/>
      <c r="K100" s="110"/>
      <c r="L100" s="480" t="s">
        <v>85</v>
      </c>
      <c r="M100" s="465" t="s">
        <v>962</v>
      </c>
      <c r="N100" s="431"/>
      <c r="O100" s="32">
        <v>264.0</v>
      </c>
    </row>
    <row r="101">
      <c r="A101" s="421" t="s">
        <v>963</v>
      </c>
      <c r="B101" s="422" t="s">
        <v>964</v>
      </c>
      <c r="C101" s="423">
        <v>16300.0</v>
      </c>
      <c r="D101" s="422">
        <v>2018.0</v>
      </c>
      <c r="E101" s="422" t="s">
        <v>2501</v>
      </c>
      <c r="F101" s="488" t="s">
        <v>43</v>
      </c>
      <c r="G101" s="413" t="s">
        <v>23</v>
      </c>
      <c r="H101" s="426"/>
      <c r="I101" s="483">
        <v>4.0</v>
      </c>
      <c r="J101" s="484"/>
      <c r="K101" s="110"/>
      <c r="L101" s="480" t="s">
        <v>147</v>
      </c>
      <c r="M101" s="465" t="s">
        <v>966</v>
      </c>
      <c r="N101" s="431"/>
      <c r="O101" s="32">
        <v>263.0</v>
      </c>
    </row>
    <row r="102">
      <c r="A102" s="20" t="s">
        <v>967</v>
      </c>
      <c r="B102" s="111" t="s">
        <v>968</v>
      </c>
      <c r="C102" s="22">
        <v>93689.0</v>
      </c>
      <c r="D102" s="26">
        <v>2018.0</v>
      </c>
      <c r="E102" s="26" t="s">
        <v>2482</v>
      </c>
      <c r="F102" s="412" t="s">
        <v>258</v>
      </c>
      <c r="G102" s="412" t="s">
        <v>23</v>
      </c>
      <c r="H102" s="28"/>
      <c r="I102" s="480">
        <v>2.0</v>
      </c>
      <c r="J102" s="481"/>
      <c r="K102" s="110"/>
      <c r="L102" s="482" t="s">
        <v>970</v>
      </c>
      <c r="M102" s="106" t="s">
        <v>971</v>
      </c>
      <c r="N102" s="109"/>
      <c r="O102" s="32">
        <v>262.0</v>
      </c>
    </row>
    <row r="103">
      <c r="A103" s="421" t="s">
        <v>588</v>
      </c>
      <c r="B103" s="422"/>
      <c r="C103" s="423">
        <v>2.9E7</v>
      </c>
      <c r="D103" s="422">
        <v>2018.0</v>
      </c>
      <c r="E103" s="422" t="s">
        <v>2262</v>
      </c>
      <c r="F103" s="488" t="s">
        <v>28</v>
      </c>
      <c r="G103" s="488" t="s">
        <v>23</v>
      </c>
      <c r="H103" s="426"/>
      <c r="I103" s="483">
        <v>2.0</v>
      </c>
      <c r="J103" s="490"/>
      <c r="K103" s="110"/>
      <c r="L103" s="480" t="s">
        <v>973</v>
      </c>
      <c r="M103" s="465" t="s">
        <v>974</v>
      </c>
      <c r="N103" s="465" t="s">
        <v>975</v>
      </c>
      <c r="O103" s="32">
        <v>261.0</v>
      </c>
    </row>
    <row r="104">
      <c r="A104" s="442" t="s">
        <v>976</v>
      </c>
      <c r="B104" s="445"/>
      <c r="C104" s="444">
        <v>4.5E7</v>
      </c>
      <c r="D104" s="445">
        <v>2018.0</v>
      </c>
      <c r="E104" s="445" t="s">
        <v>2249</v>
      </c>
      <c r="F104" s="494" t="s">
        <v>43</v>
      </c>
      <c r="G104" s="494" t="s">
        <v>23</v>
      </c>
      <c r="H104" s="445" t="s">
        <v>29</v>
      </c>
      <c r="I104" s="496">
        <v>3.0</v>
      </c>
      <c r="J104" s="500"/>
      <c r="K104" s="452"/>
      <c r="L104" s="496" t="s">
        <v>880</v>
      </c>
      <c r="M104" s="469" t="s">
        <v>978</v>
      </c>
      <c r="N104" s="453"/>
      <c r="O104" s="32">
        <v>260.0</v>
      </c>
    </row>
    <row r="105">
      <c r="A105" s="20" t="s">
        <v>979</v>
      </c>
      <c r="B105" s="98" t="s">
        <v>980</v>
      </c>
      <c r="C105" s="22">
        <v>1100.0</v>
      </c>
      <c r="D105" s="26">
        <v>2016.0</v>
      </c>
      <c r="E105" s="26" t="s">
        <v>2232</v>
      </c>
      <c r="F105" s="412" t="s">
        <v>58</v>
      </c>
      <c r="G105" s="412" t="s">
        <v>59</v>
      </c>
      <c r="H105" s="28"/>
      <c r="I105" s="480">
        <v>5.0</v>
      </c>
      <c r="J105" s="481">
        <v>188000.0</v>
      </c>
      <c r="K105" s="110"/>
      <c r="L105" s="482" t="s">
        <v>983</v>
      </c>
      <c r="M105" s="467" t="s">
        <v>984</v>
      </c>
      <c r="N105" s="31"/>
      <c r="O105" s="32">
        <v>259.0</v>
      </c>
    </row>
    <row r="106">
      <c r="A106" s="20" t="s">
        <v>985</v>
      </c>
      <c r="B106" s="98" t="s">
        <v>986</v>
      </c>
      <c r="C106" s="22">
        <v>2.0E8</v>
      </c>
      <c r="D106" s="26">
        <v>2018.0</v>
      </c>
      <c r="E106" s="26" t="s">
        <v>2190</v>
      </c>
      <c r="F106" s="412" t="s">
        <v>50</v>
      </c>
      <c r="G106" s="412" t="s">
        <v>51</v>
      </c>
      <c r="H106" s="28"/>
      <c r="I106" s="480">
        <v>1.0</v>
      </c>
      <c r="J106" s="481">
        <v>2.0E8</v>
      </c>
      <c r="K106" s="110"/>
      <c r="L106" s="482" t="s">
        <v>410</v>
      </c>
      <c r="M106" s="467" t="s">
        <v>988</v>
      </c>
      <c r="N106" s="31"/>
      <c r="O106" s="32">
        <v>258.0</v>
      </c>
    </row>
    <row r="107">
      <c r="A107" s="131" t="s">
        <v>989</v>
      </c>
      <c r="B107" s="132"/>
      <c r="C107" s="133">
        <v>1.75E7</v>
      </c>
      <c r="D107" s="26">
        <v>2017.0</v>
      </c>
      <c r="E107" s="105" t="s">
        <v>2276</v>
      </c>
      <c r="F107" s="12" t="s">
        <v>28</v>
      </c>
      <c r="G107" s="12" t="s">
        <v>23</v>
      </c>
      <c r="H107" s="120"/>
      <c r="I107" s="480">
        <v>4.0</v>
      </c>
      <c r="J107" s="490"/>
      <c r="K107" s="491"/>
      <c r="L107" s="491" t="s">
        <v>608</v>
      </c>
      <c r="M107" s="122" t="s">
        <v>991</v>
      </c>
      <c r="N107" s="117"/>
      <c r="O107" s="32">
        <v>257.0</v>
      </c>
    </row>
    <row r="108">
      <c r="A108" s="20" t="s">
        <v>992</v>
      </c>
      <c r="B108" s="26"/>
      <c r="C108" s="22">
        <v>300000.0</v>
      </c>
      <c r="D108" s="26">
        <v>2017.0</v>
      </c>
      <c r="E108" s="26" t="s">
        <v>2434</v>
      </c>
      <c r="F108" s="412" t="s">
        <v>28</v>
      </c>
      <c r="G108" s="499" t="s">
        <v>51</v>
      </c>
      <c r="H108" s="26" t="s">
        <v>29</v>
      </c>
      <c r="I108" s="480">
        <v>4.0</v>
      </c>
      <c r="J108" s="490"/>
      <c r="K108" s="110"/>
      <c r="L108" s="480" t="s">
        <v>994</v>
      </c>
      <c r="M108" s="106" t="s">
        <v>995</v>
      </c>
      <c r="N108" s="113"/>
      <c r="O108" s="32">
        <v>256.0</v>
      </c>
    </row>
    <row r="109">
      <c r="A109" s="20" t="s">
        <v>996</v>
      </c>
      <c r="B109" s="26"/>
      <c r="C109" s="22">
        <v>3.2E7</v>
      </c>
      <c r="D109" s="26">
        <v>2017.0</v>
      </c>
      <c r="E109" s="26" t="s">
        <v>2259</v>
      </c>
      <c r="F109" s="412" t="s">
        <v>28</v>
      </c>
      <c r="G109" s="412" t="s">
        <v>23</v>
      </c>
      <c r="H109" s="28"/>
      <c r="I109" s="480">
        <v>4.0</v>
      </c>
      <c r="J109" s="490"/>
      <c r="K109" s="110"/>
      <c r="L109" s="491" t="s">
        <v>998</v>
      </c>
      <c r="M109" s="106" t="s">
        <v>999</v>
      </c>
      <c r="N109" s="113"/>
      <c r="O109" s="32">
        <v>255.0</v>
      </c>
    </row>
    <row r="110">
      <c r="A110" s="20" t="s">
        <v>288</v>
      </c>
      <c r="B110" s="26"/>
      <c r="C110" s="22">
        <v>5.7E7</v>
      </c>
      <c r="D110" s="150">
        <v>2017.0</v>
      </c>
      <c r="E110" s="26" t="s">
        <v>2213</v>
      </c>
      <c r="F110" s="412" t="s">
        <v>2163</v>
      </c>
      <c r="G110" s="412" t="s">
        <v>23</v>
      </c>
      <c r="H110" s="26" t="s">
        <v>29</v>
      </c>
      <c r="I110" s="480">
        <v>1.0</v>
      </c>
      <c r="J110" s="481">
        <v>5.7E7</v>
      </c>
      <c r="K110" s="491"/>
      <c r="L110" s="482" t="s">
        <v>867</v>
      </c>
      <c r="M110" s="106" t="s">
        <v>1002</v>
      </c>
      <c r="N110" s="113"/>
      <c r="O110" s="32">
        <v>254.0</v>
      </c>
    </row>
    <row r="111">
      <c r="A111" s="20" t="s">
        <v>1003</v>
      </c>
      <c r="B111" s="26"/>
      <c r="C111" s="22">
        <v>270000.0</v>
      </c>
      <c r="D111" s="26">
        <v>2017.0</v>
      </c>
      <c r="E111" s="26" t="s">
        <v>2440</v>
      </c>
      <c r="F111" s="412" t="s">
        <v>58</v>
      </c>
      <c r="G111" s="412" t="s">
        <v>23</v>
      </c>
      <c r="H111" s="28"/>
      <c r="I111" s="480">
        <v>4.0</v>
      </c>
      <c r="J111" s="490"/>
      <c r="K111" s="110"/>
      <c r="L111" s="491" t="s">
        <v>325</v>
      </c>
      <c r="M111" s="106" t="s">
        <v>1005</v>
      </c>
      <c r="N111" s="113"/>
      <c r="O111" s="32">
        <v>253.0</v>
      </c>
    </row>
    <row r="112">
      <c r="A112" s="20" t="s">
        <v>1006</v>
      </c>
      <c r="B112" s="26"/>
      <c r="C112" s="22">
        <v>1700000.0</v>
      </c>
      <c r="D112" s="26">
        <v>2017.0</v>
      </c>
      <c r="E112" s="26" t="s">
        <v>2370</v>
      </c>
      <c r="F112" s="412" t="s">
        <v>2163</v>
      </c>
      <c r="G112" s="412" t="s">
        <v>23</v>
      </c>
      <c r="H112" s="26" t="s">
        <v>29</v>
      </c>
      <c r="I112" s="480">
        <v>1.0</v>
      </c>
      <c r="J112" s="490"/>
      <c r="K112" s="110"/>
      <c r="L112" s="491" t="s">
        <v>1008</v>
      </c>
      <c r="M112" s="106" t="s">
        <v>1009</v>
      </c>
      <c r="N112" s="113"/>
      <c r="O112" s="32">
        <v>252.0</v>
      </c>
    </row>
    <row r="113">
      <c r="A113" s="52" t="s">
        <v>1010</v>
      </c>
      <c r="B113" s="53"/>
      <c r="C113" s="22">
        <v>5.2E8</v>
      </c>
      <c r="D113" s="26">
        <v>2017.0</v>
      </c>
      <c r="E113" s="34" t="s">
        <v>2179</v>
      </c>
      <c r="F113" s="412" t="s">
        <v>28</v>
      </c>
      <c r="G113" s="412" t="s">
        <v>51</v>
      </c>
      <c r="H113" s="34"/>
      <c r="I113" s="480">
        <v>4.0</v>
      </c>
      <c r="J113" s="481">
        <v>7.11E8</v>
      </c>
      <c r="K113" s="491"/>
      <c r="L113" s="491" t="s">
        <v>325</v>
      </c>
      <c r="M113" s="135" t="s">
        <v>1013</v>
      </c>
      <c r="N113" s="136"/>
      <c r="O113" s="32">
        <v>251.0</v>
      </c>
    </row>
    <row r="114">
      <c r="A114" s="52" t="s">
        <v>1014</v>
      </c>
      <c r="B114" s="53"/>
      <c r="C114" s="22">
        <v>2000000.0</v>
      </c>
      <c r="D114" s="26">
        <v>2017.0</v>
      </c>
      <c r="E114" s="34" t="s">
        <v>2363</v>
      </c>
      <c r="F114" s="412" t="s">
        <v>43</v>
      </c>
      <c r="G114" s="413" t="s">
        <v>142</v>
      </c>
      <c r="H114" s="115"/>
      <c r="I114" s="480">
        <v>3.0</v>
      </c>
      <c r="J114" s="490"/>
      <c r="K114" s="491"/>
      <c r="L114" s="482" t="s">
        <v>629</v>
      </c>
      <c r="M114" s="135" t="s">
        <v>1016</v>
      </c>
      <c r="N114" s="136"/>
      <c r="O114" s="32">
        <v>250.0</v>
      </c>
    </row>
    <row r="115">
      <c r="A115" s="20" t="s">
        <v>1017</v>
      </c>
      <c r="B115" s="26"/>
      <c r="C115" s="22">
        <v>3.1E7</v>
      </c>
      <c r="D115" s="150">
        <v>2017.0</v>
      </c>
      <c r="E115" s="26" t="s">
        <v>2261</v>
      </c>
      <c r="F115" s="412" t="s">
        <v>2163</v>
      </c>
      <c r="G115" s="501" t="s">
        <v>51</v>
      </c>
      <c r="H115" s="28"/>
      <c r="I115" s="480">
        <v>4.0</v>
      </c>
      <c r="J115" s="490"/>
      <c r="K115" s="110"/>
      <c r="L115" s="480" t="s">
        <v>571</v>
      </c>
      <c r="M115" s="106" t="s">
        <v>1019</v>
      </c>
      <c r="N115" s="113"/>
      <c r="O115" s="32">
        <v>249.0</v>
      </c>
    </row>
    <row r="116">
      <c r="A116" s="20" t="s">
        <v>1020</v>
      </c>
      <c r="B116" s="26"/>
      <c r="C116" s="22">
        <v>3000000.0</v>
      </c>
      <c r="D116" s="26">
        <v>2017.0</v>
      </c>
      <c r="E116" s="26" t="s">
        <v>2344</v>
      </c>
      <c r="F116" s="412" t="s">
        <v>50</v>
      </c>
      <c r="G116" s="412" t="s">
        <v>23</v>
      </c>
      <c r="H116" s="26" t="s">
        <v>29</v>
      </c>
      <c r="I116" s="480">
        <v>2.0</v>
      </c>
      <c r="J116" s="490"/>
      <c r="K116" s="110"/>
      <c r="L116" s="482" t="s">
        <v>30</v>
      </c>
      <c r="M116" s="106" t="s">
        <v>1022</v>
      </c>
      <c r="N116" s="113"/>
      <c r="O116" s="32">
        <v>248.0</v>
      </c>
    </row>
    <row r="117">
      <c r="A117" s="20" t="s">
        <v>1023</v>
      </c>
      <c r="B117" s="26" t="s">
        <v>1024</v>
      </c>
      <c r="C117" s="22">
        <v>1000000.0</v>
      </c>
      <c r="D117" s="26">
        <v>2017.0</v>
      </c>
      <c r="E117" s="26" t="s">
        <v>2392</v>
      </c>
      <c r="F117" s="412" t="s">
        <v>2163</v>
      </c>
      <c r="G117" s="412" t="s">
        <v>51</v>
      </c>
      <c r="H117" s="28"/>
      <c r="I117" s="480">
        <v>3.0</v>
      </c>
      <c r="J117" s="490"/>
      <c r="K117" s="110"/>
      <c r="L117" s="491" t="s">
        <v>1026</v>
      </c>
      <c r="M117" s="106" t="s">
        <v>1027</v>
      </c>
      <c r="N117" s="113"/>
      <c r="O117" s="32">
        <v>247.0</v>
      </c>
    </row>
    <row r="118">
      <c r="A118" s="52" t="s">
        <v>1028</v>
      </c>
      <c r="B118" s="34"/>
      <c r="C118" s="22">
        <v>3000000.0</v>
      </c>
      <c r="D118" s="26">
        <v>2017.0</v>
      </c>
      <c r="E118" s="34" t="s">
        <v>2345</v>
      </c>
      <c r="F118" s="412" t="s">
        <v>64</v>
      </c>
      <c r="G118" s="412" t="s">
        <v>51</v>
      </c>
      <c r="H118" s="34" t="s">
        <v>29</v>
      </c>
      <c r="I118" s="480">
        <v>5.0</v>
      </c>
      <c r="J118" s="490"/>
      <c r="K118" s="491"/>
      <c r="L118" s="491" t="s">
        <v>1030</v>
      </c>
      <c r="M118" s="135" t="s">
        <v>1031</v>
      </c>
      <c r="N118" s="136"/>
      <c r="O118" s="32">
        <v>246.0</v>
      </c>
    </row>
    <row r="119">
      <c r="A119" s="20" t="s">
        <v>1032</v>
      </c>
      <c r="B119" s="130"/>
      <c r="C119" s="22">
        <v>3700000.0</v>
      </c>
      <c r="D119" s="26">
        <v>2017.0</v>
      </c>
      <c r="E119" s="26" t="s">
        <v>2336</v>
      </c>
      <c r="F119" s="412" t="s">
        <v>64</v>
      </c>
      <c r="G119" s="412" t="s">
        <v>1034</v>
      </c>
      <c r="H119" s="130"/>
      <c r="I119" s="480">
        <v>2.0</v>
      </c>
      <c r="J119" s="490"/>
      <c r="K119" s="110"/>
      <c r="L119" s="491" t="s">
        <v>1035</v>
      </c>
      <c r="M119" s="106" t="s">
        <v>1036</v>
      </c>
      <c r="N119" s="113"/>
      <c r="O119" s="32">
        <v>245.0</v>
      </c>
    </row>
    <row r="120">
      <c r="A120" s="137" t="s">
        <v>1037</v>
      </c>
      <c r="B120" s="138" t="s">
        <v>1038</v>
      </c>
      <c r="C120" s="22">
        <v>3.4E8</v>
      </c>
      <c r="D120" s="26">
        <v>2017.0</v>
      </c>
      <c r="E120" s="26" t="s">
        <v>2185</v>
      </c>
      <c r="F120" s="502" t="s">
        <v>28</v>
      </c>
      <c r="G120" s="413" t="s">
        <v>142</v>
      </c>
      <c r="H120" s="53"/>
      <c r="I120" s="480">
        <v>2.0</v>
      </c>
      <c r="J120" s="481">
        <v>3.4E8</v>
      </c>
      <c r="K120" s="491"/>
      <c r="L120" s="482" t="s">
        <v>507</v>
      </c>
      <c r="M120" s="106" t="s">
        <v>1041</v>
      </c>
      <c r="N120" s="117"/>
      <c r="O120" s="32">
        <v>244.0</v>
      </c>
    </row>
    <row r="121">
      <c r="A121" s="20" t="s">
        <v>1042</v>
      </c>
      <c r="B121" s="26" t="s">
        <v>1043</v>
      </c>
      <c r="C121" s="22">
        <v>700000.0</v>
      </c>
      <c r="D121" s="26">
        <v>2017.0</v>
      </c>
      <c r="E121" s="26" t="s">
        <v>2410</v>
      </c>
      <c r="F121" s="412" t="s">
        <v>28</v>
      </c>
      <c r="G121" s="412" t="s">
        <v>23</v>
      </c>
      <c r="H121" s="28"/>
      <c r="I121" s="480">
        <v>4.0</v>
      </c>
      <c r="J121" s="490"/>
      <c r="K121" s="110"/>
      <c r="L121" s="491" t="s">
        <v>608</v>
      </c>
      <c r="M121" s="106" t="s">
        <v>1045</v>
      </c>
      <c r="N121" s="113"/>
      <c r="O121" s="32">
        <v>243.0</v>
      </c>
    </row>
    <row r="122">
      <c r="A122" s="20" t="s">
        <v>1046</v>
      </c>
      <c r="B122" s="26"/>
      <c r="C122" s="22">
        <v>1900000.0</v>
      </c>
      <c r="D122" s="26">
        <v>2017.0</v>
      </c>
      <c r="E122" s="26" t="s">
        <v>2367</v>
      </c>
      <c r="F122" s="412" t="s">
        <v>129</v>
      </c>
      <c r="G122" s="412" t="s">
        <v>23</v>
      </c>
      <c r="H122" s="28"/>
      <c r="I122" s="480">
        <v>1.0</v>
      </c>
      <c r="J122" s="490"/>
      <c r="K122" s="110"/>
      <c r="L122" s="491" t="s">
        <v>706</v>
      </c>
      <c r="M122" s="106" t="s">
        <v>1048</v>
      </c>
      <c r="N122" s="113"/>
      <c r="O122" s="32">
        <v>242.0</v>
      </c>
    </row>
    <row r="123">
      <c r="A123" s="20" t="s">
        <v>1049</v>
      </c>
      <c r="B123" s="26" t="s">
        <v>1050</v>
      </c>
      <c r="C123" s="22">
        <v>1.7E7</v>
      </c>
      <c r="D123" s="26">
        <v>2017.0</v>
      </c>
      <c r="E123" s="26" t="s">
        <v>2277</v>
      </c>
      <c r="F123" s="412" t="s">
        <v>28</v>
      </c>
      <c r="G123" s="412" t="s">
        <v>23</v>
      </c>
      <c r="H123" s="28"/>
      <c r="I123" s="480">
        <v>4.0</v>
      </c>
      <c r="J123" s="490"/>
      <c r="K123" s="110"/>
      <c r="L123" s="491" t="s">
        <v>1052</v>
      </c>
      <c r="M123" s="106" t="s">
        <v>1053</v>
      </c>
      <c r="N123" s="113"/>
      <c r="O123" s="32">
        <v>241.0</v>
      </c>
    </row>
    <row r="124">
      <c r="A124" s="118" t="s">
        <v>1054</v>
      </c>
      <c r="B124" s="127"/>
      <c r="C124" s="133">
        <v>1700000.0</v>
      </c>
      <c r="D124" s="150">
        <v>2017.0</v>
      </c>
      <c r="E124" s="105" t="s">
        <v>2277</v>
      </c>
      <c r="F124" s="503" t="s">
        <v>2163</v>
      </c>
      <c r="G124" s="501" t="s">
        <v>23</v>
      </c>
      <c r="H124" s="127"/>
      <c r="I124" s="480">
        <v>4.0</v>
      </c>
      <c r="J124" s="490"/>
      <c r="K124" s="491"/>
      <c r="L124" s="491" t="s">
        <v>1054</v>
      </c>
      <c r="M124" s="122" t="s">
        <v>1055</v>
      </c>
      <c r="N124" s="140"/>
      <c r="O124" s="32">
        <v>240.0</v>
      </c>
    </row>
    <row r="125">
      <c r="A125" s="118" t="s">
        <v>1056</v>
      </c>
      <c r="B125" s="127" t="s">
        <v>1057</v>
      </c>
      <c r="C125" s="133">
        <v>1600000.0</v>
      </c>
      <c r="D125" s="150">
        <v>2017.0</v>
      </c>
      <c r="E125" s="105" t="s">
        <v>2373</v>
      </c>
      <c r="F125" s="412" t="s">
        <v>58</v>
      </c>
      <c r="G125" s="501" t="s">
        <v>23</v>
      </c>
      <c r="H125" s="127"/>
      <c r="I125" s="480">
        <v>4.0</v>
      </c>
      <c r="J125" s="490"/>
      <c r="K125" s="491"/>
      <c r="L125" s="482" t="s">
        <v>85</v>
      </c>
      <c r="M125" s="122" t="s">
        <v>1059</v>
      </c>
      <c r="N125" s="140"/>
      <c r="O125" s="32">
        <v>239.0</v>
      </c>
    </row>
    <row r="126">
      <c r="A126" s="20" t="s">
        <v>1060</v>
      </c>
      <c r="B126" s="26"/>
      <c r="C126" s="22">
        <v>4.62E7</v>
      </c>
      <c r="D126" s="150">
        <v>2017.0</v>
      </c>
      <c r="E126" s="26" t="s">
        <v>2248</v>
      </c>
      <c r="F126" s="412" t="s">
        <v>129</v>
      </c>
      <c r="G126" s="412" t="s">
        <v>23</v>
      </c>
      <c r="H126" s="28"/>
      <c r="I126" s="480">
        <v>4.0</v>
      </c>
      <c r="J126" s="490"/>
      <c r="K126" s="110"/>
      <c r="L126" s="480" t="s">
        <v>1062</v>
      </c>
      <c r="M126" s="106" t="s">
        <v>1063</v>
      </c>
      <c r="N126" s="113"/>
      <c r="O126" s="32">
        <v>238.0</v>
      </c>
    </row>
    <row r="127">
      <c r="A127" s="20" t="s">
        <v>1064</v>
      </c>
      <c r="B127" s="26"/>
      <c r="C127" s="22">
        <v>81309.0</v>
      </c>
      <c r="D127" s="150">
        <v>2017.0</v>
      </c>
      <c r="E127" s="26" t="s">
        <v>2485</v>
      </c>
      <c r="F127" s="412" t="s">
        <v>258</v>
      </c>
      <c r="G127" s="412" t="s">
        <v>23</v>
      </c>
      <c r="H127" s="28"/>
      <c r="I127" s="480">
        <v>4.0</v>
      </c>
      <c r="J127" s="490"/>
      <c r="K127" s="110"/>
      <c r="L127" s="480" t="s">
        <v>1066</v>
      </c>
      <c r="M127" s="106" t="s">
        <v>1067</v>
      </c>
      <c r="N127" s="113"/>
      <c r="O127" s="32">
        <v>237.0</v>
      </c>
    </row>
    <row r="128">
      <c r="A128" s="52" t="s">
        <v>1068</v>
      </c>
      <c r="B128" s="53"/>
      <c r="C128" s="22">
        <v>6000000.0</v>
      </c>
      <c r="D128" s="26">
        <v>2017.0</v>
      </c>
      <c r="E128" s="34" t="s">
        <v>2308</v>
      </c>
      <c r="F128" s="412" t="s">
        <v>28</v>
      </c>
      <c r="G128" s="412" t="s">
        <v>23</v>
      </c>
      <c r="H128" s="115"/>
      <c r="I128" s="480">
        <v>1.0</v>
      </c>
      <c r="J128" s="490"/>
      <c r="K128" s="491"/>
      <c r="L128" s="491" t="s">
        <v>314</v>
      </c>
      <c r="M128" s="135" t="s">
        <v>1070</v>
      </c>
      <c r="N128" s="136"/>
      <c r="O128" s="32">
        <v>236.0</v>
      </c>
    </row>
    <row r="129">
      <c r="A129" s="141" t="s">
        <v>1071</v>
      </c>
      <c r="B129" s="120"/>
      <c r="C129" s="133">
        <v>3000000.0</v>
      </c>
      <c r="D129" s="26">
        <v>2017.0</v>
      </c>
      <c r="E129" s="105" t="s">
        <v>2346</v>
      </c>
      <c r="F129" s="12" t="s">
        <v>28</v>
      </c>
      <c r="G129" s="12" t="s">
        <v>23</v>
      </c>
      <c r="H129" s="120"/>
      <c r="I129" s="480">
        <v>4.0</v>
      </c>
      <c r="J129" s="490"/>
      <c r="K129" s="491"/>
      <c r="L129" s="491" t="s">
        <v>1073</v>
      </c>
      <c r="M129" s="122" t="s">
        <v>1074</v>
      </c>
      <c r="N129" s="117"/>
      <c r="O129" s="32">
        <v>235.0</v>
      </c>
    </row>
    <row r="130">
      <c r="A130" s="52" t="s">
        <v>1075</v>
      </c>
      <c r="B130" s="53"/>
      <c r="C130" s="22">
        <v>1.43E8</v>
      </c>
      <c r="D130" s="26">
        <v>2017.0</v>
      </c>
      <c r="E130" s="34" t="s">
        <v>2197</v>
      </c>
      <c r="F130" s="412" t="s">
        <v>58</v>
      </c>
      <c r="G130" s="412" t="s">
        <v>23</v>
      </c>
      <c r="H130" s="115" t="s">
        <v>29</v>
      </c>
      <c r="I130" s="480">
        <v>4.0</v>
      </c>
      <c r="J130" s="481">
        <v>1.43E8</v>
      </c>
      <c r="K130" s="491"/>
      <c r="L130" s="491" t="s">
        <v>1079</v>
      </c>
      <c r="M130" s="135" t="s">
        <v>1080</v>
      </c>
      <c r="N130" s="136"/>
      <c r="O130" s="32">
        <v>234.0</v>
      </c>
    </row>
    <row r="131">
      <c r="A131" s="118" t="s">
        <v>1081</v>
      </c>
      <c r="B131" s="142" t="s">
        <v>1082</v>
      </c>
      <c r="C131" s="119">
        <v>540000.0</v>
      </c>
      <c r="D131" s="26">
        <v>2017.0</v>
      </c>
      <c r="E131" s="34" t="s">
        <v>2414</v>
      </c>
      <c r="F131" s="501" t="s">
        <v>2163</v>
      </c>
      <c r="G131" s="501" t="s">
        <v>51</v>
      </c>
      <c r="H131" s="120"/>
      <c r="I131" s="480">
        <v>4.0</v>
      </c>
      <c r="J131" s="490"/>
      <c r="K131" s="491"/>
      <c r="L131" s="491" t="s">
        <v>1073</v>
      </c>
      <c r="M131" s="121" t="s">
        <v>1084</v>
      </c>
      <c r="N131" s="117"/>
      <c r="O131" s="32">
        <v>233.0</v>
      </c>
    </row>
    <row r="132">
      <c r="A132" s="20" t="s">
        <v>1085</v>
      </c>
      <c r="B132" s="138"/>
      <c r="C132" s="22">
        <v>1.17E8</v>
      </c>
      <c r="D132" s="26">
        <v>2016.0</v>
      </c>
      <c r="E132" s="26" t="s">
        <v>2201</v>
      </c>
      <c r="F132" s="412" t="s">
        <v>28</v>
      </c>
      <c r="G132" s="412" t="s">
        <v>23</v>
      </c>
      <c r="H132" s="28"/>
      <c r="I132" s="480">
        <v>1.0</v>
      </c>
      <c r="J132" s="481">
        <v>1.17E8</v>
      </c>
      <c r="K132" s="110"/>
      <c r="L132" s="491" t="s">
        <v>1088</v>
      </c>
      <c r="M132" s="106" t="s">
        <v>1089</v>
      </c>
      <c r="N132" s="106" t="s">
        <v>1090</v>
      </c>
      <c r="O132" s="32">
        <v>232.0</v>
      </c>
    </row>
    <row r="133">
      <c r="A133" s="20" t="s">
        <v>1091</v>
      </c>
      <c r="B133" s="138"/>
      <c r="C133" s="22">
        <v>6.5E7</v>
      </c>
      <c r="D133" s="26">
        <v>2016.0</v>
      </c>
      <c r="E133" s="26" t="s">
        <v>2239</v>
      </c>
      <c r="F133" s="412" t="s">
        <v>28</v>
      </c>
      <c r="G133" s="412" t="s">
        <v>23</v>
      </c>
      <c r="H133" s="28"/>
      <c r="I133" s="480">
        <v>1.0</v>
      </c>
      <c r="J133" s="490"/>
      <c r="K133" s="110"/>
      <c r="L133" s="482" t="s">
        <v>30</v>
      </c>
      <c r="M133" s="106" t="s">
        <v>1093</v>
      </c>
      <c r="N133" s="113"/>
      <c r="O133" s="32">
        <v>231.0</v>
      </c>
    </row>
    <row r="134">
      <c r="A134" s="20" t="s">
        <v>996</v>
      </c>
      <c r="B134" s="111"/>
      <c r="C134" s="22">
        <v>5.0E8</v>
      </c>
      <c r="D134" s="26">
        <v>2016.0</v>
      </c>
      <c r="E134" s="26" t="s">
        <v>2180</v>
      </c>
      <c r="F134" s="412" t="s">
        <v>28</v>
      </c>
      <c r="G134" s="412" t="s">
        <v>23</v>
      </c>
      <c r="H134" s="28"/>
      <c r="I134" s="480">
        <v>2.0</v>
      </c>
      <c r="J134" s="481">
        <v>5.0E8</v>
      </c>
      <c r="K134" s="110"/>
      <c r="L134" s="482" t="s">
        <v>1096</v>
      </c>
      <c r="M134" s="106" t="s">
        <v>1097</v>
      </c>
      <c r="N134" s="109"/>
      <c r="O134" s="32">
        <v>230.0</v>
      </c>
    </row>
    <row r="135">
      <c r="A135" s="20" t="s">
        <v>1098</v>
      </c>
      <c r="B135" s="111" t="s">
        <v>1099</v>
      </c>
      <c r="C135" s="22">
        <v>1.15E7</v>
      </c>
      <c r="D135" s="26">
        <v>2016.0</v>
      </c>
      <c r="E135" s="26" t="s">
        <v>2287</v>
      </c>
      <c r="F135" s="412" t="s">
        <v>38</v>
      </c>
      <c r="G135" s="412" t="s">
        <v>23</v>
      </c>
      <c r="H135" s="26" t="s">
        <v>29</v>
      </c>
      <c r="I135" s="480">
        <v>5.0</v>
      </c>
      <c r="J135" s="490"/>
      <c r="K135" s="110"/>
      <c r="L135" s="491" t="s">
        <v>1101</v>
      </c>
      <c r="M135" s="106" t="s">
        <v>1102</v>
      </c>
      <c r="N135" s="113"/>
      <c r="O135" s="32">
        <v>229.0</v>
      </c>
    </row>
    <row r="136">
      <c r="A136" s="52" t="s">
        <v>1103</v>
      </c>
      <c r="B136" s="111" t="s">
        <v>1104</v>
      </c>
      <c r="C136" s="22">
        <v>5.5E7</v>
      </c>
      <c r="D136" s="26">
        <v>2016.0</v>
      </c>
      <c r="E136" s="26" t="s">
        <v>2242</v>
      </c>
      <c r="F136" s="412" t="s">
        <v>64</v>
      </c>
      <c r="G136" s="412" t="s">
        <v>23</v>
      </c>
      <c r="H136" s="28"/>
      <c r="I136" s="480">
        <v>5.0</v>
      </c>
      <c r="J136" s="490"/>
      <c r="K136" s="110"/>
      <c r="L136" s="491" t="s">
        <v>1106</v>
      </c>
      <c r="M136" s="106" t="s">
        <v>1107</v>
      </c>
      <c r="N136" s="113"/>
      <c r="O136" s="32">
        <v>228.0</v>
      </c>
    </row>
    <row r="137">
      <c r="A137" s="20" t="s">
        <v>1108</v>
      </c>
      <c r="B137" s="138"/>
      <c r="C137" s="22">
        <v>274477.0</v>
      </c>
      <c r="D137" s="26">
        <v>2016.0</v>
      </c>
      <c r="E137" s="26" t="s">
        <v>2439</v>
      </c>
      <c r="F137" s="412" t="s">
        <v>64</v>
      </c>
      <c r="G137" s="412" t="s">
        <v>23</v>
      </c>
      <c r="H137" s="28"/>
      <c r="I137" s="480">
        <v>1.0</v>
      </c>
      <c r="J137" s="490"/>
      <c r="K137" s="110"/>
      <c r="L137" s="491" t="s">
        <v>1110</v>
      </c>
      <c r="M137" s="106" t="s">
        <v>1111</v>
      </c>
      <c r="N137" s="113"/>
      <c r="O137" s="32">
        <v>227.0</v>
      </c>
    </row>
    <row r="138">
      <c r="A138" s="20" t="s">
        <v>1112</v>
      </c>
      <c r="B138" s="143" t="s">
        <v>1113</v>
      </c>
      <c r="C138" s="22">
        <v>7000000.0</v>
      </c>
      <c r="D138" s="26">
        <v>2016.0</v>
      </c>
      <c r="E138" s="26" t="s">
        <v>2303</v>
      </c>
      <c r="F138" s="412" t="s">
        <v>236</v>
      </c>
      <c r="G138" s="412" t="s">
        <v>23</v>
      </c>
      <c r="H138" s="28"/>
      <c r="I138" s="480">
        <v>1.0</v>
      </c>
      <c r="J138" s="490"/>
      <c r="K138" s="110"/>
      <c r="L138" s="482" t="s">
        <v>147</v>
      </c>
      <c r="M138" s="106" t="s">
        <v>1115</v>
      </c>
      <c r="N138" s="113"/>
      <c r="O138" s="32">
        <v>226.0</v>
      </c>
    </row>
    <row r="139">
      <c r="A139" s="20" t="s">
        <v>1116</v>
      </c>
      <c r="B139" s="138"/>
      <c r="C139" s="22">
        <v>4.9611709E7</v>
      </c>
      <c r="D139" s="26">
        <v>2016.0</v>
      </c>
      <c r="E139" s="34" t="s">
        <v>2245</v>
      </c>
      <c r="F139" s="412" t="s">
        <v>64</v>
      </c>
      <c r="G139" s="412" t="s">
        <v>23</v>
      </c>
      <c r="H139" s="28"/>
      <c r="I139" s="480">
        <v>2.0</v>
      </c>
      <c r="J139" s="490"/>
      <c r="K139" s="110"/>
      <c r="L139" s="491" t="s">
        <v>591</v>
      </c>
      <c r="M139" s="106" t="s">
        <v>1118</v>
      </c>
      <c r="N139" s="113"/>
      <c r="O139" s="32">
        <v>225.0</v>
      </c>
    </row>
    <row r="140">
      <c r="A140" s="144" t="s">
        <v>1119</v>
      </c>
      <c r="B140" s="142"/>
      <c r="C140" s="119">
        <v>3700000.0</v>
      </c>
      <c r="D140" s="26">
        <v>2016.0</v>
      </c>
      <c r="E140" s="50" t="s">
        <v>2337</v>
      </c>
      <c r="F140" s="412" t="s">
        <v>258</v>
      </c>
      <c r="G140" s="504" t="s">
        <v>23</v>
      </c>
      <c r="H140" s="53"/>
      <c r="I140" s="480">
        <v>3.0</v>
      </c>
      <c r="J140" s="490"/>
      <c r="K140" s="491"/>
      <c r="L140" s="482" t="s">
        <v>1121</v>
      </c>
      <c r="M140" s="106" t="s">
        <v>1122</v>
      </c>
      <c r="N140" s="117"/>
      <c r="O140" s="32">
        <v>224.0</v>
      </c>
    </row>
    <row r="141">
      <c r="A141" s="20" t="s">
        <v>1123</v>
      </c>
      <c r="B141" s="26" t="s">
        <v>1124</v>
      </c>
      <c r="C141" s="22">
        <v>2.5E7</v>
      </c>
      <c r="D141" s="26">
        <v>2016.0</v>
      </c>
      <c r="E141" s="26" t="s">
        <v>2266</v>
      </c>
      <c r="F141" s="412" t="s">
        <v>28</v>
      </c>
      <c r="G141" s="412" t="s">
        <v>23</v>
      </c>
      <c r="H141" s="28"/>
      <c r="I141" s="480">
        <v>2.0</v>
      </c>
      <c r="J141" s="490"/>
      <c r="K141" s="110"/>
      <c r="L141" s="491" t="s">
        <v>608</v>
      </c>
      <c r="M141" s="106" t="s">
        <v>1126</v>
      </c>
      <c r="N141" s="113"/>
      <c r="O141" s="32">
        <v>223.0</v>
      </c>
    </row>
    <row r="142">
      <c r="A142" s="20" t="s">
        <v>1127</v>
      </c>
      <c r="B142" s="26"/>
      <c r="C142" s="22">
        <v>300000.0</v>
      </c>
      <c r="D142" s="26">
        <v>2016.0</v>
      </c>
      <c r="E142" s="26" t="s">
        <v>2435</v>
      </c>
      <c r="F142" s="412" t="s">
        <v>28</v>
      </c>
      <c r="G142" s="499" t="s">
        <v>23</v>
      </c>
      <c r="H142" s="28"/>
      <c r="I142" s="480">
        <v>1.0</v>
      </c>
      <c r="J142" s="490"/>
      <c r="K142" s="110"/>
      <c r="L142" s="491" t="s">
        <v>905</v>
      </c>
      <c r="M142" s="106" t="s">
        <v>1129</v>
      </c>
      <c r="N142" s="113"/>
      <c r="O142" s="32">
        <v>222.0</v>
      </c>
    </row>
    <row r="143">
      <c r="A143" s="44" t="s">
        <v>1130</v>
      </c>
      <c r="B143" s="26" t="s">
        <v>1131</v>
      </c>
      <c r="C143" s="22">
        <v>9500000.0</v>
      </c>
      <c r="D143" s="26">
        <v>2016.0</v>
      </c>
      <c r="E143" s="26" t="s">
        <v>2295</v>
      </c>
      <c r="F143" s="412" t="s">
        <v>28</v>
      </c>
      <c r="G143" s="412" t="s">
        <v>23</v>
      </c>
      <c r="H143" s="28"/>
      <c r="I143" s="480">
        <v>1.0</v>
      </c>
      <c r="J143" s="490"/>
      <c r="K143" s="110"/>
      <c r="L143" s="491" t="s">
        <v>1133</v>
      </c>
      <c r="M143" s="106" t="s">
        <v>1134</v>
      </c>
      <c r="N143" s="113"/>
      <c r="O143" s="32">
        <v>221.0</v>
      </c>
    </row>
    <row r="144">
      <c r="A144" s="144" t="s">
        <v>1135</v>
      </c>
      <c r="B144" s="142"/>
      <c r="C144" s="119">
        <v>2000000.0</v>
      </c>
      <c r="D144" s="26">
        <v>2016.0</v>
      </c>
      <c r="E144" s="34" t="s">
        <v>2364</v>
      </c>
      <c r="F144" s="504" t="s">
        <v>28</v>
      </c>
      <c r="G144" s="504" t="s">
        <v>23</v>
      </c>
      <c r="H144" s="53"/>
      <c r="I144" s="110">
        <v>1.0</v>
      </c>
      <c r="J144" s="490"/>
      <c r="K144" s="491"/>
      <c r="L144" s="482" t="s">
        <v>575</v>
      </c>
      <c r="M144" s="106" t="s">
        <v>1137</v>
      </c>
      <c r="N144" s="117"/>
      <c r="O144" s="32">
        <v>220.0</v>
      </c>
    </row>
    <row r="145">
      <c r="A145" s="20" t="s">
        <v>1138</v>
      </c>
      <c r="B145" s="111" t="s">
        <v>1139</v>
      </c>
      <c r="C145" s="22">
        <v>1025.0</v>
      </c>
      <c r="D145" s="26">
        <v>2016.0</v>
      </c>
      <c r="E145" s="26" t="s">
        <v>2503</v>
      </c>
      <c r="F145" s="412" t="s">
        <v>43</v>
      </c>
      <c r="G145" s="412" t="s">
        <v>23</v>
      </c>
      <c r="H145" s="26" t="s">
        <v>29</v>
      </c>
      <c r="I145" s="480">
        <v>3.0</v>
      </c>
      <c r="J145" s="490"/>
      <c r="K145" s="110"/>
      <c r="L145" s="482" t="s">
        <v>278</v>
      </c>
      <c r="M145" s="106" t="s">
        <v>1141</v>
      </c>
      <c r="N145" s="113"/>
      <c r="O145" s="32">
        <v>219.0</v>
      </c>
    </row>
    <row r="146">
      <c r="A146" s="144" t="s">
        <v>1142</v>
      </c>
      <c r="B146" s="142"/>
      <c r="C146" s="22">
        <v>5000000.0</v>
      </c>
      <c r="D146" s="26">
        <v>2016.0</v>
      </c>
      <c r="E146" s="34" t="s">
        <v>2316</v>
      </c>
      <c r="F146" s="504" t="s">
        <v>64</v>
      </c>
      <c r="G146" s="504" t="s">
        <v>23</v>
      </c>
      <c r="H146" s="53"/>
      <c r="I146" s="480">
        <v>2.0</v>
      </c>
      <c r="J146" s="490"/>
      <c r="K146" s="491"/>
      <c r="L146" s="482" t="s">
        <v>286</v>
      </c>
      <c r="M146" s="106" t="s">
        <v>1144</v>
      </c>
      <c r="N146" s="117"/>
      <c r="O146" s="32">
        <v>218.0</v>
      </c>
    </row>
    <row r="147">
      <c r="A147" s="145" t="s">
        <v>1145</v>
      </c>
      <c r="B147" s="142"/>
      <c r="C147" s="22">
        <v>35000.0</v>
      </c>
      <c r="D147" s="26">
        <v>2016.0</v>
      </c>
      <c r="E147" s="26" t="s">
        <v>2498</v>
      </c>
      <c r="F147" s="504" t="s">
        <v>28</v>
      </c>
      <c r="G147" s="504" t="s">
        <v>23</v>
      </c>
      <c r="H147" s="53"/>
      <c r="I147" s="110">
        <v>1.0</v>
      </c>
      <c r="J147" s="490"/>
      <c r="K147" s="491"/>
      <c r="L147" s="491" t="s">
        <v>1147</v>
      </c>
      <c r="M147" s="146" t="s">
        <v>1148</v>
      </c>
      <c r="N147" s="117"/>
      <c r="O147" s="32">
        <v>217.0</v>
      </c>
    </row>
    <row r="148">
      <c r="A148" s="20" t="s">
        <v>1149</v>
      </c>
      <c r="B148" s="111" t="s">
        <v>1150</v>
      </c>
      <c r="C148" s="22">
        <v>2200000.0</v>
      </c>
      <c r="D148" s="26">
        <v>2016.0</v>
      </c>
      <c r="E148" s="26" t="s">
        <v>2359</v>
      </c>
      <c r="F148" s="412" t="s">
        <v>38</v>
      </c>
      <c r="G148" s="412" t="s">
        <v>51</v>
      </c>
      <c r="H148" s="28"/>
      <c r="I148" s="480">
        <v>3.0</v>
      </c>
      <c r="J148" s="490"/>
      <c r="K148" s="110"/>
      <c r="L148" s="491" t="s">
        <v>1152</v>
      </c>
      <c r="M148" s="106" t="s">
        <v>1153</v>
      </c>
      <c r="N148" s="113"/>
      <c r="O148" s="32">
        <v>216.0</v>
      </c>
    </row>
    <row r="149">
      <c r="A149" s="20" t="s">
        <v>1154</v>
      </c>
      <c r="B149" s="111" t="s">
        <v>1155</v>
      </c>
      <c r="C149" s="22">
        <v>112000.0</v>
      </c>
      <c r="D149" s="26">
        <v>2016.0</v>
      </c>
      <c r="E149" s="26" t="s">
        <v>2472</v>
      </c>
      <c r="F149" s="412" t="s">
        <v>258</v>
      </c>
      <c r="G149" s="412" t="s">
        <v>59</v>
      </c>
      <c r="H149" s="28"/>
      <c r="I149" s="480">
        <v>5.0</v>
      </c>
      <c r="J149" s="490"/>
      <c r="K149" s="110"/>
      <c r="L149" s="491" t="s">
        <v>905</v>
      </c>
      <c r="M149" s="106" t="s">
        <v>1157</v>
      </c>
      <c r="N149" s="113"/>
      <c r="O149" s="32">
        <v>215.0</v>
      </c>
    </row>
    <row r="150">
      <c r="A150" s="20" t="s">
        <v>1158</v>
      </c>
      <c r="B150" s="111" t="s">
        <v>1159</v>
      </c>
      <c r="C150" s="22">
        <v>1.71E8</v>
      </c>
      <c r="D150" s="26">
        <v>2016.0</v>
      </c>
      <c r="E150" s="26" t="s">
        <v>2203</v>
      </c>
      <c r="F150" s="412" t="s">
        <v>28</v>
      </c>
      <c r="G150" s="412" t="s">
        <v>23</v>
      </c>
      <c r="H150" s="28"/>
      <c r="I150" s="480">
        <v>4.0</v>
      </c>
      <c r="J150" s="481">
        <v>1.0E8</v>
      </c>
      <c r="K150" s="110"/>
      <c r="L150" s="491" t="s">
        <v>886</v>
      </c>
      <c r="M150" s="106" t="s">
        <v>1161</v>
      </c>
      <c r="N150" s="113"/>
      <c r="O150" s="32">
        <v>214.0</v>
      </c>
    </row>
    <row r="151">
      <c r="A151" s="147" t="s">
        <v>1162</v>
      </c>
      <c r="B151" s="148" t="s">
        <v>1163</v>
      </c>
      <c r="C151" s="149">
        <v>1500000.0</v>
      </c>
      <c r="D151" s="26">
        <v>2016.0</v>
      </c>
      <c r="E151" s="150" t="s">
        <v>2377</v>
      </c>
      <c r="F151" s="412" t="s">
        <v>28</v>
      </c>
      <c r="G151" s="412" t="s">
        <v>23</v>
      </c>
      <c r="H151" s="151"/>
      <c r="I151" s="480">
        <v>4.0</v>
      </c>
      <c r="J151" s="490"/>
      <c r="K151" s="110"/>
      <c r="L151" s="491" t="s">
        <v>886</v>
      </c>
      <c r="M151" s="106" t="s">
        <v>1165</v>
      </c>
      <c r="N151" s="113"/>
      <c r="O151" s="32">
        <v>213.0</v>
      </c>
    </row>
    <row r="152">
      <c r="A152" s="20" t="s">
        <v>1166</v>
      </c>
      <c r="B152" s="26" t="s">
        <v>1167</v>
      </c>
      <c r="C152" s="22">
        <v>4.0E7</v>
      </c>
      <c r="D152" s="26">
        <v>2016.0</v>
      </c>
      <c r="E152" s="26" t="s">
        <v>2252</v>
      </c>
      <c r="F152" s="412" t="s">
        <v>28</v>
      </c>
      <c r="G152" s="412" t="s">
        <v>23</v>
      </c>
      <c r="H152" s="28"/>
      <c r="I152" s="480">
        <v>4.0</v>
      </c>
      <c r="J152" s="490"/>
      <c r="K152" s="110"/>
      <c r="L152" s="482" t="s">
        <v>1169</v>
      </c>
      <c r="M152" s="146" t="s">
        <v>1170</v>
      </c>
      <c r="N152" s="113"/>
      <c r="O152" s="32">
        <v>212.0</v>
      </c>
    </row>
    <row r="153">
      <c r="A153" s="20" t="s">
        <v>1171</v>
      </c>
      <c r="B153" s="138"/>
      <c r="C153" s="22">
        <v>1.64E8</v>
      </c>
      <c r="D153" s="26">
        <v>2016.0</v>
      </c>
      <c r="E153" s="26" t="s">
        <v>2193</v>
      </c>
      <c r="F153" s="412" t="s">
        <v>28</v>
      </c>
      <c r="G153" s="412" t="s">
        <v>23</v>
      </c>
      <c r="H153" s="28"/>
      <c r="I153" s="480">
        <v>1.0</v>
      </c>
      <c r="J153" s="481">
        <v>1.64E8</v>
      </c>
      <c r="K153" s="110"/>
      <c r="L153" s="482" t="s">
        <v>30</v>
      </c>
      <c r="M153" s="106" t="s">
        <v>1174</v>
      </c>
      <c r="N153" s="113"/>
      <c r="O153" s="32">
        <v>211.0</v>
      </c>
    </row>
    <row r="154">
      <c r="A154" s="137" t="s">
        <v>1175</v>
      </c>
      <c r="B154" s="139" t="s">
        <v>1176</v>
      </c>
      <c r="C154" s="22">
        <v>130000.0</v>
      </c>
      <c r="D154" s="26">
        <v>2016.0</v>
      </c>
      <c r="E154" s="26" t="s">
        <v>2466</v>
      </c>
      <c r="F154" s="502" t="s">
        <v>129</v>
      </c>
      <c r="G154" s="412" t="s">
        <v>23</v>
      </c>
      <c r="H154" s="53"/>
      <c r="I154" s="480">
        <v>2.0</v>
      </c>
      <c r="J154" s="490"/>
      <c r="K154" s="491"/>
      <c r="L154" s="491" t="s">
        <v>1175</v>
      </c>
      <c r="M154" s="152" t="s">
        <v>1178</v>
      </c>
      <c r="N154" s="117"/>
      <c r="O154" s="32">
        <v>210.0</v>
      </c>
    </row>
    <row r="155">
      <c r="A155" s="20" t="s">
        <v>1179</v>
      </c>
      <c r="B155" s="26"/>
      <c r="C155" s="22">
        <v>550000.0</v>
      </c>
      <c r="D155" s="26">
        <v>2016.0</v>
      </c>
      <c r="E155" s="26" t="s">
        <v>2413</v>
      </c>
      <c r="F155" s="412" t="s">
        <v>258</v>
      </c>
      <c r="G155" s="413" t="s">
        <v>142</v>
      </c>
      <c r="H155" s="28"/>
      <c r="I155" s="480">
        <v>4.0</v>
      </c>
      <c r="J155" s="490"/>
      <c r="K155" s="110"/>
      <c r="L155" s="491" t="s">
        <v>829</v>
      </c>
      <c r="M155" s="106" t="s">
        <v>1181</v>
      </c>
      <c r="N155" s="113"/>
      <c r="O155" s="32">
        <v>209.0</v>
      </c>
    </row>
    <row r="156">
      <c r="A156" s="144" t="s">
        <v>1182</v>
      </c>
      <c r="B156" s="138" t="s">
        <v>1183</v>
      </c>
      <c r="C156" s="119">
        <v>1.5E7</v>
      </c>
      <c r="D156" s="26">
        <v>2016.0</v>
      </c>
      <c r="E156" s="50" t="s">
        <v>2279</v>
      </c>
      <c r="F156" s="412" t="s">
        <v>2163</v>
      </c>
      <c r="G156" s="504" t="s">
        <v>23</v>
      </c>
      <c r="H156" s="53"/>
      <c r="I156" s="110">
        <v>1.0</v>
      </c>
      <c r="J156" s="490"/>
      <c r="K156" s="491"/>
      <c r="L156" s="491" t="s">
        <v>1185</v>
      </c>
      <c r="M156" s="153" t="s">
        <v>1186</v>
      </c>
      <c r="N156" s="117"/>
      <c r="O156" s="32">
        <v>208.0</v>
      </c>
    </row>
    <row r="157">
      <c r="A157" s="20" t="s">
        <v>1187</v>
      </c>
      <c r="B157" s="26" t="s">
        <v>1188</v>
      </c>
      <c r="C157" s="22">
        <v>8.52E7</v>
      </c>
      <c r="D157" s="26">
        <v>2016.0</v>
      </c>
      <c r="E157" s="26" t="s">
        <v>2235</v>
      </c>
      <c r="F157" s="412" t="s">
        <v>28</v>
      </c>
      <c r="G157" s="499" t="s">
        <v>23</v>
      </c>
      <c r="H157" s="28"/>
      <c r="I157" s="480">
        <v>1.0</v>
      </c>
      <c r="J157" s="490"/>
      <c r="K157" s="110"/>
      <c r="L157" s="491" t="s">
        <v>571</v>
      </c>
      <c r="M157" s="106" t="s">
        <v>1190</v>
      </c>
      <c r="N157" s="113"/>
      <c r="O157" s="32">
        <v>207.0</v>
      </c>
    </row>
    <row r="158">
      <c r="A158" s="20" t="s">
        <v>1191</v>
      </c>
      <c r="B158" s="26"/>
      <c r="C158" s="22">
        <v>4.3E7</v>
      </c>
      <c r="D158" s="26">
        <v>2016.0</v>
      </c>
      <c r="E158" s="26" t="s">
        <v>2251</v>
      </c>
      <c r="F158" s="412" t="s">
        <v>28</v>
      </c>
      <c r="G158" s="412" t="s">
        <v>23</v>
      </c>
      <c r="H158" s="28"/>
      <c r="I158" s="480">
        <v>4.0</v>
      </c>
      <c r="J158" s="490"/>
      <c r="K158" s="110"/>
      <c r="L158" s="491" t="s">
        <v>34</v>
      </c>
      <c r="M158" s="106" t="s">
        <v>1193</v>
      </c>
      <c r="N158" s="113"/>
      <c r="O158" s="32">
        <v>206.0</v>
      </c>
    </row>
    <row r="159">
      <c r="A159" s="20" t="s">
        <v>1194</v>
      </c>
      <c r="B159" s="26"/>
      <c r="C159" s="22">
        <v>1.0E7</v>
      </c>
      <c r="D159" s="26">
        <v>2016.0</v>
      </c>
      <c r="E159" s="34" t="s">
        <v>2291</v>
      </c>
      <c r="F159" s="412" t="s">
        <v>28</v>
      </c>
      <c r="G159" s="412" t="s">
        <v>23</v>
      </c>
      <c r="H159" s="28"/>
      <c r="I159" s="480">
        <v>2.0</v>
      </c>
      <c r="J159" s="490"/>
      <c r="K159" s="110"/>
      <c r="L159" s="491" t="s">
        <v>1196</v>
      </c>
      <c r="M159" s="106" t="s">
        <v>1197</v>
      </c>
      <c r="N159" s="113"/>
      <c r="O159" s="32">
        <v>205.0</v>
      </c>
    </row>
    <row r="160">
      <c r="A160" s="20" t="s">
        <v>712</v>
      </c>
      <c r="B160" s="26"/>
      <c r="C160" s="22">
        <v>34000.0</v>
      </c>
      <c r="D160" s="26">
        <v>2016.0</v>
      </c>
      <c r="E160" s="26" t="s">
        <v>2499</v>
      </c>
      <c r="F160" s="412" t="s">
        <v>258</v>
      </c>
      <c r="G160" s="499" t="s">
        <v>23</v>
      </c>
      <c r="H160" s="28"/>
      <c r="I160" s="480">
        <v>4.0</v>
      </c>
      <c r="J160" s="490"/>
      <c r="K160" s="110"/>
      <c r="L160" s="491" t="s">
        <v>1199</v>
      </c>
      <c r="M160" s="106" t="s">
        <v>1200</v>
      </c>
      <c r="N160" s="113"/>
      <c r="O160" s="32">
        <v>204.0</v>
      </c>
    </row>
    <row r="161">
      <c r="A161" s="52" t="s">
        <v>1201</v>
      </c>
      <c r="B161" s="34" t="s">
        <v>1202</v>
      </c>
      <c r="C161" s="22">
        <v>4.12E8</v>
      </c>
      <c r="D161" s="26">
        <v>2016.0</v>
      </c>
      <c r="E161" s="34" t="s">
        <v>2182</v>
      </c>
      <c r="F161" s="489" t="s">
        <v>28</v>
      </c>
      <c r="G161" s="489" t="s">
        <v>23</v>
      </c>
      <c r="H161" s="53"/>
      <c r="I161" s="505">
        <v>1.0</v>
      </c>
      <c r="J161" s="481">
        <v>4.12E8</v>
      </c>
      <c r="K161" s="110"/>
      <c r="L161" s="482" t="s">
        <v>571</v>
      </c>
      <c r="M161" s="146" t="s">
        <v>1205</v>
      </c>
      <c r="N161" s="155"/>
      <c r="O161" s="32">
        <v>203.0</v>
      </c>
    </row>
    <row r="162">
      <c r="A162" s="20" t="s">
        <v>1206</v>
      </c>
      <c r="B162" s="26" t="s">
        <v>1207</v>
      </c>
      <c r="C162" s="22">
        <v>790724.0</v>
      </c>
      <c r="D162" s="26">
        <v>2016.0</v>
      </c>
      <c r="E162" s="34" t="s">
        <v>2405</v>
      </c>
      <c r="F162" s="412" t="s">
        <v>28</v>
      </c>
      <c r="G162" s="412" t="s">
        <v>23</v>
      </c>
      <c r="H162" s="28"/>
      <c r="I162" s="480">
        <v>4.0</v>
      </c>
      <c r="J162" s="506"/>
      <c r="K162" s="480"/>
      <c r="L162" s="482" t="s">
        <v>30</v>
      </c>
      <c r="M162" s="106" t="s">
        <v>1209</v>
      </c>
      <c r="N162" s="113"/>
      <c r="O162" s="32">
        <v>202.0</v>
      </c>
    </row>
    <row r="163">
      <c r="A163" s="20" t="s">
        <v>1210</v>
      </c>
      <c r="B163" s="26"/>
      <c r="C163" s="22">
        <v>6600000.0</v>
      </c>
      <c r="D163" s="26">
        <v>2016.0</v>
      </c>
      <c r="E163" s="26" t="s">
        <v>2304</v>
      </c>
      <c r="F163" s="412" t="s">
        <v>28</v>
      </c>
      <c r="G163" s="412" t="s">
        <v>23</v>
      </c>
      <c r="H163" s="28"/>
      <c r="I163" s="480">
        <v>5.0</v>
      </c>
      <c r="J163" s="490"/>
      <c r="K163" s="110"/>
      <c r="L163" s="491" t="s">
        <v>1212</v>
      </c>
      <c r="M163" s="106" t="s">
        <v>1213</v>
      </c>
      <c r="N163" s="113"/>
      <c r="O163" s="32">
        <v>201.0</v>
      </c>
    </row>
    <row r="164">
      <c r="A164" s="114" t="s">
        <v>1214</v>
      </c>
      <c r="B164" s="115" t="s">
        <v>1215</v>
      </c>
      <c r="C164" s="22">
        <v>1100000.0</v>
      </c>
      <c r="D164" s="26">
        <v>2015.0</v>
      </c>
      <c r="E164" s="34" t="s">
        <v>2389</v>
      </c>
      <c r="F164" s="412" t="s">
        <v>258</v>
      </c>
      <c r="G164" s="489" t="s">
        <v>23</v>
      </c>
      <c r="H164" s="53"/>
      <c r="I164" s="505">
        <v>1.0</v>
      </c>
      <c r="J164" s="490"/>
      <c r="K164" s="491"/>
      <c r="L164" s="482" t="s">
        <v>702</v>
      </c>
      <c r="M164" s="146" t="s">
        <v>1217</v>
      </c>
      <c r="N164" s="19"/>
      <c r="O164" s="32">
        <v>200.0</v>
      </c>
    </row>
    <row r="165">
      <c r="A165" s="156" t="s">
        <v>499</v>
      </c>
      <c r="B165" s="115" t="s">
        <v>1218</v>
      </c>
      <c r="C165" s="22">
        <v>1.0E7</v>
      </c>
      <c r="D165" s="26">
        <v>2015.0</v>
      </c>
      <c r="E165" s="34" t="s">
        <v>2292</v>
      </c>
      <c r="F165" s="412" t="s">
        <v>258</v>
      </c>
      <c r="G165" s="489" t="s">
        <v>23</v>
      </c>
      <c r="H165" s="53"/>
      <c r="I165" s="505">
        <v>1.0</v>
      </c>
      <c r="J165" s="490"/>
      <c r="K165" s="491"/>
      <c r="L165" s="491" t="s">
        <v>499</v>
      </c>
      <c r="M165" s="157" t="s">
        <v>1220</v>
      </c>
      <c r="N165" s="19"/>
      <c r="O165" s="32">
        <v>199.0</v>
      </c>
    </row>
    <row r="166">
      <c r="A166" s="114" t="s">
        <v>1221</v>
      </c>
      <c r="B166" s="115" t="s">
        <v>1222</v>
      </c>
      <c r="C166" s="22">
        <v>1.1E7</v>
      </c>
      <c r="D166" s="26">
        <v>2015.0</v>
      </c>
      <c r="E166" s="34" t="s">
        <v>2289</v>
      </c>
      <c r="F166" s="412" t="s">
        <v>258</v>
      </c>
      <c r="G166" s="489" t="s">
        <v>23</v>
      </c>
      <c r="H166" s="53"/>
      <c r="I166" s="480">
        <v>5.0</v>
      </c>
      <c r="J166" s="490"/>
      <c r="K166" s="491"/>
      <c r="L166" s="482" t="s">
        <v>1224</v>
      </c>
      <c r="M166" s="157" t="s">
        <v>1225</v>
      </c>
      <c r="N166" s="19"/>
      <c r="O166" s="32">
        <v>198.0</v>
      </c>
    </row>
    <row r="167">
      <c r="A167" s="114" t="s">
        <v>288</v>
      </c>
      <c r="B167" s="53"/>
      <c r="C167" s="22">
        <v>50000.0</v>
      </c>
      <c r="D167" s="26">
        <v>2015.0</v>
      </c>
      <c r="E167" s="34" t="s">
        <v>2493</v>
      </c>
      <c r="F167" s="412" t="s">
        <v>2494</v>
      </c>
      <c r="G167" s="489" t="s">
        <v>51</v>
      </c>
      <c r="H167" s="53"/>
      <c r="I167" s="505">
        <v>1.0</v>
      </c>
      <c r="J167" s="490"/>
      <c r="K167" s="491"/>
      <c r="L167" s="482" t="s">
        <v>880</v>
      </c>
      <c r="M167" s="157" t="s">
        <v>1228</v>
      </c>
      <c r="N167" s="19"/>
      <c r="O167" s="32">
        <v>197.0</v>
      </c>
    </row>
    <row r="168">
      <c r="A168" s="137" t="s">
        <v>1229</v>
      </c>
      <c r="B168" s="142"/>
      <c r="C168" s="119">
        <v>1.98E8</v>
      </c>
      <c r="D168" s="26">
        <v>2015.0</v>
      </c>
      <c r="E168" s="26" t="s">
        <v>2192</v>
      </c>
      <c r="F168" s="12" t="s">
        <v>28</v>
      </c>
      <c r="G168" s="412" t="s">
        <v>51</v>
      </c>
      <c r="H168" s="53"/>
      <c r="I168" s="480">
        <v>2.0</v>
      </c>
      <c r="J168" s="481">
        <v>1.98E8</v>
      </c>
      <c r="K168" s="491"/>
      <c r="L168" s="491" t="s">
        <v>1232</v>
      </c>
      <c r="M168" s="152" t="s">
        <v>1233</v>
      </c>
      <c r="N168" s="158" t="s">
        <v>1234</v>
      </c>
      <c r="O168" s="32">
        <v>196.0</v>
      </c>
    </row>
    <row r="169">
      <c r="A169" s="20" t="s">
        <v>1235</v>
      </c>
      <c r="B169" s="26" t="s">
        <v>1236</v>
      </c>
      <c r="C169" s="22">
        <v>1.3E7</v>
      </c>
      <c r="D169" s="26">
        <v>2015.0</v>
      </c>
      <c r="E169" s="26" t="s">
        <v>2285</v>
      </c>
      <c r="F169" s="412" t="s">
        <v>28</v>
      </c>
      <c r="G169" s="412" t="s">
        <v>23</v>
      </c>
      <c r="H169" s="28"/>
      <c r="I169" s="480">
        <v>1.0</v>
      </c>
      <c r="J169" s="490"/>
      <c r="K169" s="110"/>
      <c r="L169" s="482" t="s">
        <v>147</v>
      </c>
      <c r="M169" s="106" t="s">
        <v>1238</v>
      </c>
      <c r="N169" s="106" t="s">
        <v>1239</v>
      </c>
      <c r="O169" s="32">
        <v>195.0</v>
      </c>
    </row>
    <row r="170">
      <c r="A170" s="20" t="s">
        <v>1240</v>
      </c>
      <c r="B170" s="111" t="s">
        <v>1241</v>
      </c>
      <c r="C170" s="22">
        <v>40000.0</v>
      </c>
      <c r="D170" s="26">
        <v>2015.0</v>
      </c>
      <c r="E170" s="26" t="s">
        <v>2497</v>
      </c>
      <c r="F170" s="412" t="s">
        <v>58</v>
      </c>
      <c r="G170" s="412" t="s">
        <v>23</v>
      </c>
      <c r="H170" s="28"/>
      <c r="I170" s="480">
        <v>4.0</v>
      </c>
      <c r="J170" s="490"/>
      <c r="K170" s="110"/>
      <c r="L170" s="491" t="s">
        <v>1243</v>
      </c>
      <c r="M170" s="106" t="s">
        <v>1244</v>
      </c>
      <c r="N170" s="113"/>
      <c r="O170" s="32">
        <v>194.0</v>
      </c>
    </row>
    <row r="171">
      <c r="A171" s="20" t="s">
        <v>1245</v>
      </c>
      <c r="B171" s="111" t="s">
        <v>1246</v>
      </c>
      <c r="C171" s="22">
        <v>3300000.0</v>
      </c>
      <c r="D171" s="26">
        <v>2015.0</v>
      </c>
      <c r="E171" s="26" t="s">
        <v>2340</v>
      </c>
      <c r="F171" s="412" t="s">
        <v>28</v>
      </c>
      <c r="G171" s="412" t="s">
        <v>51</v>
      </c>
      <c r="H171" s="28"/>
      <c r="I171" s="480">
        <v>2.0</v>
      </c>
      <c r="J171" s="490"/>
      <c r="K171" s="110"/>
      <c r="L171" s="491" t="s">
        <v>1248</v>
      </c>
      <c r="M171" s="106" t="s">
        <v>1249</v>
      </c>
      <c r="N171" s="113"/>
      <c r="O171" s="32">
        <v>193.0</v>
      </c>
    </row>
    <row r="172">
      <c r="A172" s="20" t="s">
        <v>1250</v>
      </c>
      <c r="B172" s="26" t="s">
        <v>1251</v>
      </c>
      <c r="C172" s="22">
        <v>6400000.0</v>
      </c>
      <c r="D172" s="26">
        <v>2015.0</v>
      </c>
      <c r="E172" s="26" t="s">
        <v>2306</v>
      </c>
      <c r="F172" s="412" t="s">
        <v>28</v>
      </c>
      <c r="G172" s="412" t="s">
        <v>23</v>
      </c>
      <c r="H172" s="28"/>
      <c r="I172" s="480">
        <v>5.0</v>
      </c>
      <c r="J172" s="490"/>
      <c r="K172" s="110"/>
      <c r="L172" s="491" t="s">
        <v>325</v>
      </c>
      <c r="M172" s="106" t="s">
        <v>1253</v>
      </c>
      <c r="N172" s="106" t="s">
        <v>1254</v>
      </c>
      <c r="O172" s="32">
        <v>192.0</v>
      </c>
    </row>
    <row r="173">
      <c r="A173" s="114" t="s">
        <v>1255</v>
      </c>
      <c r="B173" s="53"/>
      <c r="C173" s="22">
        <v>500000.0</v>
      </c>
      <c r="D173" s="26">
        <v>2015.0</v>
      </c>
      <c r="E173" s="34" t="s">
        <v>2418</v>
      </c>
      <c r="F173" s="489" t="s">
        <v>28</v>
      </c>
      <c r="G173" s="489" t="s">
        <v>23</v>
      </c>
      <c r="H173" s="115" t="s">
        <v>29</v>
      </c>
      <c r="I173" s="480">
        <v>5.0</v>
      </c>
      <c r="J173" s="490"/>
      <c r="K173" s="491"/>
      <c r="L173" s="491" t="s">
        <v>325</v>
      </c>
      <c r="M173" s="116" t="s">
        <v>1257</v>
      </c>
      <c r="N173" s="19"/>
      <c r="O173" s="32">
        <v>191.0</v>
      </c>
    </row>
    <row r="174">
      <c r="A174" s="159" t="s">
        <v>1258</v>
      </c>
      <c r="B174" s="115" t="s">
        <v>1259</v>
      </c>
      <c r="C174" s="22">
        <v>3.7E7</v>
      </c>
      <c r="D174" s="26">
        <v>2015.0</v>
      </c>
      <c r="E174" s="34" t="s">
        <v>2256</v>
      </c>
      <c r="F174" s="489" t="s">
        <v>28</v>
      </c>
      <c r="G174" s="489" t="s">
        <v>23</v>
      </c>
      <c r="H174" s="53"/>
      <c r="I174" s="480">
        <v>1.0</v>
      </c>
      <c r="J174" s="490"/>
      <c r="K174" s="491"/>
      <c r="L174" s="491" t="s">
        <v>702</v>
      </c>
      <c r="M174" s="160" t="s">
        <v>1261</v>
      </c>
      <c r="N174" s="19"/>
      <c r="O174" s="32">
        <v>190.0</v>
      </c>
    </row>
    <row r="175">
      <c r="A175" s="114" t="s">
        <v>1262</v>
      </c>
      <c r="B175" s="53"/>
      <c r="C175" s="22">
        <v>2.15E7</v>
      </c>
      <c r="D175" s="26">
        <v>2015.0</v>
      </c>
      <c r="E175" s="34" t="s">
        <v>2271</v>
      </c>
      <c r="F175" s="489" t="s">
        <v>64</v>
      </c>
      <c r="G175" s="489" t="s">
        <v>23</v>
      </c>
      <c r="H175" s="53"/>
      <c r="I175" s="480">
        <v>5.0</v>
      </c>
      <c r="J175" s="490"/>
      <c r="K175" s="491"/>
      <c r="L175" s="491" t="s">
        <v>905</v>
      </c>
      <c r="M175" s="160" t="s">
        <v>1264</v>
      </c>
      <c r="N175" s="116" t="s">
        <v>1265</v>
      </c>
      <c r="O175" s="32">
        <v>189.0</v>
      </c>
    </row>
    <row r="176">
      <c r="A176" s="114" t="s">
        <v>1266</v>
      </c>
      <c r="B176" s="53"/>
      <c r="C176" s="22">
        <v>4000000.0</v>
      </c>
      <c r="D176" s="26">
        <v>2015.0</v>
      </c>
      <c r="E176" s="34" t="s">
        <v>2326</v>
      </c>
      <c r="F176" s="489" t="s">
        <v>64</v>
      </c>
      <c r="G176" s="489" t="s">
        <v>23</v>
      </c>
      <c r="H176" s="53"/>
      <c r="I176" s="480">
        <v>2.0</v>
      </c>
      <c r="J176" s="490"/>
      <c r="K176" s="491"/>
      <c r="L176" s="491" t="s">
        <v>710</v>
      </c>
      <c r="M176" s="160" t="s">
        <v>1268</v>
      </c>
      <c r="N176" s="19"/>
      <c r="O176" s="32">
        <v>188.0</v>
      </c>
    </row>
    <row r="177">
      <c r="A177" s="161" t="s">
        <v>1269</v>
      </c>
      <c r="B177" s="53"/>
      <c r="C177" s="22">
        <v>30.0</v>
      </c>
      <c r="D177" s="26">
        <v>2015.0</v>
      </c>
      <c r="E177" s="34" t="s">
        <v>2504</v>
      </c>
      <c r="F177" s="499" t="s">
        <v>64</v>
      </c>
      <c r="G177" s="413" t="s">
        <v>142</v>
      </c>
      <c r="H177" s="34" t="s">
        <v>29</v>
      </c>
      <c r="I177" s="480">
        <v>4.0</v>
      </c>
      <c r="J177" s="490"/>
      <c r="K177" s="491"/>
      <c r="L177" s="491" t="s">
        <v>325</v>
      </c>
      <c r="M177" s="157" t="s">
        <v>1271</v>
      </c>
      <c r="N177" s="19"/>
      <c r="O177" s="32">
        <v>187.0</v>
      </c>
    </row>
    <row r="178">
      <c r="A178" s="161" t="s">
        <v>1272</v>
      </c>
      <c r="B178" s="115" t="s">
        <v>1273</v>
      </c>
      <c r="C178" s="22">
        <v>100000.0</v>
      </c>
      <c r="D178" s="26">
        <v>2015.0</v>
      </c>
      <c r="E178" s="34" t="s">
        <v>2478</v>
      </c>
      <c r="F178" s="489" t="s">
        <v>64</v>
      </c>
      <c r="G178" s="16" t="s">
        <v>23</v>
      </c>
      <c r="H178" s="53"/>
      <c r="I178" s="505">
        <v>1.0</v>
      </c>
      <c r="J178" s="490"/>
      <c r="K178" s="491"/>
      <c r="L178" s="491" t="s">
        <v>1088</v>
      </c>
      <c r="M178" s="160" t="s">
        <v>1275</v>
      </c>
      <c r="N178" s="19"/>
      <c r="O178" s="32">
        <v>186.0</v>
      </c>
    </row>
    <row r="179">
      <c r="A179" s="161" t="s">
        <v>1276</v>
      </c>
      <c r="B179" s="115" t="s">
        <v>1277</v>
      </c>
      <c r="C179" s="22">
        <v>400000.0</v>
      </c>
      <c r="D179" s="26">
        <v>2015.0</v>
      </c>
      <c r="E179" s="34" t="s">
        <v>2425</v>
      </c>
      <c r="F179" s="412" t="s">
        <v>2163</v>
      </c>
      <c r="G179" s="489" t="s">
        <v>23</v>
      </c>
      <c r="H179" s="53"/>
      <c r="I179" s="480">
        <v>2.0</v>
      </c>
      <c r="J179" s="490"/>
      <c r="K179" s="491"/>
      <c r="L179" s="491" t="s">
        <v>702</v>
      </c>
      <c r="M179" s="162" t="s">
        <v>1279</v>
      </c>
      <c r="N179" s="19"/>
      <c r="O179" s="32">
        <v>185.0</v>
      </c>
    </row>
    <row r="180">
      <c r="A180" s="161" t="s">
        <v>1280</v>
      </c>
      <c r="B180" s="115" t="s">
        <v>1281</v>
      </c>
      <c r="C180" s="22">
        <v>3900000.0</v>
      </c>
      <c r="D180" s="26">
        <v>2015.0</v>
      </c>
      <c r="E180" s="34" t="s">
        <v>2334</v>
      </c>
      <c r="F180" s="489" t="s">
        <v>28</v>
      </c>
      <c r="G180" s="489" t="s">
        <v>23</v>
      </c>
      <c r="H180" s="53"/>
      <c r="I180" s="505">
        <v>1.0</v>
      </c>
      <c r="J180" s="490"/>
      <c r="K180" s="491"/>
      <c r="L180" s="491" t="s">
        <v>1283</v>
      </c>
      <c r="M180" s="160" t="s">
        <v>1284</v>
      </c>
      <c r="N180" s="19"/>
      <c r="O180" s="32">
        <v>184.0</v>
      </c>
    </row>
    <row r="181">
      <c r="A181" s="163" t="s">
        <v>1285</v>
      </c>
      <c r="B181" s="111" t="s">
        <v>1286</v>
      </c>
      <c r="C181" s="22">
        <v>7.0E7</v>
      </c>
      <c r="D181" s="26">
        <v>2015.0</v>
      </c>
      <c r="E181" s="26" t="s">
        <v>2211</v>
      </c>
      <c r="F181" s="412" t="s">
        <v>28</v>
      </c>
      <c r="G181" s="412" t="s">
        <v>23</v>
      </c>
      <c r="H181" s="26" t="s">
        <v>29</v>
      </c>
      <c r="I181" s="480">
        <v>5.0</v>
      </c>
      <c r="J181" s="481">
        <v>7.0E7</v>
      </c>
      <c r="K181" s="110"/>
      <c r="L181" s="491" t="s">
        <v>1289</v>
      </c>
      <c r="M181" s="106" t="s">
        <v>1290</v>
      </c>
      <c r="N181" s="113"/>
      <c r="O181" s="32">
        <v>183.0</v>
      </c>
    </row>
    <row r="182">
      <c r="A182" s="163" t="s">
        <v>1291</v>
      </c>
      <c r="B182" s="34" t="s">
        <v>1292</v>
      </c>
      <c r="C182" s="22">
        <v>157000.0</v>
      </c>
      <c r="D182" s="26">
        <v>2015.0</v>
      </c>
      <c r="E182" s="26" t="s">
        <v>2460</v>
      </c>
      <c r="F182" s="412" t="s">
        <v>129</v>
      </c>
      <c r="G182" s="412" t="s">
        <v>23</v>
      </c>
      <c r="H182" s="28"/>
      <c r="I182" s="480">
        <v>2.0</v>
      </c>
      <c r="J182" s="490"/>
      <c r="K182" s="110"/>
      <c r="L182" s="491" t="s">
        <v>905</v>
      </c>
      <c r="M182" s="125" t="s">
        <v>1294</v>
      </c>
      <c r="N182" s="106" t="s">
        <v>1295</v>
      </c>
      <c r="O182" s="32">
        <v>182.0</v>
      </c>
    </row>
    <row r="183">
      <c r="A183" s="164" t="s">
        <v>1296</v>
      </c>
      <c r="B183" s="115"/>
      <c r="C183" s="22">
        <v>1.5E7</v>
      </c>
      <c r="D183" s="26">
        <v>2015.0</v>
      </c>
      <c r="E183" s="34" t="s">
        <v>2280</v>
      </c>
      <c r="F183" s="16" t="s">
        <v>129</v>
      </c>
      <c r="G183" s="489" t="s">
        <v>23</v>
      </c>
      <c r="H183" s="53"/>
      <c r="I183" s="480">
        <v>3.0</v>
      </c>
      <c r="J183" s="490"/>
      <c r="K183" s="491"/>
      <c r="L183" s="491" t="s">
        <v>286</v>
      </c>
      <c r="M183" s="146" t="s">
        <v>1298</v>
      </c>
      <c r="N183" s="19"/>
      <c r="O183" s="32">
        <v>181.0</v>
      </c>
    </row>
    <row r="184">
      <c r="A184" s="114" t="s">
        <v>1299</v>
      </c>
      <c r="B184" s="115" t="s">
        <v>1300</v>
      </c>
      <c r="C184" s="22">
        <v>500000.0</v>
      </c>
      <c r="D184" s="26">
        <v>2015.0</v>
      </c>
      <c r="E184" s="34" t="s">
        <v>2419</v>
      </c>
      <c r="F184" s="412" t="s">
        <v>2163</v>
      </c>
      <c r="G184" s="16" t="s">
        <v>23</v>
      </c>
      <c r="H184" s="53"/>
      <c r="I184" s="505">
        <v>1.0</v>
      </c>
      <c r="J184" s="490"/>
      <c r="K184" s="491"/>
      <c r="L184" s="491" t="s">
        <v>34</v>
      </c>
      <c r="M184" s="157" t="s">
        <v>1302</v>
      </c>
      <c r="N184" s="19"/>
      <c r="O184" s="32">
        <v>180.0</v>
      </c>
    </row>
    <row r="185">
      <c r="A185" s="114" t="s">
        <v>1303</v>
      </c>
      <c r="B185" s="115" t="s">
        <v>1304</v>
      </c>
      <c r="C185" s="22">
        <v>2400000.0</v>
      </c>
      <c r="D185" s="26">
        <v>2015.0</v>
      </c>
      <c r="E185" s="34" t="s">
        <v>2356</v>
      </c>
      <c r="F185" s="16" t="s">
        <v>129</v>
      </c>
      <c r="G185" s="489" t="s">
        <v>23</v>
      </c>
      <c r="H185" s="53"/>
      <c r="I185" s="480">
        <v>5.0</v>
      </c>
      <c r="J185" s="490"/>
      <c r="K185" s="491"/>
      <c r="L185" s="491" t="s">
        <v>325</v>
      </c>
      <c r="M185" s="160" t="s">
        <v>1306</v>
      </c>
      <c r="N185" s="19"/>
      <c r="O185" s="32">
        <v>179.0</v>
      </c>
    </row>
    <row r="186">
      <c r="A186" s="114" t="s">
        <v>882</v>
      </c>
      <c r="B186" s="115" t="s">
        <v>1307</v>
      </c>
      <c r="C186" s="22">
        <v>10000.0</v>
      </c>
      <c r="D186" s="26">
        <v>2015.0</v>
      </c>
      <c r="E186" s="34" t="s">
        <v>2502</v>
      </c>
      <c r="F186" s="488" t="s">
        <v>22</v>
      </c>
      <c r="G186" s="499" t="s">
        <v>23</v>
      </c>
      <c r="H186" s="53"/>
      <c r="I186" s="505">
        <v>1.0</v>
      </c>
      <c r="J186" s="490"/>
      <c r="K186" s="491"/>
      <c r="L186" s="491" t="s">
        <v>325</v>
      </c>
      <c r="M186" s="160" t="s">
        <v>1309</v>
      </c>
      <c r="N186" s="117"/>
      <c r="O186" s="32">
        <v>178.0</v>
      </c>
    </row>
    <row r="187">
      <c r="A187" s="114" t="s">
        <v>1310</v>
      </c>
      <c r="B187" s="115" t="s">
        <v>1311</v>
      </c>
      <c r="C187" s="22">
        <v>8.0E7</v>
      </c>
      <c r="D187" s="26">
        <v>2015.0</v>
      </c>
      <c r="E187" s="34" t="s">
        <v>2209</v>
      </c>
      <c r="F187" s="412" t="s">
        <v>258</v>
      </c>
      <c r="G187" s="489" t="s">
        <v>23</v>
      </c>
      <c r="H187" s="115" t="s">
        <v>29</v>
      </c>
      <c r="I187" s="480">
        <v>2.0</v>
      </c>
      <c r="J187" s="481">
        <v>8.0E7</v>
      </c>
      <c r="K187" s="491"/>
      <c r="L187" s="482" t="s">
        <v>688</v>
      </c>
      <c r="M187" s="135" t="s">
        <v>1314</v>
      </c>
      <c r="N187" s="19"/>
      <c r="O187" s="32">
        <v>177.0</v>
      </c>
    </row>
    <row r="188">
      <c r="A188" s="163" t="s">
        <v>1315</v>
      </c>
      <c r="B188" s="111"/>
      <c r="C188" s="22">
        <v>4500000.0</v>
      </c>
      <c r="D188" s="26">
        <v>2015.0</v>
      </c>
      <c r="E188" s="26" t="s">
        <v>2226</v>
      </c>
      <c r="F188" s="412" t="s">
        <v>258</v>
      </c>
      <c r="G188" s="412" t="s">
        <v>23</v>
      </c>
      <c r="H188" s="28"/>
      <c r="I188" s="480">
        <v>4.0</v>
      </c>
      <c r="J188" s="481">
        <v>4500000.0</v>
      </c>
      <c r="K188" s="110"/>
      <c r="L188" s="482" t="s">
        <v>1318</v>
      </c>
      <c r="M188" s="467" t="s">
        <v>1319</v>
      </c>
      <c r="N188" s="31"/>
      <c r="O188" s="32">
        <v>176.0</v>
      </c>
    </row>
    <row r="189">
      <c r="A189" s="165" t="s">
        <v>509</v>
      </c>
      <c r="B189" s="130" t="s">
        <v>1320</v>
      </c>
      <c r="C189" s="22">
        <v>1100000.0</v>
      </c>
      <c r="D189" s="26">
        <v>2014.0</v>
      </c>
      <c r="E189" s="111" t="s">
        <v>2390</v>
      </c>
      <c r="F189" s="499" t="s">
        <v>43</v>
      </c>
      <c r="G189" s="499" t="s">
        <v>23</v>
      </c>
      <c r="H189" s="28"/>
      <c r="I189" s="480">
        <v>2.0</v>
      </c>
      <c r="J189" s="490"/>
      <c r="K189" s="110"/>
      <c r="L189" s="491" t="s">
        <v>841</v>
      </c>
      <c r="M189" s="166" t="s">
        <v>1322</v>
      </c>
      <c r="N189" s="166" t="s">
        <v>1323</v>
      </c>
      <c r="O189" s="32">
        <v>175.0</v>
      </c>
    </row>
    <row r="190">
      <c r="A190" s="165" t="s">
        <v>1324</v>
      </c>
      <c r="B190" s="28"/>
      <c r="C190" s="22">
        <v>2400000.0</v>
      </c>
      <c r="D190" s="26">
        <v>2014.0</v>
      </c>
      <c r="E190" s="111" t="s">
        <v>2357</v>
      </c>
      <c r="F190" s="499" t="s">
        <v>28</v>
      </c>
      <c r="G190" s="499" t="s">
        <v>23</v>
      </c>
      <c r="H190" s="28"/>
      <c r="I190" s="505">
        <v>1.0</v>
      </c>
      <c r="J190" s="490"/>
      <c r="K190" s="110"/>
      <c r="L190" s="482" t="s">
        <v>918</v>
      </c>
      <c r="M190" s="106" t="s">
        <v>1326</v>
      </c>
      <c r="N190" s="113"/>
      <c r="O190" s="32">
        <v>174.0</v>
      </c>
    </row>
    <row r="191">
      <c r="A191" s="20" t="s">
        <v>1327</v>
      </c>
      <c r="B191" s="28"/>
      <c r="C191" s="22">
        <v>4500000.0</v>
      </c>
      <c r="D191" s="26">
        <v>2014.0</v>
      </c>
      <c r="E191" s="26" t="s">
        <v>2321</v>
      </c>
      <c r="F191" s="412" t="s">
        <v>258</v>
      </c>
      <c r="G191" s="499" t="s">
        <v>23</v>
      </c>
      <c r="H191" s="130" t="s">
        <v>29</v>
      </c>
      <c r="I191" s="480">
        <v>2.0</v>
      </c>
      <c r="J191" s="490"/>
      <c r="K191" s="110"/>
      <c r="L191" s="491" t="s">
        <v>1088</v>
      </c>
      <c r="M191" s="166" t="s">
        <v>1329</v>
      </c>
      <c r="N191" s="113"/>
      <c r="O191" s="32">
        <v>173.0</v>
      </c>
    </row>
    <row r="192">
      <c r="A192" s="20" t="s">
        <v>1330</v>
      </c>
      <c r="B192" s="138"/>
      <c r="C192" s="22">
        <v>5190396.0</v>
      </c>
      <c r="D192" s="26">
        <v>2014.0</v>
      </c>
      <c r="E192" s="26" t="s">
        <v>2312</v>
      </c>
      <c r="F192" s="412" t="s">
        <v>64</v>
      </c>
      <c r="G192" s="413" t="s">
        <v>142</v>
      </c>
      <c r="H192" s="28"/>
      <c r="I192" s="480">
        <v>2.0</v>
      </c>
      <c r="J192" s="490"/>
      <c r="K192" s="110"/>
      <c r="L192" s="482" t="s">
        <v>1332</v>
      </c>
      <c r="M192" s="106" t="s">
        <v>1333</v>
      </c>
      <c r="N192" s="113"/>
      <c r="O192" s="32">
        <v>172.0</v>
      </c>
    </row>
    <row r="193">
      <c r="A193" s="114" t="s">
        <v>1334</v>
      </c>
      <c r="B193" s="53"/>
      <c r="C193" s="22">
        <v>1.0E7</v>
      </c>
      <c r="D193" s="26">
        <v>2014.0</v>
      </c>
      <c r="E193" s="34" t="s">
        <v>2293</v>
      </c>
      <c r="F193" s="16" t="s">
        <v>38</v>
      </c>
      <c r="G193" s="489" t="s">
        <v>23</v>
      </c>
      <c r="H193" s="53"/>
      <c r="I193" s="480">
        <v>2.0</v>
      </c>
      <c r="J193" s="490"/>
      <c r="K193" s="491"/>
      <c r="L193" s="491" t="s">
        <v>1336</v>
      </c>
      <c r="M193" s="116" t="s">
        <v>1337</v>
      </c>
      <c r="N193" s="19"/>
      <c r="O193" s="32">
        <v>171.0</v>
      </c>
    </row>
    <row r="194">
      <c r="A194" s="165" t="s">
        <v>1338</v>
      </c>
      <c r="B194" s="53"/>
      <c r="C194" s="22">
        <v>146000.0</v>
      </c>
      <c r="D194" s="26">
        <v>2014.0</v>
      </c>
      <c r="E194" s="26" t="s">
        <v>2463</v>
      </c>
      <c r="F194" s="412" t="s">
        <v>2060</v>
      </c>
      <c r="G194" s="499" t="s">
        <v>51</v>
      </c>
      <c r="H194" s="28"/>
      <c r="I194" s="480">
        <v>2.0</v>
      </c>
      <c r="J194" s="490"/>
      <c r="K194" s="110"/>
      <c r="L194" s="491" t="s">
        <v>1338</v>
      </c>
      <c r="M194" s="166" t="s">
        <v>1340</v>
      </c>
      <c r="N194" s="166" t="s">
        <v>1341</v>
      </c>
      <c r="O194" s="32">
        <v>170.0</v>
      </c>
    </row>
    <row r="195">
      <c r="A195" s="167" t="s">
        <v>1342</v>
      </c>
      <c r="B195" s="28"/>
      <c r="C195" s="22">
        <v>1.45E8</v>
      </c>
      <c r="D195" s="26">
        <v>2014.0</v>
      </c>
      <c r="E195" s="26" t="s">
        <v>2196</v>
      </c>
      <c r="F195" s="499" t="s">
        <v>28</v>
      </c>
      <c r="G195" s="499" t="s">
        <v>23</v>
      </c>
      <c r="H195" s="130" t="s">
        <v>29</v>
      </c>
      <c r="I195" s="505">
        <v>1.0</v>
      </c>
      <c r="J195" s="481">
        <v>1.45E8</v>
      </c>
      <c r="K195" s="110"/>
      <c r="L195" s="482" t="s">
        <v>591</v>
      </c>
      <c r="M195" s="106" t="s">
        <v>1345</v>
      </c>
      <c r="N195" s="113"/>
      <c r="O195" s="32">
        <v>169.0</v>
      </c>
    </row>
    <row r="196">
      <c r="A196" s="161" t="s">
        <v>1346</v>
      </c>
      <c r="B196" s="53"/>
      <c r="C196" s="22">
        <v>4000000.0</v>
      </c>
      <c r="D196" s="26">
        <v>2014.0</v>
      </c>
      <c r="E196" s="34" t="s">
        <v>2327</v>
      </c>
      <c r="F196" s="489" t="s">
        <v>43</v>
      </c>
      <c r="G196" s="489" t="s">
        <v>23</v>
      </c>
      <c r="H196" s="53"/>
      <c r="I196" s="480">
        <v>3.0</v>
      </c>
      <c r="J196" s="490"/>
      <c r="K196" s="491"/>
      <c r="L196" s="491" t="s">
        <v>1348</v>
      </c>
      <c r="M196" s="116" t="s">
        <v>1349</v>
      </c>
      <c r="N196" s="19"/>
      <c r="O196" s="32">
        <v>168.0</v>
      </c>
    </row>
    <row r="197">
      <c r="A197" s="167" t="s">
        <v>1350</v>
      </c>
      <c r="B197" s="28"/>
      <c r="C197" s="22">
        <v>4000000.0</v>
      </c>
      <c r="D197" s="26">
        <v>2014.0</v>
      </c>
      <c r="E197" s="26" t="s">
        <v>2328</v>
      </c>
      <c r="F197" s="412" t="s">
        <v>58</v>
      </c>
      <c r="G197" s="499" t="s">
        <v>23</v>
      </c>
      <c r="H197" s="28"/>
      <c r="I197" s="505">
        <v>1.0</v>
      </c>
      <c r="J197" s="490"/>
      <c r="K197" s="110"/>
      <c r="L197" s="491" t="s">
        <v>1352</v>
      </c>
      <c r="M197" s="166" t="s">
        <v>1353</v>
      </c>
      <c r="N197" s="113"/>
      <c r="O197" s="32">
        <v>167.0</v>
      </c>
    </row>
    <row r="198">
      <c r="A198" s="114" t="s">
        <v>1354</v>
      </c>
      <c r="B198" s="53"/>
      <c r="C198" s="22">
        <v>7.6E7</v>
      </c>
      <c r="D198" s="26">
        <v>2014.0</v>
      </c>
      <c r="E198" s="34" t="s">
        <v>2210</v>
      </c>
      <c r="F198" s="412" t="s">
        <v>58</v>
      </c>
      <c r="G198" s="489" t="s">
        <v>23</v>
      </c>
      <c r="H198" s="115" t="s">
        <v>29</v>
      </c>
      <c r="I198" s="480">
        <v>3.0</v>
      </c>
      <c r="J198" s="481">
        <v>7.6E7</v>
      </c>
      <c r="K198" s="491"/>
      <c r="L198" s="491" t="s">
        <v>1357</v>
      </c>
      <c r="M198" s="116" t="s">
        <v>1358</v>
      </c>
      <c r="N198" s="19"/>
      <c r="O198" s="32">
        <v>166.0</v>
      </c>
    </row>
    <row r="199">
      <c r="A199" s="165" t="s">
        <v>1359</v>
      </c>
      <c r="B199" s="28"/>
      <c r="C199" s="22">
        <v>52000.0</v>
      </c>
      <c r="D199" s="26">
        <v>2014.0</v>
      </c>
      <c r="E199" s="26" t="s">
        <v>2491</v>
      </c>
      <c r="F199" s="499" t="s">
        <v>22</v>
      </c>
      <c r="G199" s="499" t="s">
        <v>51</v>
      </c>
      <c r="H199" s="130" t="s">
        <v>29</v>
      </c>
      <c r="I199" s="505">
        <v>1.0</v>
      </c>
      <c r="J199" s="490"/>
      <c r="K199" s="110"/>
      <c r="L199" s="491" t="s">
        <v>902</v>
      </c>
      <c r="M199" s="166" t="s">
        <v>1361</v>
      </c>
      <c r="N199" s="113"/>
      <c r="O199" s="32">
        <v>165.0</v>
      </c>
    </row>
    <row r="200">
      <c r="A200" s="20" t="s">
        <v>1362</v>
      </c>
      <c r="B200" s="26"/>
      <c r="C200" s="22">
        <v>2700000.0</v>
      </c>
      <c r="D200" s="26">
        <v>2014.0</v>
      </c>
      <c r="E200" s="26" t="s">
        <v>2350</v>
      </c>
      <c r="F200" s="412" t="s">
        <v>58</v>
      </c>
      <c r="G200" s="412" t="s">
        <v>23</v>
      </c>
      <c r="H200" s="28"/>
      <c r="I200" s="480">
        <v>4.0</v>
      </c>
      <c r="J200" s="490"/>
      <c r="K200" s="110"/>
      <c r="L200" s="491" t="s">
        <v>286</v>
      </c>
      <c r="M200" s="106" t="s">
        <v>1364</v>
      </c>
      <c r="N200" s="113"/>
      <c r="O200" s="32">
        <v>164.0</v>
      </c>
    </row>
    <row r="201">
      <c r="A201" s="165" t="s">
        <v>1365</v>
      </c>
      <c r="B201" s="53"/>
      <c r="C201" s="22">
        <v>750000.0</v>
      </c>
      <c r="D201" s="26">
        <v>2014.0</v>
      </c>
      <c r="E201" s="26" t="s">
        <v>2408</v>
      </c>
      <c r="F201" s="499" t="s">
        <v>22</v>
      </c>
      <c r="G201" s="499" t="s">
        <v>23</v>
      </c>
      <c r="H201" s="28"/>
      <c r="I201" s="480">
        <v>2.0</v>
      </c>
      <c r="J201" s="490"/>
      <c r="K201" s="110"/>
      <c r="L201" s="482" t="s">
        <v>1367</v>
      </c>
      <c r="M201" s="166" t="s">
        <v>1368</v>
      </c>
      <c r="N201" s="166" t="s">
        <v>1369</v>
      </c>
      <c r="O201" s="32">
        <v>163.0</v>
      </c>
    </row>
    <row r="202">
      <c r="A202" s="165" t="s">
        <v>1370</v>
      </c>
      <c r="B202" s="53"/>
      <c r="C202" s="22">
        <v>1160000.0</v>
      </c>
      <c r="D202" s="26">
        <v>2014.0</v>
      </c>
      <c r="E202" s="26" t="s">
        <v>2388</v>
      </c>
      <c r="F202" s="412" t="s">
        <v>43</v>
      </c>
      <c r="G202" s="499" t="s">
        <v>23</v>
      </c>
      <c r="H202" s="28"/>
      <c r="I202" s="480">
        <v>3.0</v>
      </c>
      <c r="J202" s="490"/>
      <c r="K202" s="110"/>
      <c r="L202" s="491" t="s">
        <v>817</v>
      </c>
      <c r="M202" s="166" t="s">
        <v>1372</v>
      </c>
      <c r="N202" s="113"/>
      <c r="O202" s="32">
        <v>162.0</v>
      </c>
    </row>
    <row r="203">
      <c r="A203" s="52" t="s">
        <v>1373</v>
      </c>
      <c r="B203" s="53"/>
      <c r="C203" s="22">
        <v>5000000.0</v>
      </c>
      <c r="D203" s="26">
        <v>2014.0</v>
      </c>
      <c r="E203" s="34" t="s">
        <v>2317</v>
      </c>
      <c r="F203" s="489" t="s">
        <v>28</v>
      </c>
      <c r="G203" s="489" t="s">
        <v>23</v>
      </c>
      <c r="H203" s="115" t="s">
        <v>29</v>
      </c>
      <c r="I203" s="505">
        <v>1.0</v>
      </c>
      <c r="J203" s="490"/>
      <c r="K203" s="491"/>
      <c r="L203" s="491" t="s">
        <v>1375</v>
      </c>
      <c r="M203" s="116" t="s">
        <v>1376</v>
      </c>
      <c r="N203" s="19"/>
      <c r="O203" s="32">
        <v>161.0</v>
      </c>
    </row>
    <row r="204">
      <c r="A204" s="114" t="s">
        <v>1377</v>
      </c>
      <c r="B204" s="53"/>
      <c r="C204" s="22">
        <v>5.6E7</v>
      </c>
      <c r="D204" s="26">
        <v>2014.0</v>
      </c>
      <c r="E204" s="34" t="s">
        <v>2241</v>
      </c>
      <c r="F204" s="489" t="s">
        <v>43</v>
      </c>
      <c r="G204" s="489" t="s">
        <v>23</v>
      </c>
      <c r="H204" s="115" t="s">
        <v>29</v>
      </c>
      <c r="I204" s="480">
        <v>3.0</v>
      </c>
      <c r="J204" s="490"/>
      <c r="K204" s="491"/>
      <c r="L204" s="491" t="s">
        <v>702</v>
      </c>
      <c r="M204" s="116" t="s">
        <v>1379</v>
      </c>
      <c r="N204" s="19"/>
      <c r="O204" s="32">
        <v>160.0</v>
      </c>
    </row>
    <row r="205">
      <c r="A205" s="114" t="s">
        <v>1380</v>
      </c>
      <c r="B205" s="53"/>
      <c r="C205" s="22">
        <v>2.0E7</v>
      </c>
      <c r="D205" s="26">
        <v>2014.0</v>
      </c>
      <c r="E205" s="34" t="s">
        <v>2273</v>
      </c>
      <c r="F205" s="412" t="s">
        <v>58</v>
      </c>
      <c r="G205" s="489" t="s">
        <v>59</v>
      </c>
      <c r="H205" s="53"/>
      <c r="I205" s="480">
        <v>5.0</v>
      </c>
      <c r="J205" s="490"/>
      <c r="K205" s="491"/>
      <c r="L205" s="491" t="s">
        <v>1382</v>
      </c>
      <c r="M205" s="116" t="s">
        <v>1383</v>
      </c>
      <c r="N205" s="19"/>
      <c r="O205" s="32">
        <v>159.0</v>
      </c>
    </row>
    <row r="206">
      <c r="A206" s="165" t="s">
        <v>1384</v>
      </c>
      <c r="B206" s="28"/>
      <c r="C206" s="22">
        <v>600000.0</v>
      </c>
      <c r="D206" s="26">
        <v>2014.0</v>
      </c>
      <c r="E206" s="26" t="s">
        <v>2411</v>
      </c>
      <c r="F206" s="412" t="s">
        <v>43</v>
      </c>
      <c r="G206" s="499" t="s">
        <v>23</v>
      </c>
      <c r="H206" s="28"/>
      <c r="I206" s="505">
        <v>1.0</v>
      </c>
      <c r="J206" s="490"/>
      <c r="K206" s="110"/>
      <c r="L206" s="491" t="s">
        <v>325</v>
      </c>
      <c r="M206" s="166" t="s">
        <v>1386</v>
      </c>
      <c r="N206" s="113"/>
      <c r="O206" s="32">
        <v>158.0</v>
      </c>
    </row>
    <row r="207">
      <c r="A207" s="165" t="s">
        <v>1387</v>
      </c>
      <c r="B207" s="28"/>
      <c r="C207" s="22">
        <v>76000.0</v>
      </c>
      <c r="D207" s="26">
        <v>2014.0</v>
      </c>
      <c r="E207" s="26" t="s">
        <v>2486</v>
      </c>
      <c r="F207" s="499" t="s">
        <v>28</v>
      </c>
      <c r="G207" s="499" t="s">
        <v>51</v>
      </c>
      <c r="H207" s="28"/>
      <c r="I207" s="480">
        <v>2.0</v>
      </c>
      <c r="J207" s="490"/>
      <c r="K207" s="110"/>
      <c r="L207" s="491" t="s">
        <v>325</v>
      </c>
      <c r="M207" s="166" t="s">
        <v>1389</v>
      </c>
      <c r="N207" s="113"/>
      <c r="O207" s="32">
        <v>157.0</v>
      </c>
    </row>
    <row r="208">
      <c r="A208" s="165" t="s">
        <v>1390</v>
      </c>
      <c r="B208" s="130" t="s">
        <v>1391</v>
      </c>
      <c r="C208" s="22">
        <v>1.6E8</v>
      </c>
      <c r="D208" s="26">
        <v>2013.0</v>
      </c>
      <c r="E208" s="26" t="s">
        <v>2194</v>
      </c>
      <c r="F208" s="412" t="s">
        <v>58</v>
      </c>
      <c r="G208" s="499" t="s">
        <v>23</v>
      </c>
      <c r="H208" s="130" t="s">
        <v>29</v>
      </c>
      <c r="I208" s="480">
        <v>5.0</v>
      </c>
      <c r="J208" s="481">
        <v>1.6E8</v>
      </c>
      <c r="K208" s="110"/>
      <c r="L208" s="482" t="s">
        <v>1394</v>
      </c>
      <c r="M208" s="106" t="s">
        <v>1395</v>
      </c>
      <c r="N208" s="113"/>
      <c r="O208" s="32">
        <v>156.0</v>
      </c>
    </row>
    <row r="209">
      <c r="A209" s="114" t="s">
        <v>1396</v>
      </c>
      <c r="B209" s="28"/>
      <c r="C209" s="22">
        <v>344579.0</v>
      </c>
      <c r="D209" s="26">
        <v>2013.0</v>
      </c>
      <c r="E209" s="26" t="s">
        <v>2430</v>
      </c>
      <c r="F209" s="412" t="s">
        <v>258</v>
      </c>
      <c r="G209" s="412" t="s">
        <v>1034</v>
      </c>
      <c r="H209" s="130" t="s">
        <v>29</v>
      </c>
      <c r="I209" s="480">
        <v>4.0</v>
      </c>
      <c r="J209" s="490"/>
      <c r="K209" s="491"/>
      <c r="L209" s="482" t="s">
        <v>1398</v>
      </c>
      <c r="M209" s="135" t="s">
        <v>1399</v>
      </c>
      <c r="N209" s="136"/>
      <c r="O209" s="32">
        <v>155.0</v>
      </c>
    </row>
    <row r="210">
      <c r="A210" s="168" t="s">
        <v>1400</v>
      </c>
      <c r="B210" s="169"/>
      <c r="C210" s="170">
        <v>150000.0</v>
      </c>
      <c r="D210" s="173">
        <v>2013.0</v>
      </c>
      <c r="E210" s="173" t="s">
        <v>2462</v>
      </c>
      <c r="F210" s="507" t="s">
        <v>58</v>
      </c>
      <c r="G210" s="508" t="s">
        <v>142</v>
      </c>
      <c r="H210" s="175" t="s">
        <v>29</v>
      </c>
      <c r="I210" s="509">
        <v>2.0</v>
      </c>
      <c r="J210" s="510"/>
      <c r="K210" s="241"/>
      <c r="L210" s="511" t="s">
        <v>1110</v>
      </c>
      <c r="M210" s="178" t="s">
        <v>1402</v>
      </c>
      <c r="N210" s="179"/>
      <c r="O210" s="32">
        <v>154.0</v>
      </c>
    </row>
    <row r="211">
      <c r="A211" s="165" t="s">
        <v>1403</v>
      </c>
      <c r="B211" s="130" t="s">
        <v>1404</v>
      </c>
      <c r="C211" s="22">
        <v>4.0E7</v>
      </c>
      <c r="D211" s="26">
        <v>2013.0</v>
      </c>
      <c r="E211" s="111" t="s">
        <v>2253</v>
      </c>
      <c r="F211" s="499" t="s">
        <v>28</v>
      </c>
      <c r="G211" s="499" t="s">
        <v>23</v>
      </c>
      <c r="H211" s="28"/>
      <c r="I211" s="505">
        <v>1.0</v>
      </c>
      <c r="J211" s="490"/>
      <c r="K211" s="110"/>
      <c r="L211" s="482" t="s">
        <v>1406</v>
      </c>
      <c r="M211" s="166" t="s">
        <v>1407</v>
      </c>
      <c r="N211" s="106" t="s">
        <v>1408</v>
      </c>
      <c r="O211" s="32">
        <v>153.0</v>
      </c>
    </row>
    <row r="212">
      <c r="A212" s="165" t="s">
        <v>1409</v>
      </c>
      <c r="B212" s="130" t="s">
        <v>1410</v>
      </c>
      <c r="C212" s="119">
        <f>0.01*50000000</f>
        <v>500000</v>
      </c>
      <c r="D212" s="26">
        <v>2013.0</v>
      </c>
      <c r="E212" s="26" t="s">
        <v>2420</v>
      </c>
      <c r="F212" s="499" t="s">
        <v>28</v>
      </c>
      <c r="G212" s="499" t="s">
        <v>23</v>
      </c>
      <c r="H212" s="28"/>
      <c r="I212" s="505">
        <v>1.0</v>
      </c>
      <c r="J212" s="490"/>
      <c r="K212" s="110"/>
      <c r="L212" s="482" t="s">
        <v>1412</v>
      </c>
      <c r="M212" s="166" t="s">
        <v>1413</v>
      </c>
      <c r="N212" s="166" t="s">
        <v>1414</v>
      </c>
      <c r="O212" s="32">
        <v>152.0</v>
      </c>
    </row>
    <row r="213">
      <c r="A213" s="165" t="s">
        <v>1415</v>
      </c>
      <c r="B213" s="130" t="s">
        <v>1416</v>
      </c>
      <c r="C213" s="22">
        <v>5.0E7</v>
      </c>
      <c r="D213" s="26">
        <v>2013.0</v>
      </c>
      <c r="E213" s="26" t="s">
        <v>2243</v>
      </c>
      <c r="F213" s="499" t="s">
        <v>28</v>
      </c>
      <c r="G213" s="499" t="s">
        <v>23</v>
      </c>
      <c r="H213" s="28"/>
      <c r="I213" s="480">
        <v>1.0</v>
      </c>
      <c r="J213" s="490"/>
      <c r="K213" s="110"/>
      <c r="L213" s="482" t="s">
        <v>1418</v>
      </c>
      <c r="M213" s="116" t="s">
        <v>1419</v>
      </c>
      <c r="N213" s="166" t="s">
        <v>1420</v>
      </c>
      <c r="O213" s="32">
        <v>151.0</v>
      </c>
    </row>
    <row r="214">
      <c r="A214" s="20" t="s">
        <v>996</v>
      </c>
      <c r="B214" s="26"/>
      <c r="C214" s="22">
        <v>5.5E8</v>
      </c>
      <c r="D214" s="26">
        <v>2013.0</v>
      </c>
      <c r="E214" s="26" t="s">
        <v>2178</v>
      </c>
      <c r="F214" s="412" t="s">
        <v>28</v>
      </c>
      <c r="G214" s="412" t="s">
        <v>23</v>
      </c>
      <c r="H214" s="28"/>
      <c r="I214" s="480">
        <v>2.0</v>
      </c>
      <c r="J214" s="481">
        <v>1.0E9</v>
      </c>
      <c r="K214" s="110"/>
      <c r="L214" s="482" t="s">
        <v>1423</v>
      </c>
      <c r="M214" s="106" t="s">
        <v>1424</v>
      </c>
      <c r="N214" s="466" t="s">
        <v>1425</v>
      </c>
      <c r="O214" s="32">
        <v>150.0</v>
      </c>
    </row>
    <row r="215">
      <c r="A215" s="165" t="s">
        <v>1426</v>
      </c>
      <c r="B215" s="28"/>
      <c r="C215" s="22">
        <v>4600000.0</v>
      </c>
      <c r="D215" s="26">
        <v>2013.0</v>
      </c>
      <c r="E215" s="111" t="s">
        <v>2320</v>
      </c>
      <c r="F215" s="499" t="s">
        <v>71</v>
      </c>
      <c r="G215" s="499" t="s">
        <v>23</v>
      </c>
      <c r="H215" s="28"/>
      <c r="I215" s="480">
        <v>2.0</v>
      </c>
      <c r="J215" s="490"/>
      <c r="K215" s="110"/>
      <c r="L215" s="482" t="s">
        <v>905</v>
      </c>
      <c r="M215" s="106" t="s">
        <v>1428</v>
      </c>
      <c r="N215" s="113"/>
      <c r="O215" s="32">
        <v>149.0</v>
      </c>
    </row>
    <row r="216">
      <c r="A216" s="20" t="s">
        <v>1429</v>
      </c>
      <c r="B216" s="28"/>
      <c r="C216" s="22">
        <v>74000.0</v>
      </c>
      <c r="D216" s="26">
        <v>2013.0</v>
      </c>
      <c r="E216" s="26" t="s">
        <v>2487</v>
      </c>
      <c r="F216" s="412" t="s">
        <v>2060</v>
      </c>
      <c r="G216" s="412" t="s">
        <v>23</v>
      </c>
      <c r="H216" s="28"/>
      <c r="I216" s="480">
        <v>2.0</v>
      </c>
      <c r="J216" s="490"/>
      <c r="K216" s="110"/>
      <c r="L216" s="482" t="s">
        <v>1429</v>
      </c>
      <c r="M216" s="106" t="s">
        <v>1431</v>
      </c>
      <c r="N216" s="113"/>
      <c r="O216" s="32">
        <v>148.0</v>
      </c>
    </row>
    <row r="217">
      <c r="A217" s="165" t="s">
        <v>1432</v>
      </c>
      <c r="B217" s="28"/>
      <c r="C217" s="22">
        <v>110000.0</v>
      </c>
      <c r="D217" s="26">
        <v>2013.0</v>
      </c>
      <c r="E217" s="26" t="s">
        <v>2473</v>
      </c>
      <c r="F217" s="412" t="s">
        <v>38</v>
      </c>
      <c r="G217" s="499" t="s">
        <v>23</v>
      </c>
      <c r="H217" s="28"/>
      <c r="I217" s="480">
        <v>3.0</v>
      </c>
      <c r="J217" s="490"/>
      <c r="K217" s="110"/>
      <c r="L217" s="482" t="s">
        <v>1434</v>
      </c>
      <c r="M217" s="106" t="s">
        <v>1435</v>
      </c>
      <c r="N217" s="113"/>
      <c r="O217" s="32">
        <v>147.0</v>
      </c>
    </row>
    <row r="218">
      <c r="A218" s="165" t="s">
        <v>407</v>
      </c>
      <c r="B218" s="28"/>
      <c r="C218" s="22">
        <v>250000.0</v>
      </c>
      <c r="D218" s="26">
        <v>2013.0</v>
      </c>
      <c r="E218" s="26" t="s">
        <v>2442</v>
      </c>
      <c r="F218" s="499" t="s">
        <v>28</v>
      </c>
      <c r="G218" s="412" t="s">
        <v>23</v>
      </c>
      <c r="H218" s="28"/>
      <c r="I218" s="505">
        <v>1.0</v>
      </c>
      <c r="J218" s="490"/>
      <c r="K218" s="110"/>
      <c r="L218" s="482" t="s">
        <v>1088</v>
      </c>
      <c r="M218" s="106" t="s">
        <v>1437</v>
      </c>
      <c r="N218" s="113"/>
      <c r="O218" s="32">
        <v>146.0</v>
      </c>
    </row>
    <row r="219">
      <c r="A219" s="165" t="s">
        <v>1438</v>
      </c>
      <c r="B219" s="28"/>
      <c r="C219" s="22">
        <v>100000.0</v>
      </c>
      <c r="D219" s="26">
        <v>2013.0</v>
      </c>
      <c r="E219" s="26" t="s">
        <v>2479</v>
      </c>
      <c r="F219" s="412" t="s">
        <v>258</v>
      </c>
      <c r="G219" s="412" t="s">
        <v>1034</v>
      </c>
      <c r="H219" s="28"/>
      <c r="I219" s="480">
        <v>4.0</v>
      </c>
      <c r="J219" s="490"/>
      <c r="K219" s="110"/>
      <c r="L219" s="482" t="s">
        <v>1440</v>
      </c>
      <c r="M219" s="106" t="s">
        <v>1441</v>
      </c>
      <c r="N219" s="113"/>
      <c r="O219" s="32">
        <v>145.0</v>
      </c>
    </row>
    <row r="220">
      <c r="A220" s="165" t="s">
        <v>1442</v>
      </c>
      <c r="B220" s="130"/>
      <c r="C220" s="22">
        <v>100000.0</v>
      </c>
      <c r="D220" s="26">
        <v>2013.0</v>
      </c>
      <c r="E220" s="26" t="s">
        <v>2480</v>
      </c>
      <c r="F220" s="499" t="s">
        <v>64</v>
      </c>
      <c r="G220" s="412" t="s">
        <v>1034</v>
      </c>
      <c r="H220" s="28"/>
      <c r="I220" s="480">
        <v>2.0</v>
      </c>
      <c r="J220" s="490"/>
      <c r="K220" s="110"/>
      <c r="L220" s="482" t="s">
        <v>1026</v>
      </c>
      <c r="M220" s="106" t="s">
        <v>1444</v>
      </c>
      <c r="N220" s="113"/>
      <c r="O220" s="32">
        <v>144.0</v>
      </c>
    </row>
    <row r="221">
      <c r="A221" s="165" t="s">
        <v>1445</v>
      </c>
      <c r="B221" s="53"/>
      <c r="C221" s="22">
        <v>4000000.0</v>
      </c>
      <c r="D221" s="26">
        <v>2013.0</v>
      </c>
      <c r="E221" s="26" t="s">
        <v>2329</v>
      </c>
      <c r="F221" s="412" t="s">
        <v>258</v>
      </c>
      <c r="G221" s="412" t="s">
        <v>1034</v>
      </c>
      <c r="H221" s="130" t="s">
        <v>29</v>
      </c>
      <c r="I221" s="480">
        <v>2.0</v>
      </c>
      <c r="J221" s="490"/>
      <c r="K221" s="110"/>
      <c r="L221" s="491" t="s">
        <v>1318</v>
      </c>
      <c r="M221" s="166" t="s">
        <v>1447</v>
      </c>
      <c r="N221" s="109"/>
      <c r="O221" s="32">
        <v>143.0</v>
      </c>
    </row>
    <row r="222">
      <c r="A222" s="165" t="s">
        <v>1448</v>
      </c>
      <c r="B222" s="111" t="s">
        <v>1449</v>
      </c>
      <c r="C222" s="22">
        <v>200000.0</v>
      </c>
      <c r="D222" s="26">
        <v>2013.0</v>
      </c>
      <c r="E222" s="34" t="s">
        <v>2448</v>
      </c>
      <c r="F222" s="499" t="s">
        <v>28</v>
      </c>
      <c r="G222" s="499" t="s">
        <v>23</v>
      </c>
      <c r="H222" s="28"/>
      <c r="I222" s="480">
        <v>2.0</v>
      </c>
      <c r="J222" s="490"/>
      <c r="K222" s="110"/>
      <c r="L222" s="491" t="s">
        <v>1448</v>
      </c>
      <c r="M222" s="166" t="s">
        <v>1451</v>
      </c>
      <c r="N222" s="113"/>
      <c r="O222" s="32">
        <v>142.0</v>
      </c>
    </row>
    <row r="223">
      <c r="A223" s="114" t="s">
        <v>1452</v>
      </c>
      <c r="B223" s="28"/>
      <c r="C223" s="22">
        <v>275000.0</v>
      </c>
      <c r="D223" s="26">
        <v>2013.0</v>
      </c>
      <c r="E223" s="26" t="s">
        <v>2438</v>
      </c>
      <c r="F223" s="412" t="s">
        <v>1227</v>
      </c>
      <c r="G223" s="499" t="s">
        <v>23</v>
      </c>
      <c r="H223" s="28"/>
      <c r="I223" s="505">
        <v>1.0</v>
      </c>
      <c r="J223" s="490"/>
      <c r="K223" s="110"/>
      <c r="L223" s="491" t="s">
        <v>325</v>
      </c>
      <c r="M223" s="166" t="s">
        <v>1454</v>
      </c>
      <c r="N223" s="19"/>
      <c r="O223" s="32">
        <v>141.0</v>
      </c>
    </row>
    <row r="224">
      <c r="A224" s="165" t="s">
        <v>1455</v>
      </c>
      <c r="B224" s="111" t="s">
        <v>1456</v>
      </c>
      <c r="C224" s="22">
        <v>500000.0</v>
      </c>
      <c r="D224" s="26">
        <v>2013.0</v>
      </c>
      <c r="E224" s="26" t="s">
        <v>2421</v>
      </c>
      <c r="F224" s="412" t="s">
        <v>58</v>
      </c>
      <c r="G224" s="499" t="s">
        <v>23</v>
      </c>
      <c r="H224" s="130" t="s">
        <v>29</v>
      </c>
      <c r="I224" s="505">
        <v>1.0</v>
      </c>
      <c r="J224" s="490"/>
      <c r="K224" s="110"/>
      <c r="L224" s="491" t="s">
        <v>286</v>
      </c>
      <c r="M224" s="106" t="s">
        <v>1458</v>
      </c>
      <c r="N224" s="113"/>
      <c r="O224" s="32">
        <v>140.0</v>
      </c>
    </row>
    <row r="225">
      <c r="A225" s="114" t="s">
        <v>1459</v>
      </c>
      <c r="B225" s="115" t="s">
        <v>1460</v>
      </c>
      <c r="C225" s="22">
        <v>5.8E7</v>
      </c>
      <c r="D225" s="26">
        <v>2013.0</v>
      </c>
      <c r="E225" s="34" t="s">
        <v>2240</v>
      </c>
      <c r="F225" s="489" t="s">
        <v>236</v>
      </c>
      <c r="G225" s="489" t="s">
        <v>23</v>
      </c>
      <c r="H225" s="53"/>
      <c r="I225" s="480">
        <v>2.0</v>
      </c>
      <c r="J225" s="490"/>
      <c r="K225" s="491"/>
      <c r="L225" s="482" t="s">
        <v>905</v>
      </c>
      <c r="M225" s="106" t="s">
        <v>1462</v>
      </c>
      <c r="N225" s="19"/>
      <c r="O225" s="32">
        <v>139.0</v>
      </c>
    </row>
    <row r="226">
      <c r="A226" s="165" t="s">
        <v>1463</v>
      </c>
      <c r="B226" s="130" t="s">
        <v>1464</v>
      </c>
      <c r="C226" s="22">
        <v>2000000.0</v>
      </c>
      <c r="D226" s="26">
        <v>2013.0</v>
      </c>
      <c r="E226" s="26" t="s">
        <v>2365</v>
      </c>
      <c r="F226" s="412" t="s">
        <v>1227</v>
      </c>
      <c r="G226" s="499" t="s">
        <v>23</v>
      </c>
      <c r="H226" s="130" t="s">
        <v>29</v>
      </c>
      <c r="I226" s="480">
        <v>3.0</v>
      </c>
      <c r="J226" s="490"/>
      <c r="K226" s="110"/>
      <c r="L226" s="482" t="s">
        <v>247</v>
      </c>
      <c r="M226" s="106" t="s">
        <v>1466</v>
      </c>
      <c r="N226" s="113"/>
      <c r="O226" s="32">
        <v>138.0</v>
      </c>
    </row>
    <row r="227">
      <c r="A227" s="114" t="s">
        <v>631</v>
      </c>
      <c r="B227" s="115" t="s">
        <v>1467</v>
      </c>
      <c r="C227" s="22">
        <v>4000000.0</v>
      </c>
      <c r="D227" s="26">
        <v>2013.0</v>
      </c>
      <c r="E227" s="34" t="s">
        <v>2330</v>
      </c>
      <c r="F227" s="489" t="s">
        <v>236</v>
      </c>
      <c r="G227" s="489" t="s">
        <v>23</v>
      </c>
      <c r="H227" s="57"/>
      <c r="I227" s="480">
        <v>2.0</v>
      </c>
      <c r="J227" s="490"/>
      <c r="K227" s="491"/>
      <c r="L227" s="482" t="s">
        <v>571</v>
      </c>
      <c r="M227" s="135" t="s">
        <v>1469</v>
      </c>
      <c r="N227" s="19"/>
      <c r="O227" s="32">
        <v>137.0</v>
      </c>
    </row>
    <row r="228">
      <c r="A228" s="20" t="s">
        <v>1470</v>
      </c>
      <c r="B228" s="26"/>
      <c r="C228" s="22">
        <v>1500000.0</v>
      </c>
      <c r="D228" s="26">
        <v>2013.0</v>
      </c>
      <c r="E228" s="34" t="s">
        <v>2378</v>
      </c>
      <c r="F228" s="412" t="s">
        <v>64</v>
      </c>
      <c r="G228" s="412" t="s">
        <v>59</v>
      </c>
      <c r="H228" s="26" t="s">
        <v>29</v>
      </c>
      <c r="I228" s="480">
        <v>5.0</v>
      </c>
      <c r="J228" s="490"/>
      <c r="K228" s="110"/>
      <c r="L228" s="491" t="s">
        <v>591</v>
      </c>
      <c r="M228" s="106" t="s">
        <v>1472</v>
      </c>
      <c r="N228" s="113"/>
      <c r="O228" s="32">
        <v>136.0</v>
      </c>
    </row>
    <row r="229">
      <c r="A229" s="114" t="s">
        <v>588</v>
      </c>
      <c r="B229" s="53"/>
      <c r="C229" s="22">
        <v>6000000.0</v>
      </c>
      <c r="D229" s="26">
        <v>2013.0</v>
      </c>
      <c r="E229" s="34" t="s">
        <v>2309</v>
      </c>
      <c r="F229" s="499" t="s">
        <v>28</v>
      </c>
      <c r="G229" s="413" t="s">
        <v>142</v>
      </c>
      <c r="H229" s="53"/>
      <c r="I229" s="505">
        <v>1.0</v>
      </c>
      <c r="J229" s="490"/>
      <c r="K229" s="491"/>
      <c r="L229" s="491" t="s">
        <v>588</v>
      </c>
      <c r="M229" s="135" t="s">
        <v>1474</v>
      </c>
      <c r="N229" s="19"/>
      <c r="O229" s="32">
        <v>135.0</v>
      </c>
    </row>
    <row r="230">
      <c r="A230" s="165" t="s">
        <v>1475</v>
      </c>
      <c r="B230" s="130" t="s">
        <v>1476</v>
      </c>
      <c r="C230" s="22">
        <v>5.0E7</v>
      </c>
      <c r="D230" s="26">
        <v>2013.0</v>
      </c>
      <c r="E230" s="26" t="s">
        <v>2244</v>
      </c>
      <c r="F230" s="499" t="s">
        <v>28</v>
      </c>
      <c r="G230" s="499" t="s">
        <v>23</v>
      </c>
      <c r="H230" s="28"/>
      <c r="I230" s="505">
        <v>1.0</v>
      </c>
      <c r="J230" s="490"/>
      <c r="K230" s="110"/>
      <c r="L230" s="482" t="s">
        <v>1478</v>
      </c>
      <c r="M230" s="106" t="s">
        <v>1479</v>
      </c>
      <c r="N230" s="166" t="s">
        <v>1480</v>
      </c>
      <c r="O230" s="32">
        <v>134.0</v>
      </c>
    </row>
    <row r="231">
      <c r="A231" s="165" t="s">
        <v>1481</v>
      </c>
      <c r="B231" s="130" t="s">
        <v>1482</v>
      </c>
      <c r="C231" s="22">
        <v>125000.0</v>
      </c>
      <c r="D231" s="26">
        <v>2013.0</v>
      </c>
      <c r="E231" s="26" t="s">
        <v>2467</v>
      </c>
      <c r="F231" s="412" t="s">
        <v>2060</v>
      </c>
      <c r="G231" s="499" t="s">
        <v>23</v>
      </c>
      <c r="H231" s="28"/>
      <c r="I231" s="480">
        <v>2.0</v>
      </c>
      <c r="J231" s="490"/>
      <c r="K231" s="110"/>
      <c r="L231" s="482" t="s">
        <v>1434</v>
      </c>
      <c r="M231" s="106" t="s">
        <v>1484</v>
      </c>
      <c r="N231" s="109"/>
      <c r="O231" s="32">
        <v>133.0</v>
      </c>
    </row>
    <row r="232">
      <c r="A232" s="165" t="s">
        <v>1485</v>
      </c>
      <c r="B232" s="28"/>
      <c r="C232" s="22">
        <v>2.2E7</v>
      </c>
      <c r="D232" s="26">
        <v>2013.0</v>
      </c>
      <c r="E232" s="26" t="s">
        <v>2270</v>
      </c>
      <c r="F232" s="499" t="s">
        <v>1227</v>
      </c>
      <c r="G232" s="499" t="s">
        <v>23</v>
      </c>
      <c r="H232" s="28"/>
      <c r="I232" s="505">
        <v>1.0</v>
      </c>
      <c r="J232" s="490"/>
      <c r="K232" s="110"/>
      <c r="L232" s="491" t="s">
        <v>286</v>
      </c>
      <c r="M232" s="106" t="s">
        <v>1487</v>
      </c>
      <c r="N232" s="113"/>
      <c r="O232" s="32">
        <v>132.0</v>
      </c>
    </row>
    <row r="233">
      <c r="A233" s="165" t="s">
        <v>1488</v>
      </c>
      <c r="B233" s="130" t="s">
        <v>1489</v>
      </c>
      <c r="C233" s="22">
        <v>1000000.0</v>
      </c>
      <c r="D233" s="26">
        <v>2013.0</v>
      </c>
      <c r="E233" s="26" t="s">
        <v>2393</v>
      </c>
      <c r="F233" s="499" t="s">
        <v>28</v>
      </c>
      <c r="G233" s="499" t="s">
        <v>23</v>
      </c>
      <c r="H233" s="28"/>
      <c r="I233" s="505">
        <v>1.0</v>
      </c>
      <c r="J233" s="490"/>
      <c r="K233" s="110"/>
      <c r="L233" s="491" t="s">
        <v>247</v>
      </c>
      <c r="M233" s="106" t="s">
        <v>1491</v>
      </c>
      <c r="N233" s="113"/>
      <c r="O233" s="32">
        <v>131.0</v>
      </c>
    </row>
    <row r="234">
      <c r="A234" s="165" t="s">
        <v>1492</v>
      </c>
      <c r="B234" s="28"/>
      <c r="C234" s="22">
        <v>170000.0</v>
      </c>
      <c r="D234" s="26">
        <v>2013.0</v>
      </c>
      <c r="E234" s="26" t="s">
        <v>2455</v>
      </c>
      <c r="F234" s="499" t="s">
        <v>129</v>
      </c>
      <c r="G234" s="413" t="s">
        <v>142</v>
      </c>
      <c r="H234" s="130" t="s">
        <v>29</v>
      </c>
      <c r="I234" s="480">
        <v>2.0</v>
      </c>
      <c r="J234" s="490"/>
      <c r="K234" s="110"/>
      <c r="L234" s="482" t="s">
        <v>1494</v>
      </c>
      <c r="M234" s="106" t="s">
        <v>1495</v>
      </c>
      <c r="N234" s="166" t="s">
        <v>1496</v>
      </c>
      <c r="O234" s="32">
        <v>130.0</v>
      </c>
    </row>
    <row r="235">
      <c r="A235" s="165" t="s">
        <v>1497</v>
      </c>
      <c r="B235" s="130" t="s">
        <v>1498</v>
      </c>
      <c r="C235" s="22">
        <v>160000.0</v>
      </c>
      <c r="D235" s="26">
        <v>2013.0</v>
      </c>
      <c r="E235" s="26" t="s">
        <v>2457</v>
      </c>
      <c r="F235" s="499" t="s">
        <v>64</v>
      </c>
      <c r="G235" s="499" t="s">
        <v>23</v>
      </c>
      <c r="H235" s="28"/>
      <c r="I235" s="480">
        <v>2.0</v>
      </c>
      <c r="J235" s="490"/>
      <c r="K235" s="110"/>
      <c r="L235" s="482" t="s">
        <v>1500</v>
      </c>
      <c r="M235" s="106" t="s">
        <v>1501</v>
      </c>
      <c r="N235" s="166" t="s">
        <v>1502</v>
      </c>
      <c r="O235" s="32">
        <v>129.0</v>
      </c>
    </row>
    <row r="236">
      <c r="A236" s="181" t="s">
        <v>1503</v>
      </c>
      <c r="B236" s="28"/>
      <c r="C236" s="22">
        <v>860000.0</v>
      </c>
      <c r="D236" s="26">
        <v>2013.0</v>
      </c>
      <c r="E236" s="462" t="s">
        <v>2401</v>
      </c>
      <c r="F236" s="499" t="s">
        <v>28</v>
      </c>
      <c r="G236" s="499" t="s">
        <v>23</v>
      </c>
      <c r="H236" s="28"/>
      <c r="I236" s="505">
        <v>1.0</v>
      </c>
      <c r="J236" s="490"/>
      <c r="K236" s="110"/>
      <c r="L236" s="491" t="s">
        <v>410</v>
      </c>
      <c r="M236" s="106" t="s">
        <v>1505</v>
      </c>
      <c r="N236" s="113"/>
      <c r="O236" s="32">
        <v>128.0</v>
      </c>
    </row>
    <row r="237">
      <c r="A237" s="114" t="s">
        <v>1506</v>
      </c>
      <c r="B237" s="115" t="s">
        <v>1507</v>
      </c>
      <c r="C237" s="22">
        <v>2.0E8</v>
      </c>
      <c r="D237" s="26">
        <v>2013.0</v>
      </c>
      <c r="E237" s="34" t="s">
        <v>2191</v>
      </c>
      <c r="F237" s="412" t="s">
        <v>58</v>
      </c>
      <c r="G237" s="499" t="s">
        <v>59</v>
      </c>
      <c r="H237" s="28"/>
      <c r="I237" s="480">
        <v>2.0</v>
      </c>
      <c r="J237" s="481">
        <v>2.0E8</v>
      </c>
      <c r="K237" s="110"/>
      <c r="L237" s="482" t="s">
        <v>1509</v>
      </c>
      <c r="M237" s="106" t="s">
        <v>1510</v>
      </c>
      <c r="N237" s="106" t="s">
        <v>1511</v>
      </c>
      <c r="O237" s="32">
        <v>127.0</v>
      </c>
    </row>
    <row r="238">
      <c r="A238" s="114" t="s">
        <v>1512</v>
      </c>
      <c r="B238" s="53"/>
      <c r="C238" s="22">
        <v>2000000.0</v>
      </c>
      <c r="D238" s="26">
        <v>2013.0</v>
      </c>
      <c r="E238" s="34" t="s">
        <v>2366</v>
      </c>
      <c r="F238" s="489" t="s">
        <v>129</v>
      </c>
      <c r="G238" s="489" t="s">
        <v>59</v>
      </c>
      <c r="H238" s="115" t="s">
        <v>29</v>
      </c>
      <c r="I238" s="480">
        <v>3.0</v>
      </c>
      <c r="J238" s="490"/>
      <c r="K238" s="491"/>
      <c r="L238" s="491" t="s">
        <v>1382</v>
      </c>
      <c r="M238" s="135" t="s">
        <v>1514</v>
      </c>
      <c r="N238" s="19"/>
      <c r="O238" s="32">
        <v>126.0</v>
      </c>
    </row>
    <row r="239">
      <c r="A239" s="114" t="s">
        <v>1515</v>
      </c>
      <c r="B239" s="53"/>
      <c r="C239" s="22">
        <v>3.8E7</v>
      </c>
      <c r="D239" s="26">
        <v>2013.0</v>
      </c>
      <c r="E239" s="34" t="s">
        <v>2215</v>
      </c>
      <c r="F239" s="489" t="s">
        <v>50</v>
      </c>
      <c r="G239" s="489" t="s">
        <v>23</v>
      </c>
      <c r="H239" s="115" t="s">
        <v>29</v>
      </c>
      <c r="I239" s="480">
        <v>5.0</v>
      </c>
      <c r="J239" s="481">
        <v>3.8E7</v>
      </c>
      <c r="K239" s="491"/>
      <c r="L239" s="491" t="s">
        <v>1515</v>
      </c>
      <c r="M239" s="135" t="s">
        <v>1517</v>
      </c>
      <c r="N239" s="136"/>
      <c r="O239" s="32">
        <v>125.0</v>
      </c>
    </row>
    <row r="240">
      <c r="A240" s="114" t="s">
        <v>1518</v>
      </c>
      <c r="B240" s="53"/>
      <c r="C240" s="22">
        <v>1000000.0</v>
      </c>
      <c r="D240" s="26">
        <v>2013.0</v>
      </c>
      <c r="E240" s="34" t="s">
        <v>2394</v>
      </c>
      <c r="F240" s="489" t="s">
        <v>50</v>
      </c>
      <c r="G240" s="489" t="s">
        <v>23</v>
      </c>
      <c r="H240" s="53"/>
      <c r="I240" s="480">
        <v>3.0</v>
      </c>
      <c r="J240" s="490"/>
      <c r="K240" s="491"/>
      <c r="L240" s="482" t="s">
        <v>1520</v>
      </c>
      <c r="M240" s="135" t="s">
        <v>1521</v>
      </c>
      <c r="N240" s="116" t="s">
        <v>1522</v>
      </c>
      <c r="O240" s="32">
        <v>124.0</v>
      </c>
    </row>
    <row r="241">
      <c r="A241" s="181" t="s">
        <v>1523</v>
      </c>
      <c r="B241" s="28"/>
      <c r="C241" s="22">
        <v>4000000.0</v>
      </c>
      <c r="D241" s="26">
        <v>2013.0</v>
      </c>
      <c r="E241" s="26" t="s">
        <v>2331</v>
      </c>
      <c r="F241" s="499" t="s">
        <v>28</v>
      </c>
      <c r="G241" s="489" t="s">
        <v>23</v>
      </c>
      <c r="H241" s="130" t="s">
        <v>29</v>
      </c>
      <c r="I241" s="480">
        <v>2.0</v>
      </c>
      <c r="J241" s="490"/>
      <c r="K241" s="110"/>
      <c r="L241" s="491" t="s">
        <v>702</v>
      </c>
      <c r="M241" s="106" t="s">
        <v>1525</v>
      </c>
      <c r="N241" s="113"/>
      <c r="O241" s="32">
        <v>123.0</v>
      </c>
    </row>
    <row r="242">
      <c r="A242" s="165" t="s">
        <v>1526</v>
      </c>
      <c r="B242" s="28"/>
      <c r="C242" s="22">
        <v>7.0E7</v>
      </c>
      <c r="D242" s="26">
        <v>2013.0</v>
      </c>
      <c r="E242" s="26" t="s">
        <v>2238</v>
      </c>
      <c r="F242" s="499" t="s">
        <v>43</v>
      </c>
      <c r="G242" s="499" t="s">
        <v>23</v>
      </c>
      <c r="H242" s="130" t="s">
        <v>29</v>
      </c>
      <c r="I242" s="480">
        <v>3.0</v>
      </c>
      <c r="J242" s="490"/>
      <c r="K242" s="110"/>
      <c r="L242" s="482" t="s">
        <v>1528</v>
      </c>
      <c r="M242" s="106" t="s">
        <v>1529</v>
      </c>
      <c r="N242" s="432"/>
      <c r="O242" s="32">
        <v>122.0</v>
      </c>
    </row>
    <row r="243">
      <c r="A243" s="165" t="s">
        <v>1530</v>
      </c>
      <c r="B243" s="28"/>
      <c r="C243" s="22">
        <v>6000000.0</v>
      </c>
      <c r="D243" s="26">
        <v>2012.0</v>
      </c>
      <c r="E243" s="26" t="s">
        <v>2310</v>
      </c>
      <c r="F243" s="499" t="s">
        <v>28</v>
      </c>
      <c r="G243" s="499" t="s">
        <v>23</v>
      </c>
      <c r="H243" s="28"/>
      <c r="I243" s="505">
        <v>1.0</v>
      </c>
      <c r="J243" s="490"/>
      <c r="K243" s="110"/>
      <c r="L243" s="482" t="s">
        <v>571</v>
      </c>
      <c r="M243" s="106" t="s">
        <v>1532</v>
      </c>
      <c r="N243" s="113"/>
      <c r="O243" s="32">
        <v>121.0</v>
      </c>
    </row>
    <row r="244">
      <c r="A244" s="165" t="s">
        <v>1533</v>
      </c>
      <c r="B244" s="130" t="s">
        <v>1534</v>
      </c>
      <c r="C244" s="22">
        <v>1500000.0</v>
      </c>
      <c r="D244" s="26">
        <v>2012.0</v>
      </c>
      <c r="E244" s="26" t="s">
        <v>2379</v>
      </c>
      <c r="F244" s="412" t="s">
        <v>58</v>
      </c>
      <c r="G244" s="499" t="s">
        <v>23</v>
      </c>
      <c r="H244" s="28"/>
      <c r="I244" s="480">
        <v>3.0</v>
      </c>
      <c r="J244" s="490"/>
      <c r="K244" s="110"/>
      <c r="L244" s="482" t="s">
        <v>710</v>
      </c>
      <c r="M244" s="106" t="s">
        <v>1536</v>
      </c>
      <c r="N244" s="113"/>
      <c r="O244" s="32">
        <v>120.0</v>
      </c>
    </row>
    <row r="245">
      <c r="A245" s="114" t="s">
        <v>1537</v>
      </c>
      <c r="B245" s="115" t="s">
        <v>1538</v>
      </c>
      <c r="C245" s="22">
        <v>228000.0</v>
      </c>
      <c r="D245" s="26">
        <v>2012.0</v>
      </c>
      <c r="E245" s="26" t="s">
        <v>2444</v>
      </c>
      <c r="F245" s="412" t="s">
        <v>258</v>
      </c>
      <c r="G245" s="499" t="s">
        <v>59</v>
      </c>
      <c r="H245" s="28"/>
      <c r="I245" s="480">
        <v>4.0</v>
      </c>
      <c r="J245" s="490"/>
      <c r="K245" s="491"/>
      <c r="L245" s="482" t="s">
        <v>1540</v>
      </c>
      <c r="M245" s="135" t="s">
        <v>1541</v>
      </c>
      <c r="N245" s="136"/>
      <c r="O245" s="32">
        <v>119.0</v>
      </c>
    </row>
    <row r="246">
      <c r="A246" s="165" t="s">
        <v>1542</v>
      </c>
      <c r="B246" s="130" t="s">
        <v>1543</v>
      </c>
      <c r="C246" s="22">
        <v>3000000.0</v>
      </c>
      <c r="D246" s="26">
        <v>2012.0</v>
      </c>
      <c r="E246" s="26" t="s">
        <v>2347</v>
      </c>
      <c r="F246" s="412" t="s">
        <v>58</v>
      </c>
      <c r="G246" s="499" t="s">
        <v>23</v>
      </c>
      <c r="H246" s="130" t="s">
        <v>29</v>
      </c>
      <c r="I246" s="480">
        <v>5.0</v>
      </c>
      <c r="J246" s="490"/>
      <c r="K246" s="110"/>
      <c r="L246" s="491" t="s">
        <v>608</v>
      </c>
      <c r="M246" s="106" t="s">
        <v>1545</v>
      </c>
      <c r="N246" s="113"/>
      <c r="O246" s="32">
        <v>118.0</v>
      </c>
    </row>
    <row r="247">
      <c r="A247" s="165" t="s">
        <v>1546</v>
      </c>
      <c r="B247" s="28"/>
      <c r="C247" s="22">
        <v>800000.0</v>
      </c>
      <c r="D247" s="26">
        <v>2012.0</v>
      </c>
      <c r="E247" s="26" t="s">
        <v>2402</v>
      </c>
      <c r="F247" s="499" t="s">
        <v>64</v>
      </c>
      <c r="G247" s="412" t="s">
        <v>1034</v>
      </c>
      <c r="H247" s="28"/>
      <c r="I247" s="480">
        <v>2.0</v>
      </c>
      <c r="J247" s="490"/>
      <c r="K247" s="110"/>
      <c r="L247" s="482" t="s">
        <v>591</v>
      </c>
      <c r="M247" s="106" t="s">
        <v>1548</v>
      </c>
      <c r="N247" s="432"/>
      <c r="O247" s="32">
        <v>117.0</v>
      </c>
    </row>
    <row r="248">
      <c r="A248" s="114" t="s">
        <v>1549</v>
      </c>
      <c r="B248" s="130" t="s">
        <v>1550</v>
      </c>
      <c r="C248" s="22">
        <v>315000.0</v>
      </c>
      <c r="D248" s="26">
        <v>2012.0</v>
      </c>
      <c r="E248" s="26" t="s">
        <v>2431</v>
      </c>
      <c r="F248" s="412" t="s">
        <v>258</v>
      </c>
      <c r="G248" s="412" t="s">
        <v>1034</v>
      </c>
      <c r="H248" s="28"/>
      <c r="I248" s="480">
        <v>4.0</v>
      </c>
      <c r="J248" s="490"/>
      <c r="K248" s="491"/>
      <c r="L248" s="482" t="s">
        <v>1552</v>
      </c>
      <c r="M248" s="135" t="s">
        <v>1553</v>
      </c>
      <c r="N248" s="19"/>
      <c r="O248" s="32">
        <v>116.0</v>
      </c>
    </row>
    <row r="249">
      <c r="A249" s="165" t="s">
        <v>1554</v>
      </c>
      <c r="B249" s="53"/>
      <c r="C249" s="22">
        <v>6500000.0</v>
      </c>
      <c r="D249" s="26">
        <v>2012.0</v>
      </c>
      <c r="E249" s="26" t="s">
        <v>2305</v>
      </c>
      <c r="F249" s="489" t="s">
        <v>64</v>
      </c>
      <c r="G249" s="413" t="s">
        <v>142</v>
      </c>
      <c r="H249" s="28"/>
      <c r="I249" s="480">
        <v>2.0</v>
      </c>
      <c r="J249" s="490"/>
      <c r="K249" s="110"/>
      <c r="L249" s="491" t="s">
        <v>1556</v>
      </c>
      <c r="M249" s="106" t="s">
        <v>1557</v>
      </c>
      <c r="N249" s="113"/>
      <c r="O249" s="32">
        <v>115.0</v>
      </c>
    </row>
    <row r="250">
      <c r="A250" s="165" t="s">
        <v>1558</v>
      </c>
      <c r="B250" s="130" t="s">
        <v>1559</v>
      </c>
      <c r="C250" s="22">
        <v>780000.0</v>
      </c>
      <c r="D250" s="26">
        <v>2012.0</v>
      </c>
      <c r="E250" s="26" t="s">
        <v>2406</v>
      </c>
      <c r="F250" s="412" t="s">
        <v>1561</v>
      </c>
      <c r="G250" s="499" t="s">
        <v>23</v>
      </c>
      <c r="H250" s="130" t="s">
        <v>29</v>
      </c>
      <c r="I250" s="512" t="s">
        <v>1562</v>
      </c>
      <c r="J250" s="490"/>
      <c r="K250" s="110"/>
      <c r="L250" s="482" t="s">
        <v>286</v>
      </c>
      <c r="M250" s="106" t="s">
        <v>1563</v>
      </c>
      <c r="N250" s="113"/>
      <c r="O250" s="32">
        <v>114.0</v>
      </c>
    </row>
    <row r="251">
      <c r="A251" s="114" t="s">
        <v>1564</v>
      </c>
      <c r="B251" s="115" t="s">
        <v>1565</v>
      </c>
      <c r="C251" s="22">
        <v>1.4E7</v>
      </c>
      <c r="D251" s="26">
        <v>2012.0</v>
      </c>
      <c r="E251" s="34" t="s">
        <v>2283</v>
      </c>
      <c r="F251" s="489" t="s">
        <v>236</v>
      </c>
      <c r="G251" s="489" t="s">
        <v>23</v>
      </c>
      <c r="H251" s="53"/>
      <c r="I251" s="480">
        <v>2.0</v>
      </c>
      <c r="J251" s="490"/>
      <c r="K251" s="491"/>
      <c r="L251" s="482" t="s">
        <v>278</v>
      </c>
      <c r="M251" s="135" t="s">
        <v>1567</v>
      </c>
      <c r="N251" s="19"/>
      <c r="O251" s="32">
        <v>113.0</v>
      </c>
    </row>
    <row r="252">
      <c r="A252" s="165" t="s">
        <v>1568</v>
      </c>
      <c r="B252" s="28"/>
      <c r="C252" s="22">
        <v>1800000.0</v>
      </c>
      <c r="D252" s="26">
        <v>2012.0</v>
      </c>
      <c r="E252" s="26" t="s">
        <v>2369</v>
      </c>
      <c r="F252" s="412" t="s">
        <v>38</v>
      </c>
      <c r="G252" s="499" t="s">
        <v>59</v>
      </c>
      <c r="H252" s="28"/>
      <c r="I252" s="480">
        <v>2.0</v>
      </c>
      <c r="J252" s="490"/>
      <c r="K252" s="110"/>
      <c r="L252" s="486" t="s">
        <v>1026</v>
      </c>
      <c r="M252" s="474" t="s">
        <v>1570</v>
      </c>
      <c r="N252" s="113"/>
      <c r="O252" s="32">
        <v>112.0</v>
      </c>
    </row>
    <row r="253">
      <c r="A253" s="114" t="s">
        <v>1571</v>
      </c>
      <c r="B253" s="130" t="s">
        <v>1572</v>
      </c>
      <c r="C253" s="22">
        <v>102153.0</v>
      </c>
      <c r="D253" s="26">
        <v>2012.0</v>
      </c>
      <c r="E253" s="26" t="s">
        <v>2475</v>
      </c>
      <c r="F253" s="412" t="s">
        <v>258</v>
      </c>
      <c r="G253" s="412" t="s">
        <v>1034</v>
      </c>
      <c r="H253" s="28"/>
      <c r="I253" s="480">
        <v>2.0</v>
      </c>
      <c r="J253" s="490"/>
      <c r="K253" s="110"/>
      <c r="L253" s="482" t="s">
        <v>1574</v>
      </c>
      <c r="M253" s="135" t="s">
        <v>1575</v>
      </c>
      <c r="N253" s="136"/>
      <c r="O253" s="32">
        <v>111.0</v>
      </c>
    </row>
    <row r="254">
      <c r="A254" s="165" t="s">
        <v>1576</v>
      </c>
      <c r="B254" s="28"/>
      <c r="C254" s="22">
        <v>2.4E7</v>
      </c>
      <c r="D254" s="26">
        <v>2012.0</v>
      </c>
      <c r="E254" s="111" t="s">
        <v>2269</v>
      </c>
      <c r="F254" s="499" t="s">
        <v>28</v>
      </c>
      <c r="G254" s="499" t="s">
        <v>23</v>
      </c>
      <c r="H254" s="28"/>
      <c r="I254" s="480">
        <v>2.0</v>
      </c>
      <c r="J254" s="490"/>
      <c r="K254" s="110"/>
      <c r="L254" s="491" t="s">
        <v>278</v>
      </c>
      <c r="M254" s="106" t="s">
        <v>1578</v>
      </c>
      <c r="N254" s="113"/>
      <c r="O254" s="32">
        <v>110.0</v>
      </c>
    </row>
    <row r="255">
      <c r="A255" s="114" t="s">
        <v>1579</v>
      </c>
      <c r="B255" s="115" t="s">
        <v>1580</v>
      </c>
      <c r="C255" s="22">
        <v>420000.0</v>
      </c>
      <c r="D255" s="26">
        <v>2012.0</v>
      </c>
      <c r="E255" s="34" t="s">
        <v>2423</v>
      </c>
      <c r="F255" s="489" t="s">
        <v>28</v>
      </c>
      <c r="G255" s="412" t="s">
        <v>23</v>
      </c>
      <c r="H255" s="154" t="s">
        <v>29</v>
      </c>
      <c r="I255" s="480">
        <v>1.0</v>
      </c>
      <c r="J255" s="490"/>
      <c r="K255" s="491"/>
      <c r="L255" s="491" t="s">
        <v>998</v>
      </c>
      <c r="M255" s="135" t="s">
        <v>1582</v>
      </c>
      <c r="N255" s="19"/>
      <c r="O255" s="32">
        <v>109.0</v>
      </c>
    </row>
    <row r="256">
      <c r="A256" s="114" t="s">
        <v>1583</v>
      </c>
      <c r="B256" s="115" t="s">
        <v>1584</v>
      </c>
      <c r="C256" s="22">
        <v>8700000.0</v>
      </c>
      <c r="D256" s="26">
        <v>2012.0</v>
      </c>
      <c r="E256" s="34" t="s">
        <v>2297</v>
      </c>
      <c r="F256" s="499" t="s">
        <v>129</v>
      </c>
      <c r="G256" s="489" t="s">
        <v>23</v>
      </c>
      <c r="H256" s="53"/>
      <c r="I256" s="480">
        <v>2.0</v>
      </c>
      <c r="J256" s="490"/>
      <c r="K256" s="491"/>
      <c r="L256" s="482" t="s">
        <v>1586</v>
      </c>
      <c r="M256" s="135" t="s">
        <v>1587</v>
      </c>
      <c r="N256" s="116" t="s">
        <v>1588</v>
      </c>
      <c r="O256" s="32">
        <v>108.0</v>
      </c>
    </row>
    <row r="257">
      <c r="A257" s="165" t="s">
        <v>1589</v>
      </c>
      <c r="B257" s="28"/>
      <c r="C257" s="22">
        <v>450000.0</v>
      </c>
      <c r="D257" s="26">
        <v>2012.0</v>
      </c>
      <c r="E257" s="26" t="s">
        <v>2422</v>
      </c>
      <c r="F257" s="499" t="s">
        <v>1227</v>
      </c>
      <c r="G257" s="499" t="s">
        <v>23</v>
      </c>
      <c r="H257" s="28"/>
      <c r="I257" s="505">
        <v>1.0</v>
      </c>
      <c r="J257" s="490"/>
      <c r="K257" s="110"/>
      <c r="L257" s="491" t="s">
        <v>152</v>
      </c>
      <c r="M257" s="106" t="s">
        <v>1591</v>
      </c>
      <c r="N257" s="109"/>
      <c r="O257" s="32">
        <v>107.0</v>
      </c>
    </row>
    <row r="258">
      <c r="A258" s="44" t="s">
        <v>1592</v>
      </c>
      <c r="B258" s="26" t="s">
        <v>1593</v>
      </c>
      <c r="C258" s="22">
        <v>4.35E7</v>
      </c>
      <c r="D258" s="26">
        <v>2012.0</v>
      </c>
      <c r="E258" s="26" t="s">
        <v>2250</v>
      </c>
      <c r="F258" s="412" t="s">
        <v>28</v>
      </c>
      <c r="G258" s="412" t="s">
        <v>23</v>
      </c>
      <c r="H258" s="28"/>
      <c r="I258" s="480">
        <v>1.0</v>
      </c>
      <c r="J258" s="490"/>
      <c r="K258" s="110"/>
      <c r="L258" s="491" t="s">
        <v>608</v>
      </c>
      <c r="M258" s="106" t="s">
        <v>1595</v>
      </c>
      <c r="N258" s="106" t="s">
        <v>1596</v>
      </c>
      <c r="O258" s="32">
        <v>106.0</v>
      </c>
    </row>
    <row r="259">
      <c r="A259" s="114" t="s">
        <v>1597</v>
      </c>
      <c r="B259" s="53"/>
      <c r="C259" s="22">
        <v>8000000.0</v>
      </c>
      <c r="D259" s="26">
        <v>2012.0</v>
      </c>
      <c r="E259" s="34" t="s">
        <v>2301</v>
      </c>
      <c r="F259" s="499" t="s">
        <v>28</v>
      </c>
      <c r="G259" s="412" t="s">
        <v>23</v>
      </c>
      <c r="H259" s="53"/>
      <c r="I259" s="480">
        <v>1.0</v>
      </c>
      <c r="J259" s="490"/>
      <c r="K259" s="491"/>
      <c r="L259" s="491" t="s">
        <v>1599</v>
      </c>
      <c r="M259" s="135" t="s">
        <v>1600</v>
      </c>
      <c r="N259" s="136"/>
      <c r="O259" s="32">
        <v>105.0</v>
      </c>
    </row>
    <row r="260">
      <c r="A260" s="165" t="s">
        <v>1601</v>
      </c>
      <c r="B260" s="28"/>
      <c r="C260" s="22">
        <v>8000000.0</v>
      </c>
      <c r="D260" s="26">
        <v>2012.0</v>
      </c>
      <c r="E260" s="26" t="s">
        <v>2302</v>
      </c>
      <c r="F260" s="499" t="s">
        <v>28</v>
      </c>
      <c r="G260" s="499" t="s">
        <v>23</v>
      </c>
      <c r="H260" s="28"/>
      <c r="I260" s="505">
        <v>1.0</v>
      </c>
      <c r="J260" s="490"/>
      <c r="K260" s="110"/>
      <c r="L260" s="491" t="s">
        <v>278</v>
      </c>
      <c r="M260" s="106" t="s">
        <v>1603</v>
      </c>
      <c r="N260" s="113"/>
      <c r="O260" s="32">
        <v>104.0</v>
      </c>
    </row>
    <row r="261">
      <c r="A261" s="181" t="s">
        <v>1604</v>
      </c>
      <c r="B261" s="130" t="s">
        <v>1605</v>
      </c>
      <c r="C261" s="22">
        <v>163792.0</v>
      </c>
      <c r="D261" s="26">
        <v>2012.0</v>
      </c>
      <c r="E261" s="26" t="s">
        <v>2456</v>
      </c>
      <c r="F261" s="499" t="s">
        <v>1607</v>
      </c>
      <c r="G261" s="412" t="s">
        <v>23</v>
      </c>
      <c r="H261" s="28"/>
      <c r="I261" s="480">
        <v>1.0</v>
      </c>
      <c r="J261" s="490"/>
      <c r="K261" s="110"/>
      <c r="L261" s="491" t="s">
        <v>1608</v>
      </c>
      <c r="M261" s="106" t="s">
        <v>1609</v>
      </c>
      <c r="N261" s="113"/>
      <c r="O261" s="32">
        <v>103.0</v>
      </c>
    </row>
    <row r="262">
      <c r="A262" s="114" t="s">
        <v>1610</v>
      </c>
      <c r="B262" s="53"/>
      <c r="C262" s="22">
        <v>1.2367232E7</v>
      </c>
      <c r="D262" s="26">
        <v>2012.0</v>
      </c>
      <c r="E262" s="34" t="s">
        <v>2286</v>
      </c>
      <c r="F262" s="499" t="s">
        <v>1612</v>
      </c>
      <c r="G262" s="413" t="s">
        <v>142</v>
      </c>
      <c r="H262" s="115" t="s">
        <v>29</v>
      </c>
      <c r="I262" s="480">
        <v>2.0</v>
      </c>
      <c r="J262" s="490"/>
      <c r="K262" s="491"/>
      <c r="L262" s="491" t="s">
        <v>1613</v>
      </c>
      <c r="M262" s="135" t="s">
        <v>1614</v>
      </c>
      <c r="N262" s="116" t="s">
        <v>1615</v>
      </c>
      <c r="O262" s="32">
        <v>102.0</v>
      </c>
    </row>
    <row r="263">
      <c r="A263" s="165" t="s">
        <v>1616</v>
      </c>
      <c r="B263" s="53"/>
      <c r="C263" s="22">
        <v>9000000.0</v>
      </c>
      <c r="D263" s="26">
        <v>2012.0</v>
      </c>
      <c r="E263" s="26" t="s">
        <v>2296</v>
      </c>
      <c r="F263" s="499" t="s">
        <v>64</v>
      </c>
      <c r="G263" s="499" t="s">
        <v>23</v>
      </c>
      <c r="H263" s="28"/>
      <c r="I263" s="480">
        <v>2.0</v>
      </c>
      <c r="J263" s="490"/>
      <c r="K263" s="110"/>
      <c r="L263" s="491" t="s">
        <v>410</v>
      </c>
      <c r="M263" s="106" t="s">
        <v>1618</v>
      </c>
      <c r="N263" s="113"/>
      <c r="O263" s="32">
        <v>101.0</v>
      </c>
    </row>
    <row r="264">
      <c r="A264" s="20" t="s">
        <v>1619</v>
      </c>
      <c r="B264" s="138"/>
      <c r="C264" s="22">
        <v>3600000.0</v>
      </c>
      <c r="D264" s="26">
        <v>2012.0</v>
      </c>
      <c r="E264" s="26" t="s">
        <v>2338</v>
      </c>
      <c r="F264" s="412" t="s">
        <v>64</v>
      </c>
      <c r="G264" s="412" t="s">
        <v>23</v>
      </c>
      <c r="H264" s="28"/>
      <c r="I264" s="480">
        <v>1.0</v>
      </c>
      <c r="J264" s="490"/>
      <c r="K264" s="110"/>
      <c r="L264" s="491" t="s">
        <v>1621</v>
      </c>
      <c r="M264" s="106" t="s">
        <v>1622</v>
      </c>
      <c r="N264" s="113"/>
      <c r="O264" s="32">
        <v>100.0</v>
      </c>
    </row>
    <row r="265">
      <c r="A265" s="20" t="s">
        <v>214</v>
      </c>
      <c r="B265" s="28"/>
      <c r="C265" s="22">
        <v>6.87E7</v>
      </c>
      <c r="D265" s="26">
        <v>2012.0</v>
      </c>
      <c r="E265" s="26" t="s">
        <v>2212</v>
      </c>
      <c r="F265" s="412" t="s">
        <v>28</v>
      </c>
      <c r="G265" s="412" t="s">
        <v>23</v>
      </c>
      <c r="H265" s="28"/>
      <c r="I265" s="480">
        <v>1.0</v>
      </c>
      <c r="J265" s="481">
        <v>6.87E7</v>
      </c>
      <c r="K265" s="110"/>
      <c r="L265" s="491" t="s">
        <v>1625</v>
      </c>
      <c r="M265" s="106" t="s">
        <v>1626</v>
      </c>
      <c r="N265" s="113"/>
      <c r="O265" s="32">
        <v>99.0</v>
      </c>
    </row>
    <row r="266">
      <c r="A266" s="114" t="s">
        <v>1627</v>
      </c>
      <c r="B266" s="130" t="s">
        <v>1628</v>
      </c>
      <c r="C266" s="22">
        <v>1700000.0</v>
      </c>
      <c r="D266" s="26">
        <v>2011.0</v>
      </c>
      <c r="E266" s="26" t="s">
        <v>2371</v>
      </c>
      <c r="F266" s="412" t="s">
        <v>258</v>
      </c>
      <c r="G266" s="412" t="s">
        <v>1034</v>
      </c>
      <c r="H266" s="28"/>
      <c r="I266" s="480">
        <v>4.0</v>
      </c>
      <c r="J266" s="490"/>
      <c r="K266" s="491"/>
      <c r="L266" s="482" t="s">
        <v>1630</v>
      </c>
      <c r="M266" s="135" t="s">
        <v>1631</v>
      </c>
      <c r="N266" s="19"/>
      <c r="O266" s="32">
        <v>98.0</v>
      </c>
    </row>
    <row r="267">
      <c r="A267" s="114" t="s">
        <v>1632</v>
      </c>
      <c r="B267" s="28"/>
      <c r="C267" s="22">
        <v>231400.0</v>
      </c>
      <c r="D267" s="26">
        <v>2011.0</v>
      </c>
      <c r="E267" s="111" t="s">
        <v>2443</v>
      </c>
      <c r="F267" s="412" t="s">
        <v>258</v>
      </c>
      <c r="G267" s="499" t="s">
        <v>23</v>
      </c>
      <c r="H267" s="130" t="s">
        <v>29</v>
      </c>
      <c r="I267" s="480">
        <v>2.0</v>
      </c>
      <c r="J267" s="490"/>
      <c r="K267" s="491"/>
      <c r="L267" s="482" t="s">
        <v>1634</v>
      </c>
      <c r="M267" s="135" t="s">
        <v>1635</v>
      </c>
      <c r="N267" s="136"/>
      <c r="O267" s="32">
        <v>97.0</v>
      </c>
    </row>
    <row r="268">
      <c r="A268" s="165" t="s">
        <v>1636</v>
      </c>
      <c r="B268" s="28"/>
      <c r="C268" s="22">
        <v>800000.0</v>
      </c>
      <c r="D268" s="26">
        <v>2011.0</v>
      </c>
      <c r="E268" s="26" t="s">
        <v>2403</v>
      </c>
      <c r="F268" s="412" t="s">
        <v>258</v>
      </c>
      <c r="G268" s="412" t="s">
        <v>1034</v>
      </c>
      <c r="H268" s="28"/>
      <c r="I268" s="480">
        <v>5.0</v>
      </c>
      <c r="J268" s="490"/>
      <c r="K268" s="110"/>
      <c r="L268" s="482" t="s">
        <v>1638</v>
      </c>
      <c r="M268" s="106" t="s">
        <v>1639</v>
      </c>
      <c r="N268" s="113"/>
      <c r="O268" s="32">
        <v>96.0</v>
      </c>
    </row>
    <row r="269">
      <c r="A269" s="165" t="s">
        <v>1640</v>
      </c>
      <c r="B269" s="130" t="s">
        <v>1641</v>
      </c>
      <c r="C269" s="22">
        <v>2300000.0</v>
      </c>
      <c r="D269" s="26">
        <v>2011.0</v>
      </c>
      <c r="E269" s="26" t="s">
        <v>2358</v>
      </c>
      <c r="F269" s="499" t="s">
        <v>28</v>
      </c>
      <c r="G269" s="499" t="s">
        <v>23</v>
      </c>
      <c r="H269" s="28"/>
      <c r="I269" s="480">
        <v>3.0</v>
      </c>
      <c r="J269" s="490"/>
      <c r="K269" s="110"/>
      <c r="L269" s="482" t="s">
        <v>1643</v>
      </c>
      <c r="M269" s="106" t="s">
        <v>1644</v>
      </c>
      <c r="N269" s="113"/>
      <c r="O269" s="32">
        <v>95.0</v>
      </c>
    </row>
    <row r="270">
      <c r="A270" s="114" t="s">
        <v>1645</v>
      </c>
      <c r="B270" s="28"/>
      <c r="C270" s="22">
        <v>156000.0</v>
      </c>
      <c r="D270" s="26">
        <v>2011.0</v>
      </c>
      <c r="E270" s="26" t="s">
        <v>2461</v>
      </c>
      <c r="F270" s="412" t="s">
        <v>258</v>
      </c>
      <c r="G270" s="499" t="s">
        <v>23</v>
      </c>
      <c r="H270" s="28"/>
      <c r="I270" s="480">
        <v>4.0</v>
      </c>
      <c r="J270" s="490"/>
      <c r="K270" s="110"/>
      <c r="L270" s="482" t="s">
        <v>1647</v>
      </c>
      <c r="M270" s="135" t="s">
        <v>1648</v>
      </c>
      <c r="N270" s="136"/>
      <c r="O270" s="32">
        <v>94.0</v>
      </c>
    </row>
    <row r="271">
      <c r="A271" s="165" t="s">
        <v>1649</v>
      </c>
      <c r="B271" s="28"/>
      <c r="C271" s="22">
        <v>43000.0</v>
      </c>
      <c r="D271" s="26">
        <v>2011.0</v>
      </c>
      <c r="E271" s="26" t="s">
        <v>2495</v>
      </c>
      <c r="F271" s="499" t="s">
        <v>2060</v>
      </c>
      <c r="G271" s="413" t="s">
        <v>142</v>
      </c>
      <c r="H271" s="28"/>
      <c r="I271" s="480">
        <v>2.0</v>
      </c>
      <c r="J271" s="490"/>
      <c r="K271" s="110"/>
      <c r="L271" s="482" t="s">
        <v>918</v>
      </c>
      <c r="M271" s="106" t="s">
        <v>1651</v>
      </c>
      <c r="N271" s="113"/>
      <c r="O271" s="32">
        <v>93.0</v>
      </c>
    </row>
    <row r="272">
      <c r="A272" s="165" t="s">
        <v>1652</v>
      </c>
      <c r="B272" s="28"/>
      <c r="C272" s="22">
        <v>34000.0</v>
      </c>
      <c r="D272" s="26">
        <v>2011.0</v>
      </c>
      <c r="E272" s="26" t="s">
        <v>2500</v>
      </c>
      <c r="F272" s="412" t="s">
        <v>58</v>
      </c>
      <c r="G272" s="412" t="s">
        <v>1034</v>
      </c>
      <c r="H272" s="130" t="s">
        <v>29</v>
      </c>
      <c r="I272" s="480">
        <v>3.0</v>
      </c>
      <c r="J272" s="490"/>
      <c r="K272" s="110"/>
      <c r="L272" s="482" t="s">
        <v>829</v>
      </c>
      <c r="M272" s="106" t="s">
        <v>1654</v>
      </c>
      <c r="N272" s="113"/>
      <c r="O272" s="32">
        <v>92.0</v>
      </c>
    </row>
    <row r="273">
      <c r="A273" s="165" t="s">
        <v>1655</v>
      </c>
      <c r="B273" s="28"/>
      <c r="C273" s="22">
        <v>3500000.0</v>
      </c>
      <c r="D273" s="26">
        <v>2011.0</v>
      </c>
      <c r="E273" s="26" t="s">
        <v>2339</v>
      </c>
      <c r="F273" s="499" t="s">
        <v>64</v>
      </c>
      <c r="G273" s="413" t="s">
        <v>142</v>
      </c>
      <c r="H273" s="28"/>
      <c r="I273" s="480">
        <v>2.0</v>
      </c>
      <c r="J273" s="490"/>
      <c r="K273" s="110"/>
      <c r="L273" s="482" t="s">
        <v>1657</v>
      </c>
      <c r="M273" s="106" t="s">
        <v>1658</v>
      </c>
      <c r="N273" s="113"/>
      <c r="O273" s="32">
        <v>91.0</v>
      </c>
    </row>
    <row r="274">
      <c r="A274" s="20" t="s">
        <v>1659</v>
      </c>
      <c r="B274" s="26" t="s">
        <v>1660</v>
      </c>
      <c r="C274" s="22">
        <v>3000000.0</v>
      </c>
      <c r="D274" s="26">
        <v>2011.0</v>
      </c>
      <c r="E274" s="26" t="s">
        <v>2348</v>
      </c>
      <c r="F274" s="412" t="s">
        <v>28</v>
      </c>
      <c r="G274" s="412" t="s">
        <v>23</v>
      </c>
      <c r="H274" s="28"/>
      <c r="I274" s="480">
        <v>1.0</v>
      </c>
      <c r="J274" s="490"/>
      <c r="K274" s="110"/>
      <c r="L274" s="482" t="s">
        <v>507</v>
      </c>
      <c r="M274" s="106" t="s">
        <v>1662</v>
      </c>
      <c r="N274" s="113"/>
      <c r="O274" s="32">
        <v>90.0</v>
      </c>
    </row>
    <row r="275">
      <c r="A275" s="165" t="s">
        <v>1663</v>
      </c>
      <c r="B275" s="28"/>
      <c r="C275" s="22">
        <v>7.7E7</v>
      </c>
      <c r="D275" s="26">
        <v>2011.0</v>
      </c>
      <c r="E275" s="26" t="s">
        <v>2236</v>
      </c>
      <c r="F275" s="499" t="s">
        <v>236</v>
      </c>
      <c r="G275" s="499" t="s">
        <v>23</v>
      </c>
      <c r="H275" s="130" t="s">
        <v>29</v>
      </c>
      <c r="I275" s="505">
        <v>1.0</v>
      </c>
      <c r="J275" s="490"/>
      <c r="K275" s="110"/>
      <c r="L275" s="482" t="s">
        <v>1665</v>
      </c>
      <c r="M275" s="106" t="s">
        <v>1666</v>
      </c>
      <c r="N275" s="113"/>
      <c r="O275" s="32">
        <v>89.0</v>
      </c>
    </row>
    <row r="276">
      <c r="A276" s="165" t="s">
        <v>1667</v>
      </c>
      <c r="B276" s="28"/>
      <c r="C276" s="22">
        <v>123461.0</v>
      </c>
      <c r="D276" s="26">
        <v>2011.0</v>
      </c>
      <c r="E276" s="26" t="s">
        <v>2469</v>
      </c>
      <c r="F276" s="499" t="s">
        <v>64</v>
      </c>
      <c r="G276" s="412" t="s">
        <v>23</v>
      </c>
      <c r="H276" s="28"/>
      <c r="I276" s="480">
        <v>3.0</v>
      </c>
      <c r="J276" s="490"/>
      <c r="K276" s="110"/>
      <c r="L276" s="491" t="s">
        <v>1608</v>
      </c>
      <c r="M276" s="106" t="s">
        <v>1669</v>
      </c>
      <c r="N276" s="113"/>
      <c r="O276" s="32">
        <v>88.0</v>
      </c>
    </row>
    <row r="277">
      <c r="A277" s="114" t="s">
        <v>1670</v>
      </c>
      <c r="B277" s="28"/>
      <c r="C277" s="22">
        <v>73000.0</v>
      </c>
      <c r="D277" s="26">
        <v>2011.0</v>
      </c>
      <c r="E277" s="184" t="s">
        <v>2488</v>
      </c>
      <c r="F277" s="412" t="s">
        <v>2060</v>
      </c>
      <c r="G277" s="499" t="s">
        <v>23</v>
      </c>
      <c r="H277" s="28"/>
      <c r="I277" s="480">
        <v>2.0</v>
      </c>
      <c r="J277" s="490"/>
      <c r="K277" s="110"/>
      <c r="L277" s="482" t="s">
        <v>571</v>
      </c>
      <c r="M277" s="106" t="s">
        <v>1672</v>
      </c>
      <c r="N277" s="113"/>
      <c r="O277" s="32">
        <v>87.0</v>
      </c>
    </row>
    <row r="278">
      <c r="A278" s="165" t="s">
        <v>1673</v>
      </c>
      <c r="B278" s="26" t="s">
        <v>1674</v>
      </c>
      <c r="C278" s="22">
        <v>935000.0</v>
      </c>
      <c r="D278" s="26">
        <v>2011.0</v>
      </c>
      <c r="E278" s="26" t="s">
        <v>2398</v>
      </c>
      <c r="F278" s="499" t="s">
        <v>1676</v>
      </c>
      <c r="G278" s="412" t="s">
        <v>23</v>
      </c>
      <c r="H278" s="28"/>
      <c r="I278" s="512" t="s">
        <v>1677</v>
      </c>
      <c r="J278" s="490"/>
      <c r="K278" s="110"/>
      <c r="L278" s="482" t="s">
        <v>688</v>
      </c>
      <c r="M278" s="106" t="s">
        <v>1678</v>
      </c>
      <c r="N278" s="113"/>
      <c r="O278" s="32">
        <v>86.0</v>
      </c>
    </row>
    <row r="279">
      <c r="A279" s="20" t="s">
        <v>1679</v>
      </c>
      <c r="B279" s="28"/>
      <c r="C279" s="22">
        <v>1.0E7</v>
      </c>
      <c r="D279" s="26">
        <v>2011.0</v>
      </c>
      <c r="E279" s="26" t="s">
        <v>2294</v>
      </c>
      <c r="F279" s="499" t="s">
        <v>28</v>
      </c>
      <c r="G279" s="499" t="s">
        <v>23</v>
      </c>
      <c r="H279" s="28"/>
      <c r="I279" s="505">
        <v>1.0</v>
      </c>
      <c r="J279" s="490"/>
      <c r="K279" s="110"/>
      <c r="L279" s="482" t="s">
        <v>1681</v>
      </c>
      <c r="M279" s="106" t="s">
        <v>1682</v>
      </c>
      <c r="N279" s="113"/>
      <c r="O279" s="32">
        <v>85.0</v>
      </c>
    </row>
    <row r="280">
      <c r="A280" s="114" t="s">
        <v>1683</v>
      </c>
      <c r="B280" s="28"/>
      <c r="C280" s="22">
        <v>300000.0</v>
      </c>
      <c r="D280" s="26">
        <v>2011.0</v>
      </c>
      <c r="E280" s="26" t="s">
        <v>2436</v>
      </c>
      <c r="F280" s="412" t="s">
        <v>258</v>
      </c>
      <c r="G280" s="499" t="s">
        <v>23</v>
      </c>
      <c r="H280" s="28"/>
      <c r="I280" s="480">
        <v>2.0</v>
      </c>
      <c r="J280" s="490"/>
      <c r="K280" s="110"/>
      <c r="L280" s="482" t="s">
        <v>1026</v>
      </c>
      <c r="M280" s="106" t="s">
        <v>1685</v>
      </c>
      <c r="N280" s="113"/>
      <c r="O280" s="32">
        <v>84.0</v>
      </c>
    </row>
    <row r="281">
      <c r="A281" s="185" t="s">
        <v>1686</v>
      </c>
      <c r="B281" s="130" t="s">
        <v>1687</v>
      </c>
      <c r="C281" s="22">
        <v>62000.0</v>
      </c>
      <c r="D281" s="26">
        <v>2011.0</v>
      </c>
      <c r="E281" s="26" t="s">
        <v>2490</v>
      </c>
      <c r="F281" s="499" t="s">
        <v>28</v>
      </c>
      <c r="G281" s="499" t="s">
        <v>23</v>
      </c>
      <c r="H281" s="28"/>
      <c r="I281" s="505">
        <v>1.0</v>
      </c>
      <c r="J281" s="490"/>
      <c r="K281" s="110"/>
      <c r="L281" s="491" t="s">
        <v>629</v>
      </c>
      <c r="M281" s="135" t="s">
        <v>1689</v>
      </c>
      <c r="N281" s="113"/>
      <c r="O281" s="32">
        <v>83.0</v>
      </c>
    </row>
    <row r="282">
      <c r="A282" s="165" t="s">
        <v>1690</v>
      </c>
      <c r="B282" s="130" t="s">
        <v>1691</v>
      </c>
      <c r="C282" s="22">
        <v>200000.0</v>
      </c>
      <c r="D282" s="26">
        <v>2011.0</v>
      </c>
      <c r="E282" s="26" t="s">
        <v>2449</v>
      </c>
      <c r="F282" s="499" t="s">
        <v>236</v>
      </c>
      <c r="G282" s="499" t="s">
        <v>23</v>
      </c>
      <c r="H282" s="28"/>
      <c r="I282" s="505">
        <v>1.0</v>
      </c>
      <c r="J282" s="490"/>
      <c r="K282" s="110"/>
      <c r="L282" s="491" t="s">
        <v>1608</v>
      </c>
      <c r="M282" s="106" t="s">
        <v>1693</v>
      </c>
      <c r="N282" s="113"/>
      <c r="O282" s="32">
        <v>82.0</v>
      </c>
    </row>
    <row r="283">
      <c r="A283" s="165" t="s">
        <v>1694</v>
      </c>
      <c r="B283" s="28"/>
      <c r="C283" s="22">
        <v>1290755.0</v>
      </c>
      <c r="D283" s="26">
        <v>2011.0</v>
      </c>
      <c r="E283" s="26" t="s">
        <v>2385</v>
      </c>
      <c r="F283" s="499" t="s">
        <v>236</v>
      </c>
      <c r="G283" s="499" t="s">
        <v>23</v>
      </c>
      <c r="H283" s="28"/>
      <c r="I283" s="480">
        <v>2.0</v>
      </c>
      <c r="J283" s="490"/>
      <c r="K283" s="110"/>
      <c r="L283" s="482" t="s">
        <v>571</v>
      </c>
      <c r="M283" s="106" t="s">
        <v>1696</v>
      </c>
      <c r="N283" s="113"/>
      <c r="O283" s="32">
        <v>81.0</v>
      </c>
    </row>
    <row r="284">
      <c r="A284" s="165" t="s">
        <v>1400</v>
      </c>
      <c r="B284" s="28"/>
      <c r="C284" s="22">
        <v>210000.0</v>
      </c>
      <c r="D284" s="26">
        <v>2011.0</v>
      </c>
      <c r="E284" s="26" t="s">
        <v>2445</v>
      </c>
      <c r="F284" s="412" t="s">
        <v>58</v>
      </c>
      <c r="G284" s="499" t="s">
        <v>23</v>
      </c>
      <c r="H284" s="28"/>
      <c r="I284" s="480">
        <v>3.0</v>
      </c>
      <c r="J284" s="490"/>
      <c r="K284" s="110"/>
      <c r="L284" s="482" t="s">
        <v>1608</v>
      </c>
      <c r="M284" s="106" t="s">
        <v>1698</v>
      </c>
      <c r="N284" s="113"/>
      <c r="O284" s="32">
        <v>80.0</v>
      </c>
    </row>
    <row r="285">
      <c r="A285" s="165" t="s">
        <v>1334</v>
      </c>
      <c r="B285" s="28"/>
      <c r="C285" s="22">
        <v>1000000.0</v>
      </c>
      <c r="D285" s="26">
        <v>2011.0</v>
      </c>
      <c r="E285" s="26" t="s">
        <v>2395</v>
      </c>
      <c r="F285" s="499" t="s">
        <v>28</v>
      </c>
      <c r="G285" s="499" t="s">
        <v>23</v>
      </c>
      <c r="H285" s="130" t="s">
        <v>29</v>
      </c>
      <c r="I285" s="505">
        <v>1.0</v>
      </c>
      <c r="J285" s="490"/>
      <c r="K285" s="110"/>
      <c r="L285" s="482" t="s">
        <v>1665</v>
      </c>
      <c r="M285" s="106" t="s">
        <v>1700</v>
      </c>
      <c r="N285" s="113"/>
      <c r="O285" s="32">
        <v>79.0</v>
      </c>
    </row>
    <row r="286">
      <c r="A286" s="114" t="s">
        <v>1701</v>
      </c>
      <c r="B286" s="28"/>
      <c r="C286" s="22">
        <v>175350.0</v>
      </c>
      <c r="D286" s="26">
        <v>2011.0</v>
      </c>
      <c r="E286" s="26" t="s">
        <v>2454</v>
      </c>
      <c r="F286" s="412" t="s">
        <v>258</v>
      </c>
      <c r="G286" s="499" t="s">
        <v>51</v>
      </c>
      <c r="H286" s="28"/>
      <c r="I286" s="480">
        <v>2.0</v>
      </c>
      <c r="J286" s="490"/>
      <c r="K286" s="110"/>
      <c r="L286" s="482" t="s">
        <v>1026</v>
      </c>
      <c r="M286" s="106" t="s">
        <v>1703</v>
      </c>
      <c r="N286" s="136"/>
      <c r="O286" s="32">
        <v>78.0</v>
      </c>
    </row>
    <row r="287">
      <c r="A287" s="165" t="s">
        <v>710</v>
      </c>
      <c r="B287" s="28"/>
      <c r="C287" s="22">
        <v>1270000.0</v>
      </c>
      <c r="D287" s="26">
        <v>2011.0</v>
      </c>
      <c r="E287" s="26" t="s">
        <v>2386</v>
      </c>
      <c r="F287" s="412" t="s">
        <v>38</v>
      </c>
      <c r="G287" s="499" t="s">
        <v>23</v>
      </c>
      <c r="H287" s="28"/>
      <c r="I287" s="480">
        <v>2.0</v>
      </c>
      <c r="J287" s="490"/>
      <c r="K287" s="110"/>
      <c r="L287" s="482" t="s">
        <v>629</v>
      </c>
      <c r="M287" s="106" t="s">
        <v>1705</v>
      </c>
      <c r="N287" s="113"/>
      <c r="O287" s="32">
        <v>77.0</v>
      </c>
    </row>
    <row r="288">
      <c r="A288" s="165" t="s">
        <v>1706</v>
      </c>
      <c r="B288" s="115" t="s">
        <v>1707</v>
      </c>
      <c r="C288" s="22">
        <v>1900000.0</v>
      </c>
      <c r="D288" s="26">
        <v>2011.0</v>
      </c>
      <c r="E288" s="26" t="s">
        <v>2368</v>
      </c>
      <c r="F288" s="412" t="s">
        <v>258</v>
      </c>
      <c r="G288" s="412" t="s">
        <v>1034</v>
      </c>
      <c r="H288" s="28"/>
      <c r="I288" s="512" t="s">
        <v>1677</v>
      </c>
      <c r="J288" s="490"/>
      <c r="K288" s="110"/>
      <c r="L288" s="482" t="s">
        <v>1709</v>
      </c>
      <c r="M288" s="106" t="s">
        <v>1710</v>
      </c>
      <c r="N288" s="109"/>
      <c r="O288" s="32">
        <v>76.0</v>
      </c>
    </row>
    <row r="289">
      <c r="A289" s="114" t="s">
        <v>1711</v>
      </c>
      <c r="B289" s="130" t="s">
        <v>1712</v>
      </c>
      <c r="C289" s="22">
        <v>514330.0</v>
      </c>
      <c r="D289" s="26">
        <v>2011.0</v>
      </c>
      <c r="E289" s="111" t="s">
        <v>2416</v>
      </c>
      <c r="F289" s="412" t="s">
        <v>258</v>
      </c>
      <c r="G289" s="412" t="s">
        <v>1034</v>
      </c>
      <c r="H289" s="28"/>
      <c r="I289" s="480">
        <v>4.0</v>
      </c>
      <c r="J289" s="490"/>
      <c r="K289" s="491"/>
      <c r="L289" s="482" t="s">
        <v>1714</v>
      </c>
      <c r="M289" s="135" t="s">
        <v>1715</v>
      </c>
      <c r="N289" s="136"/>
      <c r="O289" s="32">
        <v>75.0</v>
      </c>
    </row>
    <row r="290">
      <c r="A290" s="114" t="s">
        <v>1716</v>
      </c>
      <c r="B290" s="28"/>
      <c r="C290" s="22">
        <v>400000.0</v>
      </c>
      <c r="D290" s="26">
        <v>2011.0</v>
      </c>
      <c r="E290" s="26" t="s">
        <v>2426</v>
      </c>
      <c r="F290" s="412" t="s">
        <v>258</v>
      </c>
      <c r="G290" s="412" t="s">
        <v>1034</v>
      </c>
      <c r="H290" s="28"/>
      <c r="I290" s="480">
        <v>4.0</v>
      </c>
      <c r="J290" s="490"/>
      <c r="K290" s="491"/>
      <c r="L290" s="482" t="s">
        <v>1718</v>
      </c>
      <c r="M290" s="135" t="s">
        <v>1719</v>
      </c>
      <c r="N290" s="136"/>
      <c r="O290" s="32">
        <v>74.0</v>
      </c>
    </row>
    <row r="291">
      <c r="A291" s="165" t="s">
        <v>1720</v>
      </c>
      <c r="B291" s="130" t="s">
        <v>1721</v>
      </c>
      <c r="C291" s="22">
        <v>8600000.0</v>
      </c>
      <c r="D291" s="26">
        <v>2011.0</v>
      </c>
      <c r="E291" s="26" t="s">
        <v>2299</v>
      </c>
      <c r="F291" s="412" t="s">
        <v>258</v>
      </c>
      <c r="G291" s="412" t="s">
        <v>1034</v>
      </c>
      <c r="H291" s="130" t="s">
        <v>29</v>
      </c>
      <c r="I291" s="480">
        <v>4.0</v>
      </c>
      <c r="J291" s="490"/>
      <c r="K291" s="110"/>
      <c r="L291" s="482" t="s">
        <v>1723</v>
      </c>
      <c r="M291" s="106" t="s">
        <v>1724</v>
      </c>
      <c r="N291" s="113"/>
      <c r="O291" s="32">
        <v>73.0</v>
      </c>
    </row>
    <row r="292">
      <c r="A292" s="114" t="s">
        <v>1725</v>
      </c>
      <c r="B292" s="28"/>
      <c r="C292" s="22">
        <v>180000.0</v>
      </c>
      <c r="D292" s="26">
        <v>2011.0</v>
      </c>
      <c r="E292" s="26" t="s">
        <v>2453</v>
      </c>
      <c r="F292" s="499" t="s">
        <v>64</v>
      </c>
      <c r="G292" s="499" t="s">
        <v>23</v>
      </c>
      <c r="H292" s="28"/>
      <c r="I292" s="505">
        <v>1.0</v>
      </c>
      <c r="J292" s="490"/>
      <c r="K292" s="110"/>
      <c r="L292" s="491" t="s">
        <v>1613</v>
      </c>
      <c r="M292" s="106" t="s">
        <v>1727</v>
      </c>
      <c r="N292" s="113"/>
      <c r="O292" s="32">
        <v>72.0</v>
      </c>
    </row>
    <row r="293">
      <c r="A293" s="165" t="s">
        <v>1728</v>
      </c>
      <c r="B293" s="28"/>
      <c r="C293" s="22">
        <v>2.46E7</v>
      </c>
      <c r="D293" s="26">
        <v>2011.0</v>
      </c>
      <c r="E293" s="26" t="s">
        <v>2268</v>
      </c>
      <c r="F293" s="499" t="s">
        <v>236</v>
      </c>
      <c r="G293" s="499" t="s">
        <v>23</v>
      </c>
      <c r="H293" s="28"/>
      <c r="I293" s="480">
        <v>3.0</v>
      </c>
      <c r="J293" s="490"/>
      <c r="K293" s="110"/>
      <c r="L293" s="482" t="s">
        <v>1224</v>
      </c>
      <c r="M293" s="106" t="s">
        <v>1730</v>
      </c>
      <c r="N293" s="113"/>
      <c r="O293" s="32">
        <v>71.0</v>
      </c>
    </row>
    <row r="294">
      <c r="A294" s="165" t="s">
        <v>1731</v>
      </c>
      <c r="B294" s="53"/>
      <c r="C294" s="22">
        <v>283000.0</v>
      </c>
      <c r="D294" s="26">
        <v>2011.0</v>
      </c>
      <c r="E294" s="26" t="s">
        <v>2437</v>
      </c>
      <c r="F294" s="499" t="s">
        <v>43</v>
      </c>
      <c r="G294" s="412" t="s">
        <v>23</v>
      </c>
      <c r="H294" s="130" t="s">
        <v>29</v>
      </c>
      <c r="I294" s="480">
        <v>2.0</v>
      </c>
      <c r="J294" s="490"/>
      <c r="K294" s="110"/>
      <c r="L294" s="482" t="s">
        <v>1733</v>
      </c>
      <c r="M294" s="106" t="s">
        <v>1734</v>
      </c>
      <c r="N294" s="113"/>
      <c r="O294" s="32">
        <v>70.0</v>
      </c>
    </row>
    <row r="295">
      <c r="A295" s="165" t="s">
        <v>1735</v>
      </c>
      <c r="B295" s="130" t="s">
        <v>1736</v>
      </c>
      <c r="C295" s="22">
        <v>210000.0</v>
      </c>
      <c r="D295" s="26">
        <v>2011.0</v>
      </c>
      <c r="E295" s="26" t="s">
        <v>2446</v>
      </c>
      <c r="F295" s="499" t="s">
        <v>64</v>
      </c>
      <c r="G295" s="412" t="s">
        <v>23</v>
      </c>
      <c r="H295" s="130" t="s">
        <v>29</v>
      </c>
      <c r="I295" s="480">
        <v>5.0</v>
      </c>
      <c r="J295" s="490"/>
      <c r="K295" s="110"/>
      <c r="L295" s="482" t="s">
        <v>918</v>
      </c>
      <c r="M295" s="106" t="s">
        <v>1738</v>
      </c>
      <c r="N295" s="113"/>
      <c r="O295" s="32">
        <v>69.0</v>
      </c>
    </row>
    <row r="296">
      <c r="A296" s="165" t="s">
        <v>1739</v>
      </c>
      <c r="B296" s="28"/>
      <c r="C296" s="22">
        <v>1000000.0</v>
      </c>
      <c r="D296" s="26">
        <v>2011.0</v>
      </c>
      <c r="E296" s="26" t="s">
        <v>2396</v>
      </c>
      <c r="F296" s="499" t="s">
        <v>64</v>
      </c>
      <c r="G296" s="412" t="s">
        <v>23</v>
      </c>
      <c r="H296" s="28"/>
      <c r="I296" s="480">
        <v>2.0</v>
      </c>
      <c r="J296" s="490"/>
      <c r="K296" s="110"/>
      <c r="L296" s="482" t="s">
        <v>1026</v>
      </c>
      <c r="M296" s="106" t="s">
        <v>1741</v>
      </c>
      <c r="N296" s="113"/>
      <c r="O296" s="32">
        <v>68.0</v>
      </c>
    </row>
    <row r="297">
      <c r="A297" s="165" t="s">
        <v>1742</v>
      </c>
      <c r="B297" s="419" t="s">
        <v>1743</v>
      </c>
      <c r="C297" s="22">
        <v>3.5E7</v>
      </c>
      <c r="D297" s="26">
        <v>2011.0</v>
      </c>
      <c r="E297" s="26" t="s">
        <v>2257</v>
      </c>
      <c r="F297" s="499" t="s">
        <v>28</v>
      </c>
      <c r="G297" s="499" t="s">
        <v>23</v>
      </c>
      <c r="H297" s="28"/>
      <c r="I297" s="480">
        <v>3.0</v>
      </c>
      <c r="J297" s="490"/>
      <c r="K297" s="110"/>
      <c r="L297" s="491" t="s">
        <v>1745</v>
      </c>
      <c r="M297" s="106" t="s">
        <v>1746</v>
      </c>
      <c r="N297" s="113"/>
      <c r="O297" s="32">
        <v>67.0</v>
      </c>
    </row>
    <row r="298">
      <c r="A298" s="165" t="s">
        <v>1747</v>
      </c>
      <c r="B298" s="130" t="s">
        <v>1748</v>
      </c>
      <c r="C298" s="22">
        <v>200000.0</v>
      </c>
      <c r="D298" s="26">
        <v>2011.0</v>
      </c>
      <c r="E298" s="26" t="s">
        <v>1749</v>
      </c>
      <c r="F298" s="499" t="s">
        <v>43</v>
      </c>
      <c r="G298" s="499" t="s">
        <v>23</v>
      </c>
      <c r="H298" s="28"/>
      <c r="I298" s="480">
        <v>3.0</v>
      </c>
      <c r="J298" s="490"/>
      <c r="K298" s="110"/>
      <c r="L298" s="482" t="s">
        <v>918</v>
      </c>
      <c r="M298" s="106" t="s">
        <v>1750</v>
      </c>
      <c r="N298" s="113"/>
      <c r="O298" s="32">
        <v>66.0</v>
      </c>
    </row>
    <row r="299">
      <c r="A299" s="165" t="s">
        <v>1751</v>
      </c>
      <c r="B299" s="419" t="s">
        <v>1752</v>
      </c>
      <c r="C299" s="22">
        <v>1.32E7</v>
      </c>
      <c r="D299" s="26">
        <v>2011.0</v>
      </c>
      <c r="E299" s="26" t="s">
        <v>2284</v>
      </c>
      <c r="F299" s="499" t="s">
        <v>28</v>
      </c>
      <c r="G299" s="499" t="s">
        <v>23</v>
      </c>
      <c r="H299" s="28"/>
      <c r="I299" s="480">
        <v>2.0</v>
      </c>
      <c r="J299" s="490"/>
      <c r="K299" s="110"/>
      <c r="L299" s="482" t="s">
        <v>286</v>
      </c>
      <c r="M299" s="106" t="s">
        <v>1754</v>
      </c>
      <c r="N299" s="113"/>
      <c r="O299" s="32">
        <v>65.0</v>
      </c>
    </row>
    <row r="300">
      <c r="A300" s="114" t="s">
        <v>1755</v>
      </c>
      <c r="B300" s="130" t="s">
        <v>1756</v>
      </c>
      <c r="C300" s="22">
        <v>1600000.0</v>
      </c>
      <c r="D300" s="26">
        <v>2011.0</v>
      </c>
      <c r="E300" s="26" t="s">
        <v>2374</v>
      </c>
      <c r="F300" s="412" t="s">
        <v>258</v>
      </c>
      <c r="G300" s="412" t="s">
        <v>1034</v>
      </c>
      <c r="H300" s="28"/>
      <c r="I300" s="480">
        <v>4.0</v>
      </c>
      <c r="J300" s="490"/>
      <c r="K300" s="491"/>
      <c r="L300" s="482" t="s">
        <v>1758</v>
      </c>
      <c r="M300" s="135" t="s">
        <v>1759</v>
      </c>
      <c r="N300" s="136"/>
      <c r="O300" s="32">
        <v>64.0</v>
      </c>
    </row>
    <row r="301">
      <c r="A301" s="114" t="s">
        <v>1760</v>
      </c>
      <c r="B301" s="28"/>
      <c r="C301" s="22">
        <v>4243434.0</v>
      </c>
      <c r="D301" s="26">
        <v>2011.0</v>
      </c>
      <c r="E301" s="26" t="s">
        <v>2323</v>
      </c>
      <c r="F301" s="412" t="s">
        <v>258</v>
      </c>
      <c r="G301" s="412" t="s">
        <v>1034</v>
      </c>
      <c r="H301" s="28"/>
      <c r="I301" s="480">
        <v>2.0</v>
      </c>
      <c r="J301" s="490"/>
      <c r="K301" s="491"/>
      <c r="L301" s="482" t="s">
        <v>1106</v>
      </c>
      <c r="M301" s="135" t="s">
        <v>1762</v>
      </c>
      <c r="N301" s="136"/>
      <c r="O301" s="32">
        <v>63.0</v>
      </c>
    </row>
    <row r="302">
      <c r="A302" s="165" t="s">
        <v>1763</v>
      </c>
      <c r="B302" s="130" t="s">
        <v>1764</v>
      </c>
      <c r="C302" s="22">
        <v>4901432.0</v>
      </c>
      <c r="D302" s="26">
        <v>2011.0</v>
      </c>
      <c r="E302" s="26" t="s">
        <v>2319</v>
      </c>
      <c r="F302" s="412" t="s">
        <v>1766</v>
      </c>
      <c r="G302" s="412" t="s">
        <v>1034</v>
      </c>
      <c r="H302" s="28"/>
      <c r="I302" s="480">
        <v>4.0</v>
      </c>
      <c r="J302" s="490"/>
      <c r="K302" s="110"/>
      <c r="L302" s="482" t="s">
        <v>286</v>
      </c>
      <c r="M302" s="106" t="s">
        <v>1767</v>
      </c>
      <c r="N302" s="113"/>
      <c r="O302" s="32">
        <v>62.0</v>
      </c>
    </row>
    <row r="303">
      <c r="A303" s="114" t="s">
        <v>1768</v>
      </c>
      <c r="B303" s="28"/>
      <c r="C303" s="22">
        <v>1220000.0</v>
      </c>
      <c r="D303" s="26">
        <v>2010.0</v>
      </c>
      <c r="E303" s="26" t="s">
        <v>2387</v>
      </c>
      <c r="F303" s="412" t="s">
        <v>258</v>
      </c>
      <c r="G303" s="412" t="s">
        <v>1034</v>
      </c>
      <c r="H303" s="28"/>
      <c r="I303" s="512" t="s">
        <v>1770</v>
      </c>
      <c r="J303" s="490"/>
      <c r="K303" s="491"/>
      <c r="L303" s="482" t="s">
        <v>1771</v>
      </c>
      <c r="M303" s="135" t="s">
        <v>1772</v>
      </c>
      <c r="N303" s="432"/>
      <c r="O303" s="32">
        <v>61.0</v>
      </c>
    </row>
    <row r="304">
      <c r="A304" s="165" t="s">
        <v>1773</v>
      </c>
      <c r="B304" s="130" t="s">
        <v>1774</v>
      </c>
      <c r="C304" s="22">
        <v>1023209.0</v>
      </c>
      <c r="D304" s="26">
        <v>2010.0</v>
      </c>
      <c r="E304" s="26" t="s">
        <v>2391</v>
      </c>
      <c r="F304" s="412" t="s">
        <v>258</v>
      </c>
      <c r="G304" s="412" t="s">
        <v>1034</v>
      </c>
      <c r="H304" s="130" t="s">
        <v>29</v>
      </c>
      <c r="I304" s="480">
        <v>2.0</v>
      </c>
      <c r="J304" s="490"/>
      <c r="K304" s="110"/>
      <c r="L304" s="482" t="s">
        <v>1026</v>
      </c>
      <c r="M304" s="106" t="s">
        <v>1776</v>
      </c>
      <c r="N304" s="109"/>
      <c r="O304" s="32">
        <v>60.0</v>
      </c>
    </row>
    <row r="305">
      <c r="A305" s="165" t="s">
        <v>1777</v>
      </c>
      <c r="B305" s="115" t="s">
        <v>1778</v>
      </c>
      <c r="C305" s="22">
        <v>260000.0</v>
      </c>
      <c r="D305" s="26">
        <v>2010.0</v>
      </c>
      <c r="E305" s="34" t="s">
        <v>2441</v>
      </c>
      <c r="F305" s="499" t="s">
        <v>1676</v>
      </c>
      <c r="G305" s="499" t="s">
        <v>59</v>
      </c>
      <c r="H305" s="130" t="s">
        <v>29</v>
      </c>
      <c r="I305" s="480">
        <v>5.0</v>
      </c>
      <c r="J305" s="490"/>
      <c r="K305" s="110"/>
      <c r="L305" s="491" t="s">
        <v>507</v>
      </c>
      <c r="M305" s="106" t="s">
        <v>1780</v>
      </c>
      <c r="N305" s="113"/>
      <c r="O305" s="32">
        <v>59.0</v>
      </c>
    </row>
    <row r="306">
      <c r="A306" s="181" t="s">
        <v>1781</v>
      </c>
      <c r="B306" s="130" t="s">
        <v>1782</v>
      </c>
      <c r="C306" s="22">
        <v>1500000.0</v>
      </c>
      <c r="D306" s="26">
        <v>2010.0</v>
      </c>
      <c r="E306" s="26" t="s">
        <v>2380</v>
      </c>
      <c r="F306" s="499" t="s">
        <v>28</v>
      </c>
      <c r="G306" s="499" t="s">
        <v>23</v>
      </c>
      <c r="H306" s="28"/>
      <c r="I306" s="480">
        <v>2.0</v>
      </c>
      <c r="J306" s="490"/>
      <c r="K306" s="110"/>
      <c r="L306" s="491" t="s">
        <v>507</v>
      </c>
      <c r="M306" s="106" t="s">
        <v>1784</v>
      </c>
      <c r="N306" s="166" t="s">
        <v>1785</v>
      </c>
      <c r="O306" s="32">
        <v>58.0</v>
      </c>
    </row>
    <row r="307">
      <c r="A307" s="114" t="s">
        <v>1786</v>
      </c>
      <c r="B307" s="130" t="s">
        <v>1787</v>
      </c>
      <c r="C307" s="22">
        <v>398000.0</v>
      </c>
      <c r="D307" s="26">
        <v>2010.0</v>
      </c>
      <c r="E307" s="26" t="s">
        <v>2427</v>
      </c>
      <c r="F307" s="412" t="s">
        <v>258</v>
      </c>
      <c r="G307" s="412" t="s">
        <v>1034</v>
      </c>
      <c r="H307" s="28"/>
      <c r="I307" s="480">
        <v>4.0</v>
      </c>
      <c r="J307" s="490"/>
      <c r="K307" s="491"/>
      <c r="L307" s="491" t="s">
        <v>1026</v>
      </c>
      <c r="M307" s="135" t="s">
        <v>1789</v>
      </c>
      <c r="N307" s="19"/>
      <c r="O307" s="32">
        <v>57.0</v>
      </c>
    </row>
    <row r="308">
      <c r="A308" s="165" t="s">
        <v>1790</v>
      </c>
      <c r="B308" s="28"/>
      <c r="C308" s="22">
        <v>760000.0</v>
      </c>
      <c r="D308" s="26">
        <v>2010.0</v>
      </c>
      <c r="E308" s="26" t="s">
        <v>2407</v>
      </c>
      <c r="F308" s="499" t="s">
        <v>2060</v>
      </c>
      <c r="G308" s="499" t="s">
        <v>23</v>
      </c>
      <c r="H308" s="28"/>
      <c r="I308" s="480">
        <v>2.0</v>
      </c>
      <c r="J308" s="490"/>
      <c r="K308" s="110"/>
      <c r="L308" s="482" t="s">
        <v>1792</v>
      </c>
      <c r="M308" s="106" t="s">
        <v>1793</v>
      </c>
      <c r="N308" s="113"/>
      <c r="O308" s="32">
        <v>56.0</v>
      </c>
    </row>
    <row r="309">
      <c r="A309" s="114" t="s">
        <v>1794</v>
      </c>
      <c r="B309" s="130" t="s">
        <v>1795</v>
      </c>
      <c r="C309" s="22">
        <v>180111.0</v>
      </c>
      <c r="D309" s="26">
        <v>2010.0</v>
      </c>
      <c r="E309" s="26" t="s">
        <v>2452</v>
      </c>
      <c r="F309" s="412" t="s">
        <v>258</v>
      </c>
      <c r="G309" s="412" t="s">
        <v>1034</v>
      </c>
      <c r="H309" s="28"/>
      <c r="I309" s="480">
        <v>4.0</v>
      </c>
      <c r="J309" s="490"/>
      <c r="K309" s="491"/>
      <c r="L309" s="482" t="s">
        <v>1797</v>
      </c>
      <c r="M309" s="135" t="s">
        <v>1798</v>
      </c>
      <c r="N309" s="136"/>
      <c r="O309" s="32">
        <v>55.0</v>
      </c>
    </row>
    <row r="310">
      <c r="A310" s="114" t="s">
        <v>1799</v>
      </c>
      <c r="B310" s="115" t="s">
        <v>1800</v>
      </c>
      <c r="C310" s="22">
        <v>105470.0</v>
      </c>
      <c r="D310" s="26">
        <v>2010.0</v>
      </c>
      <c r="E310" s="26" t="s">
        <v>2474</v>
      </c>
      <c r="F310" s="412" t="s">
        <v>258</v>
      </c>
      <c r="G310" s="412" t="s">
        <v>1034</v>
      </c>
      <c r="H310" s="28"/>
      <c r="I310" s="480">
        <v>2.0</v>
      </c>
      <c r="J310" s="490"/>
      <c r="K310" s="110"/>
      <c r="L310" s="482" t="s">
        <v>1026</v>
      </c>
      <c r="M310" s="135" t="s">
        <v>1802</v>
      </c>
      <c r="N310" s="136"/>
      <c r="O310" s="32">
        <v>54.0</v>
      </c>
    </row>
    <row r="311">
      <c r="A311" s="165" t="s">
        <v>244</v>
      </c>
      <c r="B311" s="130" t="s">
        <v>1803</v>
      </c>
      <c r="C311" s="22">
        <v>114000.0</v>
      </c>
      <c r="D311" s="26">
        <v>2010.0</v>
      </c>
      <c r="E311" s="26" t="s">
        <v>2470</v>
      </c>
      <c r="F311" s="499" t="s">
        <v>129</v>
      </c>
      <c r="G311" s="499" t="s">
        <v>23</v>
      </c>
      <c r="H311" s="130" t="s">
        <v>29</v>
      </c>
      <c r="I311" s="505">
        <v>1.0</v>
      </c>
      <c r="J311" s="490"/>
      <c r="K311" s="110"/>
      <c r="L311" s="491" t="s">
        <v>507</v>
      </c>
      <c r="M311" s="106" t="s">
        <v>1805</v>
      </c>
      <c r="N311" s="113"/>
      <c r="O311" s="32">
        <v>53.0</v>
      </c>
    </row>
    <row r="312">
      <c r="A312" s="114" t="s">
        <v>1806</v>
      </c>
      <c r="B312" s="28"/>
      <c r="C312" s="22">
        <v>130495.0</v>
      </c>
      <c r="D312" s="26">
        <v>2010.0</v>
      </c>
      <c r="E312" s="26" t="s">
        <v>2465</v>
      </c>
      <c r="F312" s="412" t="s">
        <v>258</v>
      </c>
      <c r="G312" s="412" t="s">
        <v>1034</v>
      </c>
      <c r="H312" s="28"/>
      <c r="I312" s="480">
        <v>4.0</v>
      </c>
      <c r="J312" s="490"/>
      <c r="K312" s="110"/>
      <c r="L312" s="482" t="s">
        <v>1808</v>
      </c>
      <c r="M312" s="135" t="s">
        <v>1809</v>
      </c>
      <c r="N312" s="136"/>
      <c r="O312" s="32">
        <v>52.0</v>
      </c>
    </row>
    <row r="313">
      <c r="A313" s="165" t="s">
        <v>1810</v>
      </c>
      <c r="B313" s="130" t="s">
        <v>1811</v>
      </c>
      <c r="C313" s="22">
        <v>3300000.0</v>
      </c>
      <c r="D313" s="26">
        <v>2010.0</v>
      </c>
      <c r="E313" s="26" t="s">
        <v>2341</v>
      </c>
      <c r="F313" s="412" t="s">
        <v>58</v>
      </c>
      <c r="G313" s="412" t="s">
        <v>1034</v>
      </c>
      <c r="H313" s="130" t="s">
        <v>29</v>
      </c>
      <c r="I313" s="480">
        <v>2.0</v>
      </c>
      <c r="J313" s="490"/>
      <c r="K313" s="110"/>
      <c r="L313" s="482" t="s">
        <v>1813</v>
      </c>
      <c r="M313" s="135" t="s">
        <v>1814</v>
      </c>
      <c r="N313" s="113"/>
      <c r="O313" s="32">
        <v>51.0</v>
      </c>
    </row>
    <row r="314">
      <c r="A314" s="165" t="s">
        <v>1815</v>
      </c>
      <c r="B314" s="28"/>
      <c r="C314" s="22">
        <v>400000.0</v>
      </c>
      <c r="D314" s="26">
        <v>2010.0</v>
      </c>
      <c r="E314" s="26" t="s">
        <v>1816</v>
      </c>
      <c r="F314" s="412" t="s">
        <v>58</v>
      </c>
      <c r="G314" s="499" t="s">
        <v>23</v>
      </c>
      <c r="H314" s="28"/>
      <c r="I314" s="480">
        <v>3.0</v>
      </c>
      <c r="J314" s="490"/>
      <c r="K314" s="110"/>
      <c r="L314" s="482" t="s">
        <v>1817</v>
      </c>
      <c r="M314" s="106" t="s">
        <v>1818</v>
      </c>
      <c r="N314" s="113"/>
      <c r="O314" s="32">
        <v>50.0</v>
      </c>
    </row>
    <row r="315">
      <c r="A315" s="165" t="s">
        <v>1819</v>
      </c>
      <c r="B315" s="28"/>
      <c r="C315" s="22">
        <v>392000.0</v>
      </c>
      <c r="D315" s="26">
        <v>2010.0</v>
      </c>
      <c r="E315" s="111" t="s">
        <v>2428</v>
      </c>
      <c r="F315" s="499" t="s">
        <v>64</v>
      </c>
      <c r="G315" s="499" t="s">
        <v>59</v>
      </c>
      <c r="H315" s="28"/>
      <c r="I315" s="480">
        <v>2.0</v>
      </c>
      <c r="J315" s="490"/>
      <c r="K315" s="110"/>
      <c r="L315" s="491" t="s">
        <v>278</v>
      </c>
      <c r="M315" s="106" t="s">
        <v>1821</v>
      </c>
      <c r="N315" s="113"/>
      <c r="O315" s="32">
        <v>49.0</v>
      </c>
    </row>
    <row r="316">
      <c r="A316" s="165" t="s">
        <v>1822</v>
      </c>
      <c r="B316" s="130" t="s">
        <v>1823</v>
      </c>
      <c r="C316" s="22">
        <v>1.3E8</v>
      </c>
      <c r="D316" s="26">
        <v>2009.0</v>
      </c>
      <c r="E316" s="26" t="s">
        <v>2199</v>
      </c>
      <c r="F316" s="412" t="s">
        <v>58</v>
      </c>
      <c r="G316" s="499" t="s">
        <v>23</v>
      </c>
      <c r="H316" s="130" t="s">
        <v>29</v>
      </c>
      <c r="I316" s="480">
        <v>3.0</v>
      </c>
      <c r="J316" s="481">
        <v>1.3E8</v>
      </c>
      <c r="K316" s="110"/>
      <c r="L316" s="482" t="s">
        <v>1826</v>
      </c>
      <c r="M316" s="106" t="s">
        <v>1827</v>
      </c>
      <c r="N316" s="109"/>
      <c r="O316" s="32">
        <v>48.0</v>
      </c>
    </row>
    <row r="317" ht="17.25" customHeight="1">
      <c r="A317" s="165" t="s">
        <v>1828</v>
      </c>
      <c r="B317" s="28"/>
      <c r="C317" s="22">
        <v>131000.0</v>
      </c>
      <c r="D317" s="26">
        <v>2009.0</v>
      </c>
      <c r="E317" s="26" t="s">
        <v>2464</v>
      </c>
      <c r="F317" s="499" t="s">
        <v>1676</v>
      </c>
      <c r="G317" s="412" t="s">
        <v>1034</v>
      </c>
      <c r="H317" s="130" t="s">
        <v>29</v>
      </c>
      <c r="I317" s="480">
        <v>2.0</v>
      </c>
      <c r="J317" s="490"/>
      <c r="K317" s="110"/>
      <c r="L317" s="482" t="s">
        <v>1088</v>
      </c>
      <c r="M317" s="106" t="s">
        <v>1830</v>
      </c>
      <c r="N317" s="113"/>
      <c r="O317" s="32">
        <v>47.0</v>
      </c>
    </row>
    <row r="318">
      <c r="A318" s="165" t="s">
        <v>1831</v>
      </c>
      <c r="B318" s="130" t="s">
        <v>1832</v>
      </c>
      <c r="C318" s="22">
        <v>3.2E7</v>
      </c>
      <c r="D318" s="26">
        <v>2009.0</v>
      </c>
      <c r="E318" s="26" t="s">
        <v>2260</v>
      </c>
      <c r="F318" s="499" t="s">
        <v>1834</v>
      </c>
      <c r="G318" s="499" t="s">
        <v>23</v>
      </c>
      <c r="H318" s="130" t="s">
        <v>29</v>
      </c>
      <c r="I318" s="480">
        <v>1.0</v>
      </c>
      <c r="J318" s="490"/>
      <c r="K318" s="110"/>
      <c r="L318" s="491" t="s">
        <v>34</v>
      </c>
      <c r="M318" s="106" t="s">
        <v>1835</v>
      </c>
      <c r="N318" s="113"/>
      <c r="O318" s="32">
        <v>46.0</v>
      </c>
    </row>
    <row r="319">
      <c r="A319" s="165" t="s">
        <v>1836</v>
      </c>
      <c r="B319" s="130" t="s">
        <v>1837</v>
      </c>
      <c r="C319" s="22">
        <v>5000000.0</v>
      </c>
      <c r="D319" s="26">
        <v>2009.0</v>
      </c>
      <c r="E319" s="26" t="s">
        <v>2318</v>
      </c>
      <c r="F319" s="412" t="s">
        <v>58</v>
      </c>
      <c r="G319" s="499" t="s">
        <v>23</v>
      </c>
      <c r="H319" s="130" t="s">
        <v>29</v>
      </c>
      <c r="I319" s="505">
        <v>1.0</v>
      </c>
      <c r="J319" s="490"/>
      <c r="K319" s="110"/>
      <c r="L319" s="491" t="s">
        <v>1839</v>
      </c>
      <c r="M319" s="106" t="s">
        <v>1840</v>
      </c>
      <c r="N319" s="113"/>
      <c r="O319" s="32">
        <v>45.0</v>
      </c>
    </row>
    <row r="320">
      <c r="A320" s="165" t="s">
        <v>1841</v>
      </c>
      <c r="B320" s="130" t="s">
        <v>1842</v>
      </c>
      <c r="C320" s="22">
        <v>573000.0</v>
      </c>
      <c r="D320" s="26">
        <v>2009.0</v>
      </c>
      <c r="E320" s="26" t="s">
        <v>2412</v>
      </c>
      <c r="F320" s="412" t="s">
        <v>28</v>
      </c>
      <c r="G320" s="499" t="s">
        <v>23</v>
      </c>
      <c r="H320" s="28"/>
      <c r="I320" s="480">
        <v>3.0</v>
      </c>
      <c r="J320" s="490"/>
      <c r="K320" s="110"/>
      <c r="L320" s="482" t="s">
        <v>710</v>
      </c>
      <c r="M320" s="106" t="s">
        <v>1844</v>
      </c>
      <c r="N320" s="432"/>
      <c r="O320" s="32">
        <v>44.0</v>
      </c>
    </row>
    <row r="321">
      <c r="A321" s="165" t="s">
        <v>1845</v>
      </c>
      <c r="B321" s="28"/>
      <c r="C321" s="22">
        <v>531400.0</v>
      </c>
      <c r="D321" s="26">
        <v>2009.0</v>
      </c>
      <c r="E321" s="26" t="s">
        <v>2415</v>
      </c>
      <c r="F321" s="412" t="s">
        <v>258</v>
      </c>
      <c r="G321" s="499" t="s">
        <v>23</v>
      </c>
      <c r="H321" s="130" t="s">
        <v>29</v>
      </c>
      <c r="I321" s="480">
        <v>2.0</v>
      </c>
      <c r="J321" s="490"/>
      <c r="K321" s="110"/>
      <c r="L321" s="482" t="s">
        <v>1847</v>
      </c>
      <c r="M321" s="106" t="s">
        <v>1848</v>
      </c>
      <c r="N321" s="113"/>
      <c r="O321" s="32">
        <v>43.0</v>
      </c>
    </row>
    <row r="322">
      <c r="A322" s="165" t="s">
        <v>1849</v>
      </c>
      <c r="B322" s="130" t="s">
        <v>1850</v>
      </c>
      <c r="C322" s="22">
        <v>160000.0</v>
      </c>
      <c r="D322" s="26">
        <v>2009.0</v>
      </c>
      <c r="E322" s="26" t="s">
        <v>2458</v>
      </c>
      <c r="F322" s="499" t="s">
        <v>2060</v>
      </c>
      <c r="G322" s="499" t="s">
        <v>23</v>
      </c>
      <c r="H322" s="28"/>
      <c r="I322" s="480">
        <v>3.0</v>
      </c>
      <c r="J322" s="490"/>
      <c r="K322" s="110"/>
      <c r="L322" s="482" t="s">
        <v>1599</v>
      </c>
      <c r="M322" s="106" t="s">
        <v>1852</v>
      </c>
      <c r="N322" s="113"/>
      <c r="O322" s="32">
        <v>42.0</v>
      </c>
    </row>
    <row r="323">
      <c r="A323" s="165" t="s">
        <v>1853</v>
      </c>
      <c r="B323" s="130" t="s">
        <v>1854</v>
      </c>
      <c r="C323" s="22">
        <v>1500000.0</v>
      </c>
      <c r="D323" s="26">
        <v>2009.0</v>
      </c>
      <c r="E323" s="26" t="s">
        <v>2381</v>
      </c>
      <c r="F323" s="412" t="s">
        <v>258</v>
      </c>
      <c r="G323" s="412" t="s">
        <v>1034</v>
      </c>
      <c r="H323" s="130" t="s">
        <v>29</v>
      </c>
      <c r="I323" s="480">
        <v>4.0</v>
      </c>
      <c r="J323" s="490"/>
      <c r="K323" s="110"/>
      <c r="L323" s="491" t="s">
        <v>1839</v>
      </c>
      <c r="M323" s="106" t="s">
        <v>1856</v>
      </c>
      <c r="N323" s="113"/>
      <c r="O323" s="32">
        <v>41.0</v>
      </c>
    </row>
    <row r="324">
      <c r="A324" s="165" t="s">
        <v>1777</v>
      </c>
      <c r="B324" s="28"/>
      <c r="C324" s="22">
        <v>7.6E7</v>
      </c>
      <c r="D324" s="26">
        <v>2009.0</v>
      </c>
      <c r="E324" s="26" t="s">
        <v>2237</v>
      </c>
      <c r="F324" s="499" t="s">
        <v>1676</v>
      </c>
      <c r="G324" s="412" t="s">
        <v>1034</v>
      </c>
      <c r="H324" s="130" t="s">
        <v>29</v>
      </c>
      <c r="I324" s="480">
        <v>2.0</v>
      </c>
      <c r="J324" s="490"/>
      <c r="K324" s="110"/>
      <c r="L324" s="482" t="s">
        <v>410</v>
      </c>
      <c r="M324" s="106" t="s">
        <v>1858</v>
      </c>
      <c r="N324" s="113"/>
      <c r="O324" s="32">
        <v>40.0</v>
      </c>
    </row>
    <row r="325">
      <c r="A325" s="165" t="s">
        <v>1859</v>
      </c>
      <c r="B325" s="28"/>
      <c r="C325" s="22">
        <v>1000000.0</v>
      </c>
      <c r="D325" s="26">
        <v>2008.0</v>
      </c>
      <c r="E325" s="26" t="s">
        <v>2397</v>
      </c>
      <c r="F325" s="412" t="s">
        <v>58</v>
      </c>
      <c r="G325" s="499" t="s">
        <v>59</v>
      </c>
      <c r="H325" s="130" t="s">
        <v>29</v>
      </c>
      <c r="I325" s="480">
        <v>3.0</v>
      </c>
      <c r="J325" s="490"/>
      <c r="K325" s="110"/>
      <c r="L325" s="482" t="s">
        <v>1224</v>
      </c>
      <c r="M325" s="106" t="s">
        <v>1861</v>
      </c>
      <c r="N325" s="432"/>
      <c r="O325" s="32">
        <v>39.0</v>
      </c>
    </row>
    <row r="326">
      <c r="A326" s="165" t="s">
        <v>1862</v>
      </c>
      <c r="B326" s="130" t="s">
        <v>1863</v>
      </c>
      <c r="C326" s="22">
        <v>4200000.0</v>
      </c>
      <c r="D326" s="26">
        <v>2008.0</v>
      </c>
      <c r="E326" s="34" t="s">
        <v>2325</v>
      </c>
      <c r="F326" s="499" t="s">
        <v>43</v>
      </c>
      <c r="G326" s="499" t="s">
        <v>23</v>
      </c>
      <c r="H326" s="28"/>
      <c r="I326" s="480">
        <v>3.0</v>
      </c>
      <c r="J326" s="490"/>
      <c r="K326" s="110"/>
      <c r="L326" s="482" t="s">
        <v>1865</v>
      </c>
      <c r="M326" s="106" t="s">
        <v>1866</v>
      </c>
      <c r="N326" s="113"/>
      <c r="O326" s="32">
        <v>38.0</v>
      </c>
    </row>
    <row r="327">
      <c r="A327" s="165" t="s">
        <v>1867</v>
      </c>
      <c r="B327" s="28"/>
      <c r="C327" s="22">
        <v>2100000.0</v>
      </c>
      <c r="D327" s="26">
        <v>2008.0</v>
      </c>
      <c r="E327" s="26" t="s">
        <v>2361</v>
      </c>
      <c r="F327" s="499" t="s">
        <v>2060</v>
      </c>
      <c r="G327" s="412" t="s">
        <v>1034</v>
      </c>
      <c r="H327" s="28"/>
      <c r="I327" s="480">
        <v>3.0</v>
      </c>
      <c r="J327" s="490"/>
      <c r="K327" s="110"/>
      <c r="L327" s="482" t="s">
        <v>1869</v>
      </c>
      <c r="M327" s="106" t="s">
        <v>1870</v>
      </c>
      <c r="N327" s="113"/>
      <c r="O327" s="32">
        <v>37.0</v>
      </c>
    </row>
    <row r="328">
      <c r="A328" s="165" t="s">
        <v>1871</v>
      </c>
      <c r="B328" s="130" t="s">
        <v>1872</v>
      </c>
      <c r="C328" s="22">
        <v>4500000.0</v>
      </c>
      <c r="D328" s="26">
        <v>2008.0</v>
      </c>
      <c r="E328" s="26" t="s">
        <v>2322</v>
      </c>
      <c r="F328" s="412" t="s">
        <v>58</v>
      </c>
      <c r="G328" s="412" t="s">
        <v>1034</v>
      </c>
      <c r="H328" s="28"/>
      <c r="I328" s="505">
        <v>1.0</v>
      </c>
      <c r="J328" s="490"/>
      <c r="K328" s="110"/>
      <c r="L328" s="482" t="s">
        <v>286</v>
      </c>
      <c r="M328" s="106" t="s">
        <v>1874</v>
      </c>
      <c r="N328" s="113"/>
      <c r="O328" s="32">
        <v>36.0</v>
      </c>
    </row>
    <row r="329">
      <c r="A329" s="165" t="s">
        <v>1875</v>
      </c>
      <c r="B329" s="130" t="s">
        <v>1876</v>
      </c>
      <c r="C329" s="22">
        <v>2500000.0</v>
      </c>
      <c r="D329" s="26">
        <v>2008.0</v>
      </c>
      <c r="E329" s="111" t="s">
        <v>2353</v>
      </c>
      <c r="F329" s="412" t="s">
        <v>58</v>
      </c>
      <c r="G329" s="499" t="s">
        <v>59</v>
      </c>
      <c r="H329" s="28"/>
      <c r="I329" s="480">
        <v>2.0</v>
      </c>
      <c r="J329" s="490"/>
      <c r="K329" s="110"/>
      <c r="L329" s="482" t="s">
        <v>1878</v>
      </c>
      <c r="M329" s="106" t="s">
        <v>1879</v>
      </c>
      <c r="N329" s="113"/>
      <c r="O329" s="32">
        <v>35.0</v>
      </c>
    </row>
    <row r="330">
      <c r="A330" s="165" t="s">
        <v>1880</v>
      </c>
      <c r="B330" s="28"/>
      <c r="C330" s="22">
        <v>84000.0</v>
      </c>
      <c r="D330" s="26">
        <v>2008.0</v>
      </c>
      <c r="E330" s="111" t="s">
        <v>2484</v>
      </c>
      <c r="F330" s="499" t="s">
        <v>64</v>
      </c>
      <c r="G330" s="412" t="s">
        <v>1034</v>
      </c>
      <c r="H330" s="28"/>
      <c r="I330" s="480">
        <v>2.0</v>
      </c>
      <c r="J330" s="490"/>
      <c r="K330" s="110"/>
      <c r="L330" s="491" t="s">
        <v>1882</v>
      </c>
      <c r="M330" s="106" t="s">
        <v>1883</v>
      </c>
      <c r="N330" s="113"/>
      <c r="O330" s="32">
        <v>34.0</v>
      </c>
    </row>
    <row r="331">
      <c r="A331" s="165" t="s">
        <v>1884</v>
      </c>
      <c r="B331" s="130" t="s">
        <v>1885</v>
      </c>
      <c r="C331" s="22">
        <v>1500000.0</v>
      </c>
      <c r="D331" s="26">
        <v>2008.0</v>
      </c>
      <c r="E331" s="26" t="s">
        <v>2382</v>
      </c>
      <c r="F331" s="412" t="s">
        <v>58</v>
      </c>
      <c r="G331" s="499" t="s">
        <v>23</v>
      </c>
      <c r="H331" s="28"/>
      <c r="I331" s="512" t="s">
        <v>1562</v>
      </c>
      <c r="J331" s="490"/>
      <c r="K331" s="110"/>
      <c r="L331" s="491" t="s">
        <v>227</v>
      </c>
      <c r="M331" s="106" t="s">
        <v>1887</v>
      </c>
      <c r="N331" s="113"/>
      <c r="O331" s="32">
        <v>33.0</v>
      </c>
    </row>
    <row r="332">
      <c r="A332" s="159" t="s">
        <v>1888</v>
      </c>
      <c r="B332" s="115" t="s">
        <v>1889</v>
      </c>
      <c r="C332" s="22">
        <v>1.8E7</v>
      </c>
      <c r="D332" s="26">
        <v>2008.0</v>
      </c>
      <c r="E332" s="34" t="s">
        <v>2275</v>
      </c>
      <c r="F332" s="489" t="s">
        <v>28</v>
      </c>
      <c r="G332" s="489" t="s">
        <v>23</v>
      </c>
      <c r="H332" s="53"/>
      <c r="I332" s="480">
        <v>3.0</v>
      </c>
      <c r="J332" s="490"/>
      <c r="K332" s="491"/>
      <c r="L332" s="482" t="s">
        <v>1826</v>
      </c>
      <c r="M332" s="135" t="s">
        <v>1891</v>
      </c>
      <c r="N332" s="19"/>
      <c r="O332" s="32">
        <v>32.0</v>
      </c>
    </row>
    <row r="333">
      <c r="A333" s="165" t="s">
        <v>1892</v>
      </c>
      <c r="B333" s="130" t="s">
        <v>1893</v>
      </c>
      <c r="C333" s="22">
        <v>1.11E7</v>
      </c>
      <c r="D333" s="26">
        <v>2008.0</v>
      </c>
      <c r="E333" s="26" t="s">
        <v>2288</v>
      </c>
      <c r="F333" s="412" t="s">
        <v>38</v>
      </c>
      <c r="G333" s="499" t="s">
        <v>59</v>
      </c>
      <c r="H333" s="28"/>
      <c r="I333" s="480">
        <v>2.0</v>
      </c>
      <c r="J333" s="490"/>
      <c r="K333" s="110"/>
      <c r="L333" s="482" t="s">
        <v>1895</v>
      </c>
      <c r="M333" s="106" t="s">
        <v>1896</v>
      </c>
      <c r="N333" s="432"/>
      <c r="O333" s="32">
        <v>31.0</v>
      </c>
    </row>
    <row r="334">
      <c r="A334" s="165" t="s">
        <v>244</v>
      </c>
      <c r="B334" s="28"/>
      <c r="C334" s="22">
        <v>113000.0</v>
      </c>
      <c r="D334" s="26">
        <v>2008.0</v>
      </c>
      <c r="E334" s="26" t="s">
        <v>2471</v>
      </c>
      <c r="F334" s="499" t="s">
        <v>129</v>
      </c>
      <c r="G334" s="412" t="s">
        <v>1034</v>
      </c>
      <c r="H334" s="130" t="s">
        <v>29</v>
      </c>
      <c r="I334" s="505">
        <v>1.0</v>
      </c>
      <c r="J334" s="490"/>
      <c r="K334" s="110"/>
      <c r="L334" s="482" t="s">
        <v>1865</v>
      </c>
      <c r="M334" s="106" t="s">
        <v>1898</v>
      </c>
      <c r="N334" s="113"/>
      <c r="O334" s="32">
        <v>30.0</v>
      </c>
    </row>
    <row r="335">
      <c r="A335" s="165" t="s">
        <v>149</v>
      </c>
      <c r="B335" s="28"/>
      <c r="C335" s="22">
        <v>72000.0</v>
      </c>
      <c r="D335" s="26">
        <v>2008.0</v>
      </c>
      <c r="E335" s="26" t="s">
        <v>2489</v>
      </c>
      <c r="F335" s="499" t="s">
        <v>2060</v>
      </c>
      <c r="G335" s="412" t="s">
        <v>1034</v>
      </c>
      <c r="H335" s="28"/>
      <c r="I335" s="480">
        <v>2.0</v>
      </c>
      <c r="J335" s="490"/>
      <c r="K335" s="110"/>
      <c r="L335" s="482" t="s">
        <v>1900</v>
      </c>
      <c r="M335" s="106" t="s">
        <v>1901</v>
      </c>
      <c r="N335" s="432"/>
      <c r="O335" s="32">
        <v>29.0</v>
      </c>
    </row>
    <row r="336">
      <c r="A336" s="165" t="s">
        <v>1902</v>
      </c>
      <c r="B336" s="130" t="s">
        <v>1903</v>
      </c>
      <c r="C336" s="22">
        <v>2200000.0</v>
      </c>
      <c r="D336" s="26">
        <v>2008.0</v>
      </c>
      <c r="E336" s="26" t="s">
        <v>2360</v>
      </c>
      <c r="F336" s="499" t="s">
        <v>2060</v>
      </c>
      <c r="G336" s="412" t="s">
        <v>1034</v>
      </c>
      <c r="H336" s="130" t="s">
        <v>29</v>
      </c>
      <c r="I336" s="480">
        <v>4.0</v>
      </c>
      <c r="J336" s="490"/>
      <c r="K336" s="110"/>
      <c r="L336" s="482" t="s">
        <v>1905</v>
      </c>
      <c r="M336" s="106" t="s">
        <v>1906</v>
      </c>
      <c r="N336" s="113"/>
      <c r="O336" s="32">
        <v>28.0</v>
      </c>
    </row>
    <row r="337">
      <c r="A337" s="165" t="s">
        <v>1907</v>
      </c>
      <c r="B337" s="28"/>
      <c r="C337" s="22">
        <v>6000000.0</v>
      </c>
      <c r="D337" s="26">
        <v>2008.0</v>
      </c>
      <c r="E337" s="26" t="s">
        <v>2311</v>
      </c>
      <c r="F337" s="499" t="s">
        <v>64</v>
      </c>
      <c r="G337" s="412" t="s">
        <v>23</v>
      </c>
      <c r="H337" s="28"/>
      <c r="I337" s="505">
        <v>1.0</v>
      </c>
      <c r="J337" s="490"/>
      <c r="K337" s="110"/>
      <c r="L337" s="491" t="s">
        <v>905</v>
      </c>
      <c r="M337" s="106" t="s">
        <v>1909</v>
      </c>
      <c r="N337" s="166" t="s">
        <v>1910</v>
      </c>
      <c r="O337" s="32">
        <v>27.0</v>
      </c>
    </row>
    <row r="338">
      <c r="A338" s="165" t="s">
        <v>1911</v>
      </c>
      <c r="B338" s="28"/>
      <c r="C338" s="22">
        <v>89000.0</v>
      </c>
      <c r="D338" s="26">
        <v>2008.0</v>
      </c>
      <c r="E338" s="26" t="s">
        <v>2483</v>
      </c>
      <c r="F338" s="499" t="s">
        <v>64</v>
      </c>
      <c r="G338" s="499" t="s">
        <v>59</v>
      </c>
      <c r="H338" s="28"/>
      <c r="I338" s="480">
        <v>2.0</v>
      </c>
      <c r="J338" s="490"/>
      <c r="K338" s="110"/>
      <c r="L338" s="482" t="s">
        <v>1913</v>
      </c>
      <c r="M338" s="106" t="s">
        <v>1914</v>
      </c>
      <c r="N338" s="113"/>
      <c r="O338" s="32">
        <v>26.0</v>
      </c>
    </row>
    <row r="339">
      <c r="A339" s="165" t="s">
        <v>1915</v>
      </c>
      <c r="B339" s="28"/>
      <c r="C339" s="22">
        <v>97000.0</v>
      </c>
      <c r="D339" s="26">
        <v>2008.0</v>
      </c>
      <c r="E339" s="26" t="s">
        <v>2481</v>
      </c>
      <c r="F339" s="499" t="s">
        <v>43</v>
      </c>
      <c r="G339" s="412" t="s">
        <v>1034</v>
      </c>
      <c r="H339" s="130" t="s">
        <v>29</v>
      </c>
      <c r="I339" s="480">
        <v>2.0</v>
      </c>
      <c r="J339" s="490"/>
      <c r="K339" s="110"/>
      <c r="L339" s="491" t="s">
        <v>1917</v>
      </c>
      <c r="M339" s="106" t="s">
        <v>1918</v>
      </c>
      <c r="N339" s="432"/>
      <c r="O339" s="32">
        <v>25.0</v>
      </c>
    </row>
    <row r="340">
      <c r="A340" s="165" t="s">
        <v>1919</v>
      </c>
      <c r="B340" s="28"/>
      <c r="C340" s="22">
        <v>1700000.0</v>
      </c>
      <c r="D340" s="26">
        <v>2008.0</v>
      </c>
      <c r="E340" s="111" t="s">
        <v>2372</v>
      </c>
      <c r="F340" s="499" t="s">
        <v>64</v>
      </c>
      <c r="G340" s="412" t="s">
        <v>1034</v>
      </c>
      <c r="H340" s="130" t="s">
        <v>29</v>
      </c>
      <c r="I340" s="480">
        <v>5.0</v>
      </c>
      <c r="J340" s="490"/>
      <c r="K340" s="110"/>
      <c r="L340" s="491" t="s">
        <v>905</v>
      </c>
      <c r="M340" s="106" t="s">
        <v>1921</v>
      </c>
      <c r="N340" s="113"/>
      <c r="O340" s="32">
        <v>24.0</v>
      </c>
    </row>
    <row r="341">
      <c r="A341" s="165" t="s">
        <v>1922</v>
      </c>
      <c r="B341" s="28"/>
      <c r="C341" s="22">
        <v>1.7E7</v>
      </c>
      <c r="D341" s="26">
        <v>2008.0</v>
      </c>
      <c r="E341" s="26" t="s">
        <v>2278</v>
      </c>
      <c r="F341" s="499" t="s">
        <v>129</v>
      </c>
      <c r="G341" s="412" t="s">
        <v>1034</v>
      </c>
      <c r="H341" s="28"/>
      <c r="I341" s="505">
        <v>1.0</v>
      </c>
      <c r="J341" s="490"/>
      <c r="K341" s="110"/>
      <c r="L341" s="482" t="s">
        <v>1643</v>
      </c>
      <c r="M341" s="106" t="s">
        <v>1924</v>
      </c>
      <c r="N341" s="109"/>
      <c r="O341" s="32">
        <v>23.0</v>
      </c>
    </row>
    <row r="342">
      <c r="A342" s="165" t="s">
        <v>1925</v>
      </c>
      <c r="B342" s="28"/>
      <c r="C342" s="22">
        <v>3950000.0</v>
      </c>
      <c r="D342" s="26">
        <v>2008.0</v>
      </c>
      <c r="E342" s="26" t="s">
        <v>2333</v>
      </c>
      <c r="F342" s="499" t="s">
        <v>64</v>
      </c>
      <c r="G342" s="413" t="s">
        <v>142</v>
      </c>
      <c r="H342" s="130" t="s">
        <v>29</v>
      </c>
      <c r="I342" s="480">
        <v>2.0</v>
      </c>
      <c r="J342" s="490"/>
      <c r="K342" s="110"/>
      <c r="L342" s="491" t="s">
        <v>1917</v>
      </c>
      <c r="M342" s="106" t="s">
        <v>1927</v>
      </c>
      <c r="N342" s="113"/>
      <c r="O342" s="32">
        <v>22.0</v>
      </c>
    </row>
    <row r="343">
      <c r="A343" s="165" t="s">
        <v>1928</v>
      </c>
      <c r="B343" s="53"/>
      <c r="C343" s="22">
        <v>50500.0</v>
      </c>
      <c r="D343" s="26">
        <v>2008.0</v>
      </c>
      <c r="E343" s="26" t="s">
        <v>2492</v>
      </c>
      <c r="F343" s="499" t="s">
        <v>64</v>
      </c>
      <c r="G343" s="412" t="s">
        <v>1034</v>
      </c>
      <c r="H343" s="28"/>
      <c r="I343" s="480">
        <v>2.0</v>
      </c>
      <c r="J343" s="490"/>
      <c r="K343" s="110"/>
      <c r="L343" s="491" t="s">
        <v>905</v>
      </c>
      <c r="M343" s="106" t="s">
        <v>1930</v>
      </c>
      <c r="N343" s="113"/>
      <c r="O343" s="32">
        <v>21.0</v>
      </c>
    </row>
    <row r="344">
      <c r="A344" s="181" t="s">
        <v>1931</v>
      </c>
      <c r="B344" s="130" t="s">
        <v>1932</v>
      </c>
      <c r="C344" s="22">
        <v>1600000.0</v>
      </c>
      <c r="D344" s="26">
        <v>2007.0</v>
      </c>
      <c r="E344" s="26" t="s">
        <v>2375</v>
      </c>
      <c r="F344" s="499" t="s">
        <v>28</v>
      </c>
      <c r="G344" s="499" t="s">
        <v>23</v>
      </c>
      <c r="H344" s="130" t="s">
        <v>29</v>
      </c>
      <c r="I344" s="480">
        <v>2.0</v>
      </c>
      <c r="J344" s="490"/>
      <c r="K344" s="110"/>
      <c r="L344" s="491" t="s">
        <v>905</v>
      </c>
      <c r="M344" s="106" t="s">
        <v>1934</v>
      </c>
      <c r="N344" s="113"/>
      <c r="O344" s="32">
        <v>20.0</v>
      </c>
    </row>
    <row r="345">
      <c r="A345" s="165" t="s">
        <v>1935</v>
      </c>
      <c r="B345" s="28"/>
      <c r="C345" s="22">
        <v>3000000.0</v>
      </c>
      <c r="D345" s="26">
        <v>2007.0</v>
      </c>
      <c r="E345" s="111" t="s">
        <v>2349</v>
      </c>
      <c r="F345" s="499" t="s">
        <v>64</v>
      </c>
      <c r="G345" s="412" t="s">
        <v>1034</v>
      </c>
      <c r="H345" s="28"/>
      <c r="I345" s="480">
        <v>2.0</v>
      </c>
      <c r="J345" s="490"/>
      <c r="K345" s="110"/>
      <c r="L345" s="491" t="s">
        <v>905</v>
      </c>
      <c r="M345" s="106" t="s">
        <v>1937</v>
      </c>
      <c r="N345" s="113"/>
      <c r="O345" s="32">
        <v>19.0</v>
      </c>
    </row>
    <row r="346">
      <c r="A346" s="165" t="s">
        <v>1938</v>
      </c>
      <c r="B346" s="435"/>
      <c r="C346" s="22">
        <v>8500000.0</v>
      </c>
      <c r="D346" s="26">
        <v>2007.0</v>
      </c>
      <c r="E346" s="26" t="s">
        <v>2300</v>
      </c>
      <c r="F346" s="412" t="s">
        <v>58</v>
      </c>
      <c r="G346" s="499" t="s">
        <v>59</v>
      </c>
      <c r="H346" s="28"/>
      <c r="I346" s="480">
        <v>3.0</v>
      </c>
      <c r="J346" s="490"/>
      <c r="K346" s="110"/>
      <c r="L346" s="491" t="s">
        <v>1940</v>
      </c>
      <c r="M346" s="106" t="s">
        <v>1941</v>
      </c>
      <c r="N346" s="113"/>
      <c r="O346" s="32">
        <v>18.0</v>
      </c>
    </row>
    <row r="347">
      <c r="A347" s="165" t="s">
        <v>1942</v>
      </c>
      <c r="B347" s="28"/>
      <c r="C347" s="22">
        <v>160000.0</v>
      </c>
      <c r="D347" s="26">
        <v>2007.0</v>
      </c>
      <c r="E347" s="111" t="s">
        <v>2459</v>
      </c>
      <c r="F347" s="499" t="s">
        <v>64</v>
      </c>
      <c r="G347" s="412" t="s">
        <v>1034</v>
      </c>
      <c r="H347" s="28"/>
      <c r="I347" s="480">
        <v>2.0</v>
      </c>
      <c r="J347" s="490"/>
      <c r="K347" s="110"/>
      <c r="L347" s="491" t="s">
        <v>1224</v>
      </c>
      <c r="M347" s="106" t="s">
        <v>1944</v>
      </c>
      <c r="N347" s="113"/>
      <c r="O347" s="32">
        <v>17.0</v>
      </c>
    </row>
    <row r="348">
      <c r="A348" s="165" t="s">
        <v>1945</v>
      </c>
      <c r="B348" s="28"/>
      <c r="C348" s="22">
        <v>800000.0</v>
      </c>
      <c r="D348" s="26">
        <v>2007.0</v>
      </c>
      <c r="E348" s="26" t="s">
        <v>2404</v>
      </c>
      <c r="F348" s="499" t="s">
        <v>43</v>
      </c>
      <c r="G348" s="412" t="s">
        <v>1034</v>
      </c>
      <c r="H348" s="28"/>
      <c r="I348" s="480">
        <v>2.0</v>
      </c>
      <c r="J348" s="490"/>
      <c r="K348" s="110"/>
      <c r="L348" s="491" t="s">
        <v>1608</v>
      </c>
      <c r="M348" s="106" t="s">
        <v>1947</v>
      </c>
      <c r="N348" s="113"/>
      <c r="O348" s="32">
        <v>16.0</v>
      </c>
    </row>
    <row r="349">
      <c r="A349" s="165" t="s">
        <v>1948</v>
      </c>
      <c r="B349" s="130" t="s">
        <v>1949</v>
      </c>
      <c r="C349" s="22">
        <v>8637405.0</v>
      </c>
      <c r="D349" s="26">
        <v>2007.0</v>
      </c>
      <c r="E349" s="26" t="s">
        <v>2298</v>
      </c>
      <c r="F349" s="499" t="s">
        <v>43</v>
      </c>
      <c r="G349" s="499" t="s">
        <v>59</v>
      </c>
      <c r="H349" s="28"/>
      <c r="I349" s="505">
        <v>1.0</v>
      </c>
      <c r="J349" s="490"/>
      <c r="K349" s="110"/>
      <c r="L349" s="482" t="s">
        <v>1951</v>
      </c>
      <c r="M349" s="106" t="s">
        <v>1952</v>
      </c>
      <c r="N349" s="113"/>
      <c r="O349" s="32">
        <v>15.0</v>
      </c>
    </row>
    <row r="350">
      <c r="A350" s="165" t="s">
        <v>1953</v>
      </c>
      <c r="B350" s="130" t="s">
        <v>1954</v>
      </c>
      <c r="C350" s="22">
        <v>9.4E7</v>
      </c>
      <c r="D350" s="26">
        <v>2007.0</v>
      </c>
      <c r="E350" s="26" t="s">
        <v>2207</v>
      </c>
      <c r="F350" s="499" t="s">
        <v>43</v>
      </c>
      <c r="G350" s="499" t="s">
        <v>23</v>
      </c>
      <c r="H350" s="28"/>
      <c r="I350" s="480">
        <v>3.0</v>
      </c>
      <c r="J350" s="481">
        <v>9.4E7</v>
      </c>
      <c r="K350" s="110"/>
      <c r="L350" s="491" t="s">
        <v>608</v>
      </c>
      <c r="M350" s="106" t="s">
        <v>1957</v>
      </c>
      <c r="N350" s="109"/>
      <c r="O350" s="32">
        <v>14.0</v>
      </c>
    </row>
    <row r="351">
      <c r="A351" s="165" t="s">
        <v>1354</v>
      </c>
      <c r="B351" s="28"/>
      <c r="C351" s="22">
        <v>2600000.0</v>
      </c>
      <c r="D351" s="26">
        <v>2007.0</v>
      </c>
      <c r="E351" s="26" t="s">
        <v>2351</v>
      </c>
      <c r="F351" s="412" t="s">
        <v>58</v>
      </c>
      <c r="G351" s="412" t="s">
        <v>1034</v>
      </c>
      <c r="H351" s="130" t="s">
        <v>29</v>
      </c>
      <c r="I351" s="480">
        <v>3.0</v>
      </c>
      <c r="J351" s="490"/>
      <c r="K351" s="110"/>
      <c r="L351" s="482" t="s">
        <v>1608</v>
      </c>
      <c r="M351" s="106" t="s">
        <v>1959</v>
      </c>
      <c r="N351" s="113"/>
      <c r="O351" s="32">
        <v>13.0</v>
      </c>
    </row>
    <row r="352">
      <c r="A352" s="165" t="s">
        <v>1960</v>
      </c>
      <c r="B352" s="130" t="s">
        <v>1961</v>
      </c>
      <c r="C352" s="22">
        <v>2.5E7</v>
      </c>
      <c r="D352" s="26">
        <v>2007.0</v>
      </c>
      <c r="E352" s="26" t="s">
        <v>2267</v>
      </c>
      <c r="F352" s="499" t="s">
        <v>64</v>
      </c>
      <c r="G352" s="412" t="s">
        <v>1034</v>
      </c>
      <c r="H352" s="28"/>
      <c r="I352" s="505">
        <v>1.0</v>
      </c>
      <c r="J352" s="490"/>
      <c r="K352" s="110"/>
      <c r="L352" s="491" t="s">
        <v>905</v>
      </c>
      <c r="M352" s="106" t="s">
        <v>1963</v>
      </c>
      <c r="N352" s="113"/>
      <c r="O352" s="32">
        <v>12.0</v>
      </c>
    </row>
    <row r="353">
      <c r="A353" s="165" t="s">
        <v>1964</v>
      </c>
      <c r="B353" s="130" t="s">
        <v>1965</v>
      </c>
      <c r="C353" s="22">
        <v>6300000.0</v>
      </c>
      <c r="D353" s="26">
        <v>2007.0</v>
      </c>
      <c r="E353" s="26" t="s">
        <v>2307</v>
      </c>
      <c r="F353" s="412" t="s">
        <v>58</v>
      </c>
      <c r="G353" s="499" t="s">
        <v>23</v>
      </c>
      <c r="H353" s="28"/>
      <c r="I353" s="505">
        <v>1.0</v>
      </c>
      <c r="J353" s="490"/>
      <c r="K353" s="110"/>
      <c r="L353" s="482" t="s">
        <v>1967</v>
      </c>
      <c r="M353" s="106" t="s">
        <v>1968</v>
      </c>
      <c r="N353" s="106" t="s">
        <v>1969</v>
      </c>
      <c r="O353" s="32">
        <v>11.0</v>
      </c>
    </row>
    <row r="354">
      <c r="A354" s="165" t="s">
        <v>1324</v>
      </c>
      <c r="B354" s="111" t="s">
        <v>1970</v>
      </c>
      <c r="C354" s="22">
        <v>2.0E7</v>
      </c>
      <c r="D354" s="26">
        <v>2006.0</v>
      </c>
      <c r="E354" s="26" t="s">
        <v>2274</v>
      </c>
      <c r="F354" s="499" t="s">
        <v>28</v>
      </c>
      <c r="G354" s="413" t="s">
        <v>142</v>
      </c>
      <c r="H354" s="130" t="s">
        <v>29</v>
      </c>
      <c r="I354" s="505">
        <v>1.0</v>
      </c>
      <c r="J354" s="490"/>
      <c r="K354" s="110"/>
      <c r="L354" s="491" t="s">
        <v>34</v>
      </c>
      <c r="M354" s="106" t="s">
        <v>1972</v>
      </c>
      <c r="N354" s="113"/>
      <c r="O354" s="32">
        <v>10.0</v>
      </c>
    </row>
    <row r="355">
      <c r="A355" s="165" t="s">
        <v>1973</v>
      </c>
      <c r="B355" s="28"/>
      <c r="C355" s="22">
        <v>2.65E7</v>
      </c>
      <c r="D355" s="26">
        <v>2006.0</v>
      </c>
      <c r="E355" s="26" t="s">
        <v>2265</v>
      </c>
      <c r="F355" s="499" t="s">
        <v>1975</v>
      </c>
      <c r="G355" s="412" t="s">
        <v>1034</v>
      </c>
      <c r="H355" s="28"/>
      <c r="I355" s="480">
        <v>2.0</v>
      </c>
      <c r="J355" s="490"/>
      <c r="K355" s="110"/>
      <c r="L355" s="482" t="s">
        <v>1976</v>
      </c>
      <c r="M355" s="106" t="s">
        <v>1977</v>
      </c>
      <c r="N355" s="106" t="s">
        <v>1978</v>
      </c>
      <c r="O355" s="32">
        <v>9.0</v>
      </c>
    </row>
    <row r="356">
      <c r="A356" s="165" t="s">
        <v>1979</v>
      </c>
      <c r="B356" s="130" t="s">
        <v>1980</v>
      </c>
      <c r="C356" s="22">
        <v>125000.0</v>
      </c>
      <c r="D356" s="26">
        <v>2006.0</v>
      </c>
      <c r="E356" s="34" t="s">
        <v>2468</v>
      </c>
      <c r="F356" s="412" t="s">
        <v>58</v>
      </c>
      <c r="G356" s="499" t="s">
        <v>51</v>
      </c>
      <c r="H356" s="28"/>
      <c r="I356" s="480">
        <v>2.0</v>
      </c>
      <c r="J356" s="490"/>
      <c r="K356" s="110"/>
      <c r="L356" s="491" t="s">
        <v>829</v>
      </c>
      <c r="M356" s="106" t="s">
        <v>1982</v>
      </c>
      <c r="N356" s="113"/>
      <c r="O356" s="32">
        <v>8.0</v>
      </c>
    </row>
    <row r="357">
      <c r="A357" s="165" t="s">
        <v>1983</v>
      </c>
      <c r="B357" s="130" t="s">
        <v>1984</v>
      </c>
      <c r="C357" s="22">
        <v>4000000.0</v>
      </c>
      <c r="D357" s="26">
        <v>2006.0</v>
      </c>
      <c r="E357" s="26" t="s">
        <v>2332</v>
      </c>
      <c r="F357" s="499" t="s">
        <v>129</v>
      </c>
      <c r="G357" s="499" t="s">
        <v>23</v>
      </c>
      <c r="H357" s="130" t="s">
        <v>29</v>
      </c>
      <c r="I357" s="505">
        <v>1.0</v>
      </c>
      <c r="J357" s="490"/>
      <c r="K357" s="110"/>
      <c r="L357" s="491" t="s">
        <v>1839</v>
      </c>
      <c r="M357" s="106" t="s">
        <v>1986</v>
      </c>
      <c r="N357" s="113"/>
      <c r="O357" s="32">
        <v>7.0</v>
      </c>
    </row>
    <row r="358">
      <c r="A358" s="165" t="s">
        <v>1987</v>
      </c>
      <c r="B358" s="28"/>
      <c r="C358" s="22">
        <v>200000.0</v>
      </c>
      <c r="D358" s="26">
        <v>2006.0</v>
      </c>
      <c r="E358" s="111" t="s">
        <v>2450</v>
      </c>
      <c r="F358" s="499" t="s">
        <v>1612</v>
      </c>
      <c r="G358" s="412" t="s">
        <v>1034</v>
      </c>
      <c r="H358" s="130" t="s">
        <v>29</v>
      </c>
      <c r="I358" s="480">
        <v>2.0</v>
      </c>
      <c r="J358" s="490"/>
      <c r="K358" s="110"/>
      <c r="L358" s="482" t="s">
        <v>1224</v>
      </c>
      <c r="M358" s="106" t="s">
        <v>1989</v>
      </c>
      <c r="N358" s="113"/>
      <c r="O358" s="32">
        <v>6.0</v>
      </c>
    </row>
    <row r="359">
      <c r="A359" s="165" t="s">
        <v>1990</v>
      </c>
      <c r="B359" s="419" t="s">
        <v>1991</v>
      </c>
      <c r="C359" s="22">
        <v>200000.0</v>
      </c>
      <c r="D359" s="26">
        <v>2005.0</v>
      </c>
      <c r="E359" s="26" t="s">
        <v>2451</v>
      </c>
      <c r="F359" s="412" t="s">
        <v>58</v>
      </c>
      <c r="G359" s="412" t="s">
        <v>1034</v>
      </c>
      <c r="H359" s="28"/>
      <c r="I359" s="480">
        <v>2.0</v>
      </c>
      <c r="J359" s="490"/>
      <c r="K359" s="110"/>
      <c r="L359" s="491" t="s">
        <v>1993</v>
      </c>
      <c r="M359" s="106" t="s">
        <v>1994</v>
      </c>
      <c r="N359" s="113"/>
      <c r="O359" s="32">
        <v>5.0</v>
      </c>
    </row>
    <row r="360">
      <c r="A360" s="165" t="s">
        <v>1400</v>
      </c>
      <c r="B360" s="28"/>
      <c r="C360" s="22">
        <v>3900000.0</v>
      </c>
      <c r="D360" s="26">
        <v>2005.0</v>
      </c>
      <c r="E360" s="26" t="s">
        <v>2335</v>
      </c>
      <c r="F360" s="412" t="s">
        <v>58</v>
      </c>
      <c r="G360" s="412" t="s">
        <v>1034</v>
      </c>
      <c r="H360" s="130" t="s">
        <v>29</v>
      </c>
      <c r="I360" s="480">
        <v>3.0</v>
      </c>
      <c r="J360" s="490"/>
      <c r="K360" s="110"/>
      <c r="L360" s="491" t="s">
        <v>841</v>
      </c>
      <c r="M360" s="135" t="s">
        <v>1996</v>
      </c>
      <c r="N360" s="113"/>
      <c r="O360" s="32">
        <v>4.0</v>
      </c>
    </row>
    <row r="361">
      <c r="A361" s="165" t="s">
        <v>1997</v>
      </c>
      <c r="B361" s="130" t="s">
        <v>1998</v>
      </c>
      <c r="C361" s="22">
        <v>4.0E7</v>
      </c>
      <c r="D361" s="26">
        <v>2005.0</v>
      </c>
      <c r="E361" s="26" t="s">
        <v>2254</v>
      </c>
      <c r="F361" s="412" t="s">
        <v>58</v>
      </c>
      <c r="G361" s="499" t="s">
        <v>23</v>
      </c>
      <c r="H361" s="130" t="s">
        <v>29</v>
      </c>
      <c r="I361" s="480">
        <v>3.0</v>
      </c>
      <c r="J361" s="490"/>
      <c r="K361" s="110"/>
      <c r="L361" s="482" t="s">
        <v>410</v>
      </c>
      <c r="M361" s="106" t="s">
        <v>2000</v>
      </c>
      <c r="N361" s="113"/>
      <c r="O361" s="32">
        <v>3.0</v>
      </c>
    </row>
    <row r="362">
      <c r="A362" s="165" t="s">
        <v>1324</v>
      </c>
      <c r="B362" s="111" t="s">
        <v>1970</v>
      </c>
      <c r="C362" s="22">
        <v>9.2E7</v>
      </c>
      <c r="D362" s="26">
        <v>2004.0</v>
      </c>
      <c r="E362" s="26" t="s">
        <v>2208</v>
      </c>
      <c r="F362" s="499" t="s">
        <v>28</v>
      </c>
      <c r="G362" s="412" t="s">
        <v>59</v>
      </c>
      <c r="H362" s="28"/>
      <c r="I362" s="505">
        <v>1.0</v>
      </c>
      <c r="J362" s="481">
        <v>9.2E7</v>
      </c>
      <c r="K362" s="110"/>
      <c r="L362" s="491" t="s">
        <v>1088</v>
      </c>
      <c r="M362" s="106" t="s">
        <v>2003</v>
      </c>
      <c r="N362" s="109"/>
      <c r="O362" s="32">
        <v>2.0</v>
      </c>
    </row>
    <row r="363">
      <c r="A363" s="165"/>
      <c r="B363" s="51"/>
      <c r="C363" s="22"/>
      <c r="D363" s="26"/>
      <c r="E363" s="26"/>
      <c r="F363" s="499"/>
      <c r="G363" s="412"/>
      <c r="H363" s="28"/>
      <c r="I363" s="505"/>
      <c r="J363" s="481"/>
      <c r="K363" s="110"/>
      <c r="L363" s="491"/>
      <c r="M363" s="31"/>
      <c r="N363" s="31"/>
      <c r="O363" s="32"/>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location="91076484d1b3"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N30"/>
    <hyperlink r:id="rId31" ref="M31"/>
    <hyperlink r:id="rId32" ref="M32"/>
    <hyperlink r:id="rId33" ref="N32"/>
    <hyperlink r:id="rId34" ref="M33"/>
    <hyperlink r:id="rId35" ref="M34"/>
    <hyperlink r:id="rId36" ref="M35"/>
    <hyperlink r:id="rId37" ref="M36"/>
    <hyperlink r:id="rId38" ref="M37"/>
    <hyperlink r:id="rId39" ref="M38"/>
    <hyperlink r:id="rId40" ref="M39"/>
    <hyperlink r:id="rId41" ref="M40"/>
    <hyperlink r:id="rId42" ref="M41"/>
    <hyperlink r:id="rId43" ref="M42"/>
    <hyperlink r:id="rId44" ref="M43"/>
    <hyperlink r:id="rId45" ref="M44"/>
    <hyperlink r:id="rId46" ref="M45"/>
    <hyperlink r:id="rId47" ref="M46"/>
    <hyperlink r:id="rId48" ref="M47"/>
    <hyperlink r:id="rId49" ref="M48"/>
    <hyperlink r:id="rId50" ref="A49"/>
    <hyperlink r:id="rId51" ref="M49"/>
    <hyperlink r:id="rId52" ref="M50"/>
    <hyperlink r:id="rId53" ref="M51"/>
    <hyperlink r:id="rId54" ref="M52"/>
    <hyperlink r:id="rId55" ref="M53"/>
    <hyperlink r:id="rId56" ref="M54"/>
    <hyperlink r:id="rId57" ref="M55"/>
    <hyperlink r:id="rId58" ref="M56"/>
    <hyperlink r:id="rId59" ref="M57"/>
    <hyperlink r:id="rId60" ref="M58"/>
    <hyperlink r:id="rId61" location="2a5cb36b41d2" ref="M59"/>
    <hyperlink r:id="rId62" ref="M60"/>
    <hyperlink r:id="rId63" ref="M61"/>
    <hyperlink r:id="rId64" ref="M62"/>
    <hyperlink r:id="rId65" ref="M63"/>
    <hyperlink r:id="rId66" ref="M64"/>
    <hyperlink r:id="rId67" ref="M65"/>
    <hyperlink r:id="rId68" ref="M66"/>
    <hyperlink r:id="rId69" ref="A67"/>
    <hyperlink r:id="rId70" ref="M67"/>
    <hyperlink r:id="rId71" ref="M68"/>
    <hyperlink r:id="rId72" ref="M69"/>
    <hyperlink r:id="rId73" ref="M70"/>
    <hyperlink r:id="rId74" ref="M71"/>
    <hyperlink r:id="rId75" ref="M72"/>
    <hyperlink r:id="rId76" ref="N72"/>
    <hyperlink r:id="rId77" ref="M73"/>
    <hyperlink r:id="rId78" ref="M74"/>
    <hyperlink r:id="rId79" ref="M75"/>
    <hyperlink r:id="rId80" ref="N75"/>
    <hyperlink r:id="rId81" ref="M76"/>
    <hyperlink r:id="rId82" ref="M77"/>
    <hyperlink r:id="rId83" ref="M78"/>
    <hyperlink r:id="rId84" ref="M79"/>
    <hyperlink r:id="rId85" ref="M80"/>
    <hyperlink r:id="rId86" ref="M81"/>
    <hyperlink r:id="rId87" ref="M82"/>
    <hyperlink r:id="rId88" ref="M83"/>
    <hyperlink r:id="rId89" ref="M84"/>
    <hyperlink r:id="rId90" ref="M85"/>
    <hyperlink r:id="rId91" ref="M86"/>
    <hyperlink r:id="rId92" ref="M87"/>
    <hyperlink r:id="rId93" ref="M88"/>
    <hyperlink r:id="rId94" ref="M89"/>
    <hyperlink r:id="rId95" ref="M90"/>
    <hyperlink r:id="rId96" ref="M91"/>
    <hyperlink r:id="rId97" ref="M92"/>
    <hyperlink r:id="rId98" ref="M93"/>
    <hyperlink r:id="rId99" ref="M95"/>
    <hyperlink r:id="rId100" ref="M96"/>
    <hyperlink r:id="rId101" ref="M97"/>
    <hyperlink r:id="rId102" ref="M98"/>
    <hyperlink r:id="rId103" ref="M99"/>
    <hyperlink r:id="rId104" ref="M100"/>
    <hyperlink r:id="rId105" ref="M101"/>
    <hyperlink r:id="rId106" ref="M102"/>
    <hyperlink r:id="rId107" ref="M103"/>
    <hyperlink r:id="rId108" ref="N103"/>
    <hyperlink r:id="rId109" ref="M104"/>
    <hyperlink r:id="rId110" ref="M105"/>
    <hyperlink r:id="rId111" ref="M106"/>
    <hyperlink r:id="rId112" ref="M107"/>
    <hyperlink r:id="rId113" ref="M108"/>
    <hyperlink r:id="rId114" ref="M109"/>
    <hyperlink r:id="rId115" ref="M110"/>
    <hyperlink r:id="rId116" ref="M111"/>
    <hyperlink r:id="rId117" ref="M112"/>
    <hyperlink r:id="rId118" ref="M113"/>
    <hyperlink r:id="rId119" ref="M114"/>
    <hyperlink r:id="rId120" ref="M115"/>
    <hyperlink r:id="rId121" ref="M116"/>
    <hyperlink r:id="rId122" ref="M117"/>
    <hyperlink r:id="rId123" ref="M118"/>
    <hyperlink r:id="rId124" ref="M119"/>
    <hyperlink r:id="rId125" ref="M120"/>
    <hyperlink r:id="rId126" ref="M121"/>
    <hyperlink r:id="rId127" ref="M122"/>
    <hyperlink r:id="rId128" ref="M123"/>
    <hyperlink r:id="rId129" ref="M124"/>
    <hyperlink r:id="rId130" ref="M125"/>
    <hyperlink r:id="rId131" ref="M126"/>
    <hyperlink r:id="rId132" ref="M127"/>
    <hyperlink r:id="rId133" ref="M128"/>
    <hyperlink r:id="rId134" ref="M129"/>
    <hyperlink r:id="rId135" ref="M130"/>
    <hyperlink r:id="rId136" ref="M131"/>
    <hyperlink r:id="rId137" ref="M132"/>
    <hyperlink r:id="rId138" ref="N132"/>
    <hyperlink r:id="rId139" ref="M133"/>
    <hyperlink r:id="rId140" ref="M134"/>
    <hyperlink r:id="rId141" ref="M135"/>
    <hyperlink r:id="rId142" ref="M136"/>
    <hyperlink r:id="rId143" ref="M137"/>
    <hyperlink r:id="rId144" ref="M138"/>
    <hyperlink r:id="rId145" ref="M139"/>
    <hyperlink r:id="rId146" ref="M140"/>
    <hyperlink r:id="rId147" ref="M141"/>
    <hyperlink r:id="rId148" ref="M142"/>
    <hyperlink r:id="rId149" ref="A143"/>
    <hyperlink r:id="rId150" ref="M143"/>
    <hyperlink r:id="rId151" ref="M144"/>
    <hyperlink r:id="rId152" location="260a2f727bab" ref="M145"/>
    <hyperlink r:id="rId153" ref="M146"/>
    <hyperlink r:id="rId154" ref="M147"/>
    <hyperlink r:id="rId155" ref="M148"/>
    <hyperlink r:id="rId156" ref="M149"/>
    <hyperlink r:id="rId157" ref="M150"/>
    <hyperlink r:id="rId158" ref="M151"/>
    <hyperlink r:id="rId159" ref="M152"/>
    <hyperlink r:id="rId160" ref="M153"/>
    <hyperlink r:id="rId161" ref="M154"/>
    <hyperlink r:id="rId162" ref="M155"/>
    <hyperlink r:id="rId163" ref="M156"/>
    <hyperlink r:id="rId164" ref="M157"/>
    <hyperlink r:id="rId165" ref="M158"/>
    <hyperlink r:id="rId166" ref="M159"/>
    <hyperlink r:id="rId167" location="assets_129" ref="M160"/>
    <hyperlink r:id="rId168" ref="M161"/>
    <hyperlink r:id="rId169" ref="M162"/>
    <hyperlink r:id="rId170" ref="M163"/>
    <hyperlink r:id="rId171" ref="M164"/>
    <hyperlink r:id="rId172" ref="M165"/>
    <hyperlink r:id="rId173" ref="M166"/>
    <hyperlink r:id="rId174" ref="M167"/>
    <hyperlink r:id="rId175" ref="M168"/>
    <hyperlink r:id="rId176" ref="N168"/>
    <hyperlink r:id="rId177" ref="M169"/>
    <hyperlink r:id="rId178" ref="N169"/>
    <hyperlink r:id="rId179" ref="M170"/>
    <hyperlink r:id="rId180" ref="M171"/>
    <hyperlink r:id="rId181" ref="M172"/>
    <hyperlink r:id="rId182" ref="N172"/>
    <hyperlink r:id="rId183" ref="M173"/>
    <hyperlink r:id="rId184" ref="A174"/>
    <hyperlink r:id="rId185" ref="M174"/>
    <hyperlink r:id="rId186" ref="M175"/>
    <hyperlink r:id="rId187" ref="N175"/>
    <hyperlink r:id="rId188" ref="M176"/>
    <hyperlink r:id="rId189" ref="M177"/>
    <hyperlink r:id="rId190" ref="M178"/>
    <hyperlink r:id="rId191" ref="M179"/>
    <hyperlink r:id="rId192" ref="M180"/>
    <hyperlink r:id="rId193" ref="M181"/>
    <hyperlink r:id="rId194" ref="M182"/>
    <hyperlink r:id="rId195" ref="N182"/>
    <hyperlink r:id="rId196" ref="M183"/>
    <hyperlink r:id="rId197" ref="M184"/>
    <hyperlink r:id="rId198" ref="M185"/>
    <hyperlink r:id="rId199" ref="M186"/>
    <hyperlink r:id="rId200" ref="M187"/>
    <hyperlink r:id="rId201" ref="M188"/>
    <hyperlink r:id="rId202" ref="M189"/>
    <hyperlink r:id="rId203" ref="N189"/>
    <hyperlink r:id="rId204" ref="M190"/>
    <hyperlink r:id="rId205" ref="M191"/>
    <hyperlink r:id="rId206" ref="M192"/>
    <hyperlink r:id="rId207" ref="M193"/>
    <hyperlink r:id="rId208" ref="M194"/>
    <hyperlink r:id="rId209" ref="N194"/>
    <hyperlink r:id="rId210" ref="M195"/>
    <hyperlink r:id="rId211" ref="M196"/>
    <hyperlink r:id="rId212" ref="M197"/>
    <hyperlink r:id="rId213" ref="M198"/>
    <hyperlink r:id="rId214" ref="M199"/>
    <hyperlink r:id="rId215" ref="M200"/>
    <hyperlink r:id="rId216" ref="M201"/>
    <hyperlink r:id="rId217" ref="N201"/>
    <hyperlink r:id="rId218" ref="M202"/>
    <hyperlink r:id="rId219" ref="M203"/>
    <hyperlink r:id="rId220" ref="M204"/>
    <hyperlink r:id="rId221" ref="M205"/>
    <hyperlink r:id="rId222" ref="M206"/>
    <hyperlink r:id="rId223" ref="M207"/>
    <hyperlink r:id="rId224" ref="M208"/>
    <hyperlink r:id="rId225" ref="M209"/>
    <hyperlink r:id="rId226" ref="M210"/>
    <hyperlink r:id="rId227" ref="M211"/>
    <hyperlink r:id="rId228" ref="N211"/>
    <hyperlink r:id="rId229" ref="M212"/>
    <hyperlink r:id="rId230" ref="N212"/>
    <hyperlink r:id="rId231" ref="M213"/>
    <hyperlink r:id="rId232" ref="N213"/>
    <hyperlink r:id="rId233" ref="M214"/>
    <hyperlink r:id="rId234" ref="N214"/>
    <hyperlink r:id="rId235" ref="M215"/>
    <hyperlink r:id="rId236" ref="M216"/>
    <hyperlink r:id="rId237" ref="M217"/>
    <hyperlink r:id="rId238" ref="M218"/>
    <hyperlink r:id="rId239" ref="M219"/>
    <hyperlink r:id="rId240" ref="M220"/>
    <hyperlink r:id="rId241" ref="M221"/>
    <hyperlink r:id="rId242" ref="M222"/>
    <hyperlink r:id="rId243" ref="M223"/>
    <hyperlink r:id="rId244" ref="M224"/>
    <hyperlink r:id="rId245" ref="M225"/>
    <hyperlink r:id="rId246" ref="M226"/>
    <hyperlink r:id="rId247" ref="M227"/>
    <hyperlink r:id="rId248" ref="M228"/>
    <hyperlink r:id="rId249" ref="M229"/>
    <hyperlink r:id="rId250" ref="M230"/>
    <hyperlink r:id="rId251" ref="N230"/>
    <hyperlink r:id="rId252" ref="M231"/>
    <hyperlink r:id="rId253" ref="M232"/>
    <hyperlink r:id="rId254" ref="M233"/>
    <hyperlink r:id="rId255" ref="M234"/>
    <hyperlink r:id="rId256" ref="N234"/>
    <hyperlink r:id="rId257" ref="M235"/>
    <hyperlink r:id="rId258" ref="N235"/>
    <hyperlink r:id="rId259" ref="A236"/>
    <hyperlink r:id="rId260" ref="M236"/>
    <hyperlink r:id="rId261" ref="M237"/>
    <hyperlink r:id="rId262" ref="N237"/>
    <hyperlink r:id="rId263" ref="M238"/>
    <hyperlink r:id="rId264" ref="M239"/>
    <hyperlink r:id="rId265" ref="M240"/>
    <hyperlink r:id="rId266" ref="N240"/>
    <hyperlink r:id="rId267" ref="A241"/>
    <hyperlink r:id="rId268" ref="M241"/>
    <hyperlink r:id="rId269" ref="M242"/>
    <hyperlink r:id="rId270" ref="M243"/>
    <hyperlink r:id="rId271" ref="M244"/>
    <hyperlink r:id="rId272" ref="M245"/>
    <hyperlink r:id="rId273" ref="M246"/>
    <hyperlink r:id="rId274" ref="M247"/>
    <hyperlink r:id="rId275" ref="M248"/>
    <hyperlink r:id="rId276" ref="M249"/>
    <hyperlink r:id="rId277" ref="M250"/>
    <hyperlink r:id="rId278" location="6dfbcdc355d1" ref="M251"/>
    <hyperlink r:id="rId279" ref="M252"/>
    <hyperlink r:id="rId280" ref="M253"/>
    <hyperlink r:id="rId281" ref="M254"/>
    <hyperlink r:id="rId282" ref="M255"/>
    <hyperlink r:id="rId283" ref="M256"/>
    <hyperlink r:id="rId284" ref="N256"/>
    <hyperlink r:id="rId285" ref="M257"/>
    <hyperlink r:id="rId286" ref="A258"/>
    <hyperlink r:id="rId287" ref="M258"/>
    <hyperlink r:id="rId288" ref="N258"/>
    <hyperlink r:id="rId289" ref="M259"/>
    <hyperlink r:id="rId290" ref="M260"/>
    <hyperlink r:id="rId291" ref="A261"/>
    <hyperlink r:id="rId292" ref="M261"/>
    <hyperlink r:id="rId293" ref="M262"/>
    <hyperlink r:id="rId294" ref="N262"/>
    <hyperlink r:id="rId295" ref="M263"/>
    <hyperlink r:id="rId296" ref="M264"/>
    <hyperlink r:id="rId297" ref="M265"/>
    <hyperlink r:id="rId298" ref="M266"/>
    <hyperlink r:id="rId299" ref="M267"/>
    <hyperlink r:id="rId300" ref="M268"/>
    <hyperlink r:id="rId301" ref="M269"/>
    <hyperlink r:id="rId302" ref="M270"/>
    <hyperlink r:id="rId303" ref="M271"/>
    <hyperlink r:id="rId304" ref="M272"/>
    <hyperlink r:id="rId305" ref="M273"/>
    <hyperlink r:id="rId306" ref="M274"/>
    <hyperlink r:id="rId307" ref="M275"/>
    <hyperlink r:id="rId308" ref="M276"/>
    <hyperlink r:id="rId309" ref="M277"/>
    <hyperlink r:id="rId310" ref="M278"/>
    <hyperlink r:id="rId311" ref="M279"/>
    <hyperlink r:id="rId312" ref="M280"/>
    <hyperlink r:id="rId313" ref="A281"/>
    <hyperlink r:id="rId314" ref="M281"/>
    <hyperlink r:id="rId315" ref="M282"/>
    <hyperlink r:id="rId316" ref="M283"/>
    <hyperlink r:id="rId317" ref="M284"/>
    <hyperlink r:id="rId318" ref="M285"/>
    <hyperlink r:id="rId319" ref="M286"/>
    <hyperlink r:id="rId320" ref="M287"/>
    <hyperlink r:id="rId321" ref="M288"/>
    <hyperlink r:id="rId322" ref="M289"/>
    <hyperlink r:id="rId323" ref="M290"/>
    <hyperlink r:id="rId324" ref="M291"/>
    <hyperlink r:id="rId325" ref="M292"/>
    <hyperlink r:id="rId326" ref="M293"/>
    <hyperlink r:id="rId327" ref="M294"/>
    <hyperlink r:id="rId328" location=".XAfhPhP7TUI" ref="M295"/>
    <hyperlink r:id="rId329" ref="M296"/>
    <hyperlink r:id="rId330" ref="M297"/>
    <hyperlink r:id="rId331" ref="M298"/>
    <hyperlink r:id="rId332" ref="M299"/>
    <hyperlink r:id="rId333" ref="M300"/>
    <hyperlink r:id="rId334" ref="M301"/>
    <hyperlink r:id="rId335" ref="M302"/>
    <hyperlink r:id="rId336" ref="M303"/>
    <hyperlink r:id="rId337" ref="M304"/>
    <hyperlink r:id="rId338" ref="M305"/>
    <hyperlink r:id="rId339" ref="A306"/>
    <hyperlink r:id="rId340" ref="M306"/>
    <hyperlink r:id="rId341" ref="N306"/>
    <hyperlink r:id="rId342" ref="M307"/>
    <hyperlink r:id="rId343" ref="M308"/>
    <hyperlink r:id="rId344" ref="M309"/>
    <hyperlink r:id="rId345" ref="M310"/>
    <hyperlink r:id="rId346" ref="M311"/>
    <hyperlink r:id="rId347" ref="M312"/>
    <hyperlink r:id="rId348" ref="M313"/>
    <hyperlink r:id="rId349" ref="M314"/>
    <hyperlink r:id="rId350" ref="M315"/>
    <hyperlink r:id="rId351" ref="M316"/>
    <hyperlink r:id="rId352" ref="M317"/>
    <hyperlink r:id="rId353" ref="M318"/>
    <hyperlink r:id="rId354" ref="M319"/>
    <hyperlink r:id="rId355" ref="M320"/>
    <hyperlink r:id="rId356" ref="M321"/>
    <hyperlink r:id="rId357" ref="M322"/>
    <hyperlink r:id="rId358" ref="M323"/>
    <hyperlink r:id="rId359" ref="M324"/>
    <hyperlink r:id="rId360" ref="M325"/>
    <hyperlink r:id="rId361" ref="M326"/>
    <hyperlink r:id="rId362" ref="M327"/>
    <hyperlink r:id="rId363" ref="M328"/>
    <hyperlink r:id="rId364" ref="M329"/>
    <hyperlink r:id="rId365" ref="M330"/>
    <hyperlink r:id="rId366" ref="M331"/>
    <hyperlink r:id="rId367" ref="A332"/>
    <hyperlink r:id="rId368" ref="M332"/>
    <hyperlink r:id="rId369" ref="M333"/>
    <hyperlink r:id="rId370" ref="M334"/>
    <hyperlink r:id="rId371" ref="M335"/>
    <hyperlink r:id="rId372" ref="M336"/>
    <hyperlink r:id="rId373" ref="M337"/>
    <hyperlink r:id="rId374" ref="N337"/>
    <hyperlink r:id="rId375" ref="M338"/>
    <hyperlink r:id="rId376" ref="M339"/>
    <hyperlink r:id="rId377" ref="M340"/>
    <hyperlink r:id="rId378" ref="M341"/>
    <hyperlink r:id="rId379" ref="M342"/>
    <hyperlink r:id="rId380" ref="M343"/>
    <hyperlink r:id="rId381" ref="A344"/>
    <hyperlink r:id="rId382" ref="M344"/>
    <hyperlink r:id="rId383" ref="M345"/>
    <hyperlink r:id="rId384" ref="M346"/>
    <hyperlink r:id="rId385" ref="M347"/>
    <hyperlink r:id="rId386" ref="M348"/>
    <hyperlink r:id="rId387" ref="M349"/>
    <hyperlink r:id="rId388" ref="M350"/>
    <hyperlink r:id="rId389" ref="M351"/>
    <hyperlink r:id="rId390" ref="M352"/>
    <hyperlink r:id="rId391" ref="M353"/>
    <hyperlink r:id="rId392" ref="N353"/>
    <hyperlink r:id="rId393" ref="M354"/>
    <hyperlink r:id="rId394" ref="M355"/>
    <hyperlink r:id="rId395" ref="N355"/>
    <hyperlink r:id="rId396" location=".UFcROxgUwaA" ref="M356"/>
    <hyperlink r:id="rId397" ref="M357"/>
    <hyperlink r:id="rId398" ref="M358"/>
    <hyperlink r:id="rId399" ref="M359"/>
    <hyperlink r:id="rId400" ref="M360"/>
    <hyperlink r:id="rId401" ref="M361"/>
    <hyperlink r:id="rId402" ref="M362"/>
  </hyperlinks>
  <drawing r:id="rId40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2.75"/>
  <cols>
    <col customWidth="1" min="1" max="1" width="22.63"/>
    <col customWidth="1" min="2" max="2" width="16.25"/>
    <col customWidth="1" min="3" max="3" width="14.75"/>
    <col customWidth="1" min="4" max="4" width="8.75"/>
    <col customWidth="1" min="5" max="5" width="30.25"/>
    <col customWidth="1" min="6" max="6" width="13.0"/>
    <col customWidth="1" min="7" max="7" width="14.88"/>
    <col customWidth="1" min="8" max="8" width="10.13"/>
    <col customWidth="1" min="9" max="9" width="12.13"/>
    <col customWidth="1" min="10" max="10" width="13.63"/>
    <col customWidth="1" min="11" max="11" width="2.0"/>
    <col customWidth="1" min="12" max="15" width="15.13"/>
  </cols>
  <sheetData>
    <row r="1">
      <c r="A1" s="114" t="s">
        <v>2164</v>
      </c>
      <c r="B1" s="114" t="s">
        <v>1</v>
      </c>
      <c r="C1" s="405" t="s">
        <v>2</v>
      </c>
      <c r="D1" s="20" t="s">
        <v>2505</v>
      </c>
      <c r="E1" s="114" t="s">
        <v>5</v>
      </c>
      <c r="F1" s="407" t="s">
        <v>2506</v>
      </c>
      <c r="G1" s="52" t="s">
        <v>2507</v>
      </c>
      <c r="H1" s="114" t="s">
        <v>8</v>
      </c>
      <c r="I1" s="165" t="s">
        <v>2508</v>
      </c>
      <c r="J1" s="408" t="s">
        <v>2509</v>
      </c>
      <c r="K1" s="141"/>
      <c r="L1" s="141" t="s">
        <v>11</v>
      </c>
      <c r="M1" s="409" t="s">
        <v>12</v>
      </c>
      <c r="N1" s="409" t="s">
        <v>13</v>
      </c>
      <c r="O1" s="410" t="s">
        <v>14</v>
      </c>
    </row>
    <row r="2">
      <c r="A2" s="411"/>
      <c r="B2" s="12"/>
      <c r="C2" s="13" t="s">
        <v>16</v>
      </c>
      <c r="D2" s="412" t="s">
        <v>17</v>
      </c>
      <c r="E2" s="16"/>
      <c r="F2" s="413" t="s">
        <v>2152</v>
      </c>
      <c r="G2" s="16" t="s">
        <v>18</v>
      </c>
      <c r="H2" s="12"/>
      <c r="I2" s="414" t="s">
        <v>19</v>
      </c>
      <c r="J2" s="414" t="str">
        <f>"=IF(C3&gt;100000000,C3,"")"</f>
        <v>=IF(C3&gt;100000000,C3,")</v>
      </c>
      <c r="K2" s="12"/>
      <c r="L2" s="12"/>
      <c r="M2" s="19"/>
      <c r="N2" s="19"/>
      <c r="O2" s="19"/>
    </row>
    <row r="3">
      <c r="A3" s="20" t="s">
        <v>2510</v>
      </c>
      <c r="B3" s="47" t="s">
        <v>2511</v>
      </c>
      <c r="C3" s="22">
        <v>4.0E7</v>
      </c>
      <c r="D3" s="26">
        <v>2020.0</v>
      </c>
      <c r="E3" s="26" t="s">
        <v>2512</v>
      </c>
      <c r="F3" s="26" t="s">
        <v>129</v>
      </c>
      <c r="G3" s="26" t="s">
        <v>51</v>
      </c>
      <c r="H3" s="28"/>
      <c r="I3" s="26">
        <v>1.0</v>
      </c>
      <c r="J3" s="27">
        <v>8.0E9</v>
      </c>
      <c r="K3" s="28"/>
      <c r="L3" s="34" t="s">
        <v>34</v>
      </c>
      <c r="M3" s="468" t="s">
        <v>2513</v>
      </c>
      <c r="N3" s="31"/>
      <c r="O3" s="32">
        <v>360.0</v>
      </c>
    </row>
    <row r="4">
      <c r="A4" s="20" t="s">
        <v>631</v>
      </c>
      <c r="B4" s="51"/>
      <c r="C4" s="22">
        <v>300000.0</v>
      </c>
      <c r="D4" s="26">
        <v>2020.0</v>
      </c>
      <c r="E4" s="26" t="s">
        <v>2230</v>
      </c>
      <c r="F4" s="26" t="s">
        <v>236</v>
      </c>
      <c r="G4" s="26" t="s">
        <v>23</v>
      </c>
      <c r="H4" s="28"/>
      <c r="I4" s="26">
        <v>3.0</v>
      </c>
      <c r="J4" s="27">
        <v>300000.0</v>
      </c>
      <c r="K4" s="28"/>
      <c r="L4" s="34" t="s">
        <v>34</v>
      </c>
      <c r="M4" s="468" t="s">
        <v>634</v>
      </c>
      <c r="N4" s="31"/>
      <c r="O4" s="32">
        <v>359.0</v>
      </c>
    </row>
    <row r="5">
      <c r="A5" s="20" t="s">
        <v>635</v>
      </c>
      <c r="B5" s="51"/>
      <c r="C5" s="22">
        <v>1.15E8</v>
      </c>
      <c r="D5" s="26">
        <v>2020.0</v>
      </c>
      <c r="E5" s="26" t="s">
        <v>2202</v>
      </c>
      <c r="F5" s="26" t="s">
        <v>129</v>
      </c>
      <c r="G5" s="26" t="s">
        <v>23</v>
      </c>
      <c r="H5" s="28"/>
      <c r="I5" s="26">
        <v>2.0</v>
      </c>
      <c r="J5" s="27">
        <v>1.15E8</v>
      </c>
      <c r="K5" s="28"/>
      <c r="L5" s="34" t="s">
        <v>571</v>
      </c>
      <c r="M5" s="468" t="s">
        <v>638</v>
      </c>
      <c r="N5" s="31"/>
      <c r="O5" s="32">
        <v>358.0</v>
      </c>
    </row>
    <row r="6">
      <c r="A6" s="20" t="s">
        <v>639</v>
      </c>
      <c r="B6" s="51"/>
      <c r="C6" s="22">
        <v>387000.0</v>
      </c>
      <c r="D6" s="26">
        <v>2020.0</v>
      </c>
      <c r="E6" s="26" t="s">
        <v>2231</v>
      </c>
      <c r="F6" s="26" t="s">
        <v>64</v>
      </c>
      <c r="G6" s="26" t="s">
        <v>23</v>
      </c>
      <c r="H6" s="28"/>
      <c r="I6" s="26">
        <v>2.0</v>
      </c>
      <c r="J6" s="27">
        <v>287000.0</v>
      </c>
      <c r="K6" s="28"/>
      <c r="L6" s="34" t="s">
        <v>642</v>
      </c>
      <c r="M6" s="468" t="s">
        <v>643</v>
      </c>
      <c r="N6" s="31"/>
      <c r="O6" s="32">
        <v>357.0</v>
      </c>
    </row>
    <row r="7">
      <c r="A7" s="52" t="s">
        <v>644</v>
      </c>
      <c r="B7" s="52" t="s">
        <v>645</v>
      </c>
      <c r="C7" s="22">
        <v>2.2E7</v>
      </c>
      <c r="D7" s="26">
        <v>2020.0</v>
      </c>
      <c r="E7" s="26" t="s">
        <v>2218</v>
      </c>
      <c r="F7" s="26" t="s">
        <v>28</v>
      </c>
      <c r="G7" s="26" t="s">
        <v>23</v>
      </c>
      <c r="H7" s="28"/>
      <c r="I7" s="26">
        <v>2.0</v>
      </c>
      <c r="J7" s="27">
        <v>2.2E7</v>
      </c>
      <c r="K7" s="28"/>
      <c r="L7" s="34" t="s">
        <v>648</v>
      </c>
      <c r="M7" s="468" t="s">
        <v>649</v>
      </c>
      <c r="N7" s="31"/>
      <c r="O7" s="32">
        <v>356.0</v>
      </c>
    </row>
    <row r="8">
      <c r="A8" s="20" t="s">
        <v>650</v>
      </c>
      <c r="B8" s="51"/>
      <c r="C8" s="22">
        <v>9000000.0</v>
      </c>
      <c r="D8" s="26">
        <v>2020.0</v>
      </c>
      <c r="E8" s="26" t="s">
        <v>2220</v>
      </c>
      <c r="F8" s="26" t="s">
        <v>22</v>
      </c>
      <c r="G8" s="26" t="s">
        <v>23</v>
      </c>
      <c r="H8" s="28"/>
      <c r="I8" s="26">
        <v>3.0</v>
      </c>
      <c r="J8" s="27">
        <v>9000000.0</v>
      </c>
      <c r="K8" s="28"/>
      <c r="L8" s="34" t="s">
        <v>147</v>
      </c>
      <c r="M8" s="468" t="s">
        <v>653</v>
      </c>
      <c r="N8" s="31"/>
      <c r="O8" s="32">
        <v>355.0</v>
      </c>
    </row>
    <row r="9">
      <c r="A9" s="20" t="s">
        <v>356</v>
      </c>
      <c r="B9" s="51"/>
      <c r="C9" s="22">
        <v>2.5E8</v>
      </c>
      <c r="D9" s="26">
        <v>2020.0</v>
      </c>
      <c r="E9" s="26" t="s">
        <v>2188</v>
      </c>
      <c r="F9" s="26" t="s">
        <v>28</v>
      </c>
      <c r="G9" s="26" t="s">
        <v>51</v>
      </c>
      <c r="H9" s="28"/>
      <c r="I9" s="26">
        <v>1.0</v>
      </c>
      <c r="J9" s="27">
        <v>2.5E8</v>
      </c>
      <c r="K9" s="28"/>
      <c r="L9" s="34" t="s">
        <v>278</v>
      </c>
      <c r="M9" s="468" t="s">
        <v>656</v>
      </c>
      <c r="N9" s="31"/>
      <c r="O9" s="32">
        <v>354.0</v>
      </c>
    </row>
    <row r="10">
      <c r="A10" s="20" t="s">
        <v>657</v>
      </c>
      <c r="B10" s="51"/>
      <c r="C10" s="22">
        <v>6900000.0</v>
      </c>
      <c r="D10" s="26">
        <v>2020.0</v>
      </c>
      <c r="E10" s="26" t="s">
        <v>2221</v>
      </c>
      <c r="F10" s="26" t="s">
        <v>64</v>
      </c>
      <c r="G10" s="26" t="s">
        <v>659</v>
      </c>
      <c r="H10" s="28"/>
      <c r="I10" s="26">
        <v>4.0</v>
      </c>
      <c r="J10" s="27">
        <v>6900000.0</v>
      </c>
      <c r="K10" s="28"/>
      <c r="L10" s="34" t="s">
        <v>571</v>
      </c>
      <c r="M10" s="468" t="s">
        <v>660</v>
      </c>
      <c r="N10" s="31"/>
      <c r="O10" s="32">
        <v>353.0</v>
      </c>
    </row>
    <row r="11">
      <c r="A11" s="20" t="s">
        <v>661</v>
      </c>
      <c r="B11" s="51"/>
      <c r="C11" s="22">
        <v>900000.0</v>
      </c>
      <c r="D11" s="26">
        <v>2020.0</v>
      </c>
      <c r="E11" s="26" t="s">
        <v>2227</v>
      </c>
      <c r="F11" s="26" t="s">
        <v>43</v>
      </c>
      <c r="G11" s="26" t="s">
        <v>51</v>
      </c>
      <c r="H11" s="28"/>
      <c r="I11" s="26">
        <v>1.0</v>
      </c>
      <c r="J11" s="27">
        <v>900000.0</v>
      </c>
      <c r="K11" s="28"/>
      <c r="L11" s="34" t="s">
        <v>664</v>
      </c>
      <c r="M11" s="468" t="s">
        <v>665</v>
      </c>
      <c r="N11" s="31"/>
      <c r="O11" s="32">
        <v>352.0</v>
      </c>
    </row>
    <row r="12">
      <c r="A12" s="20" t="s">
        <v>666</v>
      </c>
      <c r="B12" s="51"/>
      <c r="C12" s="22">
        <v>150000.0</v>
      </c>
      <c r="D12" s="26">
        <v>2020.0</v>
      </c>
      <c r="E12" s="26" t="s">
        <v>2233</v>
      </c>
      <c r="F12" s="26" t="s">
        <v>43</v>
      </c>
      <c r="G12" s="26" t="s">
        <v>23</v>
      </c>
      <c r="H12" s="28"/>
      <c r="I12" s="26">
        <v>1.0</v>
      </c>
      <c r="J12" s="27">
        <v>150000.0</v>
      </c>
      <c r="K12" s="28"/>
      <c r="L12" s="34" t="s">
        <v>669</v>
      </c>
      <c r="M12" s="468" t="s">
        <v>670</v>
      </c>
      <c r="N12" s="31"/>
      <c r="O12" s="32">
        <v>351.0</v>
      </c>
    </row>
    <row r="13">
      <c r="A13" s="20" t="s">
        <v>671</v>
      </c>
      <c r="B13" s="51"/>
      <c r="C13" s="22">
        <v>600000.0</v>
      </c>
      <c r="D13" s="26">
        <v>2020.0</v>
      </c>
      <c r="E13" s="26" t="s">
        <v>2228</v>
      </c>
      <c r="F13" s="26" t="s">
        <v>43</v>
      </c>
      <c r="G13" s="26" t="s">
        <v>23</v>
      </c>
      <c r="H13" s="28"/>
      <c r="I13" s="26">
        <v>1.0</v>
      </c>
      <c r="J13" s="27">
        <v>600000.0</v>
      </c>
      <c r="K13" s="28"/>
      <c r="L13" s="34" t="s">
        <v>475</v>
      </c>
      <c r="M13" s="468" t="s">
        <v>674</v>
      </c>
      <c r="N13" s="31"/>
      <c r="O13" s="32">
        <v>350.0</v>
      </c>
    </row>
    <row r="14">
      <c r="A14" s="20" t="s">
        <v>675</v>
      </c>
      <c r="B14" s="51"/>
      <c r="C14" s="22">
        <v>5200000.0</v>
      </c>
      <c r="D14" s="26">
        <v>2020.0</v>
      </c>
      <c r="E14" s="26" t="s">
        <v>2223</v>
      </c>
      <c r="F14" s="26" t="s">
        <v>43</v>
      </c>
      <c r="G14" s="26" t="s">
        <v>59</v>
      </c>
      <c r="H14" s="28"/>
      <c r="I14" s="26">
        <v>2.0</v>
      </c>
      <c r="J14" s="27">
        <v>5200000.0</v>
      </c>
      <c r="K14" s="28"/>
      <c r="L14" s="34" t="s">
        <v>678</v>
      </c>
      <c r="M14" s="468" t="s">
        <v>679</v>
      </c>
      <c r="N14" s="31"/>
      <c r="O14" s="32">
        <v>349.0</v>
      </c>
    </row>
    <row r="15">
      <c r="A15" s="20" t="s">
        <v>680</v>
      </c>
      <c r="B15" s="51"/>
      <c r="C15" s="22">
        <v>500000.0</v>
      </c>
      <c r="D15" s="26">
        <v>2020.0</v>
      </c>
      <c r="E15" s="26" t="s">
        <v>2229</v>
      </c>
      <c r="F15" s="26" t="s">
        <v>2163</v>
      </c>
      <c r="G15" s="26" t="s">
        <v>23</v>
      </c>
      <c r="H15" s="28"/>
      <c r="I15" s="26">
        <v>1.0</v>
      </c>
      <c r="J15" s="27">
        <v>500000.0</v>
      </c>
      <c r="K15" s="28"/>
      <c r="L15" s="34" t="s">
        <v>683</v>
      </c>
      <c r="M15" s="415" t="s">
        <v>684</v>
      </c>
      <c r="N15" s="31"/>
      <c r="O15" s="32">
        <v>348.0</v>
      </c>
    </row>
    <row r="16">
      <c r="A16" s="20" t="s">
        <v>685</v>
      </c>
      <c r="B16" s="51"/>
      <c r="C16" s="22">
        <v>6500000.0</v>
      </c>
      <c r="D16" s="26">
        <v>2020.0</v>
      </c>
      <c r="E16" s="26" t="s">
        <v>2222</v>
      </c>
      <c r="F16" s="26" t="s">
        <v>64</v>
      </c>
      <c r="G16" s="26" t="s">
        <v>51</v>
      </c>
      <c r="H16" s="28"/>
      <c r="I16" s="26">
        <v>2.0</v>
      </c>
      <c r="J16" s="27">
        <v>6500000.0</v>
      </c>
      <c r="K16" s="28"/>
      <c r="L16" s="34" t="s">
        <v>688</v>
      </c>
      <c r="M16" s="467" t="s">
        <v>689</v>
      </c>
      <c r="N16" s="31"/>
      <c r="O16" s="32">
        <v>347.0</v>
      </c>
    </row>
    <row r="17">
      <c r="A17" s="20" t="s">
        <v>690</v>
      </c>
      <c r="B17" s="51"/>
      <c r="C17" s="22">
        <v>1.06E7</v>
      </c>
      <c r="D17" s="26">
        <v>2020.0</v>
      </c>
      <c r="E17" s="26" t="s">
        <v>2219</v>
      </c>
      <c r="F17" s="26" t="s">
        <v>43</v>
      </c>
      <c r="G17" s="26" t="s">
        <v>23</v>
      </c>
      <c r="H17" s="28"/>
      <c r="I17" s="26">
        <v>2.0</v>
      </c>
      <c r="J17" s="27">
        <v>1.06E7</v>
      </c>
      <c r="K17" s="28"/>
      <c r="L17" s="34" t="s">
        <v>571</v>
      </c>
      <c r="M17" s="467" t="s">
        <v>693</v>
      </c>
      <c r="N17" s="31"/>
      <c r="O17" s="32">
        <v>346.0</v>
      </c>
    </row>
    <row r="18">
      <c r="A18" s="20" t="s">
        <v>694</v>
      </c>
      <c r="B18" s="51"/>
      <c r="C18" s="22">
        <v>5000000.0</v>
      </c>
      <c r="D18" s="26">
        <v>2020.0</v>
      </c>
      <c r="E18" s="26" t="s">
        <v>2224</v>
      </c>
      <c r="F18" s="26" t="s">
        <v>22</v>
      </c>
      <c r="G18" s="26" t="s">
        <v>51</v>
      </c>
      <c r="H18" s="28"/>
      <c r="I18" s="26">
        <v>2.0</v>
      </c>
      <c r="J18" s="27">
        <v>5000000.0</v>
      </c>
      <c r="K18" s="28"/>
      <c r="L18" s="34" t="s">
        <v>696</v>
      </c>
      <c r="M18" s="467" t="s">
        <v>697</v>
      </c>
      <c r="N18" s="31"/>
      <c r="O18" s="32">
        <v>345.0</v>
      </c>
    </row>
    <row r="19">
      <c r="A19" s="20" t="s">
        <v>698</v>
      </c>
      <c r="B19" s="98" t="s">
        <v>699</v>
      </c>
      <c r="C19" s="22">
        <v>3.0E7</v>
      </c>
      <c r="D19" s="26">
        <v>2019.0</v>
      </c>
      <c r="E19" s="26" t="s">
        <v>2216</v>
      </c>
      <c r="F19" s="26" t="s">
        <v>43</v>
      </c>
      <c r="G19" s="26" t="s">
        <v>23</v>
      </c>
      <c r="H19" s="28"/>
      <c r="I19" s="26">
        <v>3.0</v>
      </c>
      <c r="J19" s="27">
        <v>3.0E7</v>
      </c>
      <c r="K19" s="28"/>
      <c r="L19" s="34" t="s">
        <v>702</v>
      </c>
      <c r="M19" s="468" t="s">
        <v>703</v>
      </c>
      <c r="N19" s="31"/>
      <c r="O19" s="32">
        <v>344.0</v>
      </c>
    </row>
    <row r="20">
      <c r="A20" s="103" t="s">
        <v>704</v>
      </c>
      <c r="B20" s="420"/>
      <c r="C20" s="22">
        <v>4200000.0</v>
      </c>
      <c r="D20" s="26">
        <v>2019.0</v>
      </c>
      <c r="E20" s="26" t="s">
        <v>2324</v>
      </c>
      <c r="F20" s="26" t="s">
        <v>2153</v>
      </c>
      <c r="G20" s="26" t="s">
        <v>59</v>
      </c>
      <c r="H20" s="26"/>
      <c r="I20" s="26">
        <v>2.0</v>
      </c>
      <c r="J20" s="513"/>
      <c r="K20" s="28"/>
      <c r="L20" s="105" t="s">
        <v>706</v>
      </c>
      <c r="M20" s="106" t="s">
        <v>707</v>
      </c>
      <c r="N20" s="107"/>
      <c r="O20" s="32">
        <v>343.0</v>
      </c>
    </row>
    <row r="21">
      <c r="A21" s="103" t="s">
        <v>708</v>
      </c>
      <c r="B21" s="420"/>
      <c r="C21" s="22">
        <v>100000.0</v>
      </c>
      <c r="D21" s="26">
        <v>2019.0</v>
      </c>
      <c r="E21" s="26" t="s">
        <v>2476</v>
      </c>
      <c r="F21" s="26" t="s">
        <v>64</v>
      </c>
      <c r="G21" s="26" t="s">
        <v>23</v>
      </c>
      <c r="H21" s="26" t="s">
        <v>29</v>
      </c>
      <c r="I21" s="26">
        <v>2.0</v>
      </c>
      <c r="J21" s="513"/>
      <c r="K21" s="28"/>
      <c r="L21" s="105" t="s">
        <v>710</v>
      </c>
      <c r="M21" s="106" t="s">
        <v>711</v>
      </c>
      <c r="N21" s="107"/>
      <c r="O21" s="32">
        <v>342.0</v>
      </c>
    </row>
    <row r="22">
      <c r="A22" s="103" t="s">
        <v>712</v>
      </c>
      <c r="B22" s="420"/>
      <c r="C22" s="22">
        <v>2.0E7</v>
      </c>
      <c r="D22" s="26">
        <v>2019.0</v>
      </c>
      <c r="E22" s="26" t="s">
        <v>2272</v>
      </c>
      <c r="F22" s="26" t="s">
        <v>2514</v>
      </c>
      <c r="G22" s="26" t="s">
        <v>51</v>
      </c>
      <c r="H22" s="26"/>
      <c r="I22" s="26">
        <v>4.0</v>
      </c>
      <c r="J22" s="513"/>
      <c r="K22" s="28"/>
      <c r="L22" s="105" t="s">
        <v>571</v>
      </c>
      <c r="M22" s="106" t="s">
        <v>714</v>
      </c>
      <c r="N22" s="107"/>
      <c r="O22" s="32">
        <v>341.0</v>
      </c>
    </row>
    <row r="23">
      <c r="A23" s="103" t="s">
        <v>715</v>
      </c>
      <c r="B23" s="420"/>
      <c r="C23" s="22">
        <v>200000.0</v>
      </c>
      <c r="D23" s="26">
        <v>2019.0</v>
      </c>
      <c r="E23" s="26" t="s">
        <v>2447</v>
      </c>
      <c r="F23" s="26" t="s">
        <v>2060</v>
      </c>
      <c r="G23" s="26" t="s">
        <v>23</v>
      </c>
      <c r="H23" s="26"/>
      <c r="I23" s="26">
        <v>4.0</v>
      </c>
      <c r="J23" s="513"/>
      <c r="K23" s="28"/>
      <c r="L23" s="105" t="s">
        <v>507</v>
      </c>
      <c r="M23" s="106" t="s">
        <v>717</v>
      </c>
      <c r="N23" s="107"/>
      <c r="O23" s="32">
        <v>340.0</v>
      </c>
    </row>
    <row r="24">
      <c r="A24" s="103" t="s">
        <v>718</v>
      </c>
      <c r="B24" s="420"/>
      <c r="C24" s="22">
        <v>1.39E8</v>
      </c>
      <c r="D24" s="26">
        <v>2019.0</v>
      </c>
      <c r="E24" s="26" t="s">
        <v>2198</v>
      </c>
      <c r="F24" s="26" t="s">
        <v>28</v>
      </c>
      <c r="G24" s="26" t="s">
        <v>23</v>
      </c>
      <c r="H24" s="26"/>
      <c r="I24" s="26">
        <v>2.0</v>
      </c>
      <c r="J24" s="513"/>
      <c r="K24" s="28"/>
      <c r="L24" s="105" t="s">
        <v>571</v>
      </c>
      <c r="M24" s="106" t="s">
        <v>721</v>
      </c>
      <c r="N24" s="107"/>
      <c r="O24" s="32">
        <v>339.0</v>
      </c>
    </row>
    <row r="25">
      <c r="A25" s="103" t="s">
        <v>2515</v>
      </c>
      <c r="B25" s="420"/>
      <c r="C25" s="22">
        <v>8.85E8</v>
      </c>
      <c r="D25" s="26">
        <v>2019.0</v>
      </c>
      <c r="E25" s="26" t="s">
        <v>2516</v>
      </c>
      <c r="F25" s="26" t="s">
        <v>2153</v>
      </c>
      <c r="G25" s="26" t="s">
        <v>51</v>
      </c>
      <c r="H25" s="26"/>
      <c r="I25" s="26">
        <v>4.0</v>
      </c>
      <c r="J25" s="513">
        <v>8.85E8</v>
      </c>
      <c r="K25" s="28"/>
      <c r="L25" s="105" t="s">
        <v>702</v>
      </c>
      <c r="M25" s="106" t="s">
        <v>2517</v>
      </c>
      <c r="N25" s="107"/>
      <c r="O25" s="32">
        <v>338.0</v>
      </c>
    </row>
    <row r="26">
      <c r="A26" s="103" t="s">
        <v>722</v>
      </c>
      <c r="B26" s="420" t="s">
        <v>723</v>
      </c>
      <c r="C26" s="22">
        <v>4.9E7</v>
      </c>
      <c r="D26" s="26">
        <v>2019.0</v>
      </c>
      <c r="E26" s="26" t="s">
        <v>2246</v>
      </c>
      <c r="F26" s="26" t="s">
        <v>2007</v>
      </c>
      <c r="G26" s="26" t="s">
        <v>51</v>
      </c>
      <c r="H26" s="26" t="s">
        <v>29</v>
      </c>
      <c r="I26" s="26">
        <v>1.0</v>
      </c>
      <c r="J26" s="513"/>
      <c r="K26" s="28"/>
      <c r="L26" s="105" t="s">
        <v>725</v>
      </c>
      <c r="M26" s="106" t="s">
        <v>726</v>
      </c>
      <c r="N26" s="107"/>
      <c r="O26" s="32">
        <v>337.0</v>
      </c>
    </row>
    <row r="27">
      <c r="A27" s="103" t="s">
        <v>727</v>
      </c>
      <c r="B27" s="420" t="s">
        <v>728</v>
      </c>
      <c r="C27" s="22">
        <v>2000000.0</v>
      </c>
      <c r="D27" s="26">
        <v>2019.0</v>
      </c>
      <c r="E27" s="26" t="s">
        <v>2175</v>
      </c>
      <c r="F27" s="26" t="s">
        <v>2163</v>
      </c>
      <c r="G27" s="26" t="s">
        <v>51</v>
      </c>
      <c r="H27" s="26"/>
      <c r="I27" s="26">
        <v>1.0</v>
      </c>
      <c r="J27" s="513" t="str">
        <f t="shared" ref="J27:J54" si="1">IF(C27&gt;100000000,C27,"")</f>
        <v/>
      </c>
      <c r="K27" s="28"/>
      <c r="L27" s="105" t="s">
        <v>725</v>
      </c>
      <c r="M27" s="106" t="s">
        <v>730</v>
      </c>
      <c r="N27" s="107"/>
      <c r="O27" s="32">
        <v>336.0</v>
      </c>
    </row>
    <row r="28">
      <c r="A28" s="103" t="s">
        <v>378</v>
      </c>
      <c r="B28" s="420"/>
      <c r="C28" s="22">
        <v>3100000.0</v>
      </c>
      <c r="D28" s="26">
        <v>2019.0</v>
      </c>
      <c r="E28" s="26" t="s">
        <v>2172</v>
      </c>
      <c r="F28" s="26" t="s">
        <v>22</v>
      </c>
      <c r="G28" s="26" t="s">
        <v>23</v>
      </c>
      <c r="H28" s="26"/>
      <c r="I28" s="26">
        <v>2.0</v>
      </c>
      <c r="J28" s="513" t="str">
        <f t="shared" si="1"/>
        <v/>
      </c>
      <c r="K28" s="28"/>
      <c r="L28" s="105" t="s">
        <v>85</v>
      </c>
      <c r="M28" s="106" t="s">
        <v>732</v>
      </c>
      <c r="N28" s="106" t="s">
        <v>733</v>
      </c>
      <c r="O28" s="32">
        <v>335.0</v>
      </c>
    </row>
    <row r="29">
      <c r="A29" s="103" t="s">
        <v>734</v>
      </c>
      <c r="B29" s="420" t="s">
        <v>735</v>
      </c>
      <c r="C29" s="22">
        <v>1800000.0</v>
      </c>
      <c r="D29" s="26">
        <v>2019.0</v>
      </c>
      <c r="E29" s="26" t="s">
        <v>2176</v>
      </c>
      <c r="F29" s="26" t="s">
        <v>28</v>
      </c>
      <c r="G29" s="26" t="s">
        <v>51</v>
      </c>
      <c r="H29" s="26" t="s">
        <v>29</v>
      </c>
      <c r="I29" s="26">
        <v>4.0</v>
      </c>
      <c r="J29" s="513" t="str">
        <f t="shared" si="1"/>
        <v/>
      </c>
      <c r="K29" s="28"/>
      <c r="L29" s="105" t="s">
        <v>325</v>
      </c>
      <c r="M29" s="106" t="s">
        <v>737</v>
      </c>
      <c r="N29" s="107"/>
      <c r="O29" s="32">
        <v>334.0</v>
      </c>
    </row>
    <row r="30">
      <c r="A30" s="103" t="s">
        <v>738</v>
      </c>
      <c r="B30" s="420" t="s">
        <v>739</v>
      </c>
      <c r="C30" s="22">
        <v>2700000.0</v>
      </c>
      <c r="D30" s="26">
        <v>2019.0</v>
      </c>
      <c r="E30" s="26" t="s">
        <v>2173</v>
      </c>
      <c r="F30" s="26" t="s">
        <v>2514</v>
      </c>
      <c r="G30" s="26" t="s">
        <v>51</v>
      </c>
      <c r="H30" s="26" t="s">
        <v>29</v>
      </c>
      <c r="I30" s="26">
        <v>5.0</v>
      </c>
      <c r="J30" s="513" t="str">
        <f t="shared" si="1"/>
        <v/>
      </c>
      <c r="K30" s="28"/>
      <c r="L30" s="105" t="s">
        <v>741</v>
      </c>
      <c r="M30" s="106" t="s">
        <v>742</v>
      </c>
      <c r="N30" s="106" t="s">
        <v>743</v>
      </c>
      <c r="O30" s="32">
        <v>333.0</v>
      </c>
    </row>
    <row r="31">
      <c r="A31" s="103" t="s">
        <v>744</v>
      </c>
      <c r="B31" s="420"/>
      <c r="C31" s="22">
        <v>1.62E8</v>
      </c>
      <c r="D31" s="26">
        <v>2019.0</v>
      </c>
      <c r="E31" s="26" t="s">
        <v>2168</v>
      </c>
      <c r="F31" s="26" t="s">
        <v>2163</v>
      </c>
      <c r="G31" s="26" t="s">
        <v>23</v>
      </c>
      <c r="H31" s="28"/>
      <c r="I31" s="26">
        <v>1.0</v>
      </c>
      <c r="J31" s="513">
        <f t="shared" si="1"/>
        <v>162000000</v>
      </c>
      <c r="K31" s="28"/>
      <c r="L31" s="105" t="s">
        <v>227</v>
      </c>
      <c r="M31" s="106" t="s">
        <v>747</v>
      </c>
      <c r="N31" s="109"/>
      <c r="O31" s="32">
        <v>332.0</v>
      </c>
    </row>
    <row r="32">
      <c r="A32" s="103" t="s">
        <v>748</v>
      </c>
      <c r="B32" s="420"/>
      <c r="C32" s="22">
        <v>4.1E7</v>
      </c>
      <c r="D32" s="26">
        <v>2019.0</v>
      </c>
      <c r="E32" s="26" t="s">
        <v>2168</v>
      </c>
      <c r="F32" s="26" t="s">
        <v>28</v>
      </c>
      <c r="G32" s="26" t="s">
        <v>23</v>
      </c>
      <c r="H32" s="28"/>
      <c r="I32" s="26">
        <v>1.0</v>
      </c>
      <c r="J32" s="513" t="str">
        <f t="shared" si="1"/>
        <v/>
      </c>
      <c r="K32" s="28"/>
      <c r="L32" s="105" t="s">
        <v>227</v>
      </c>
      <c r="M32" s="106" t="s">
        <v>747</v>
      </c>
      <c r="N32" s="109"/>
      <c r="O32" s="32">
        <v>331.0</v>
      </c>
    </row>
    <row r="33">
      <c r="A33" s="103" t="s">
        <v>749</v>
      </c>
      <c r="B33" s="420"/>
      <c r="C33" s="22">
        <v>2.8E7</v>
      </c>
      <c r="D33" s="26">
        <v>2019.0</v>
      </c>
      <c r="E33" s="26" t="s">
        <v>2168</v>
      </c>
      <c r="F33" s="26" t="s">
        <v>43</v>
      </c>
      <c r="G33" s="26" t="s">
        <v>23</v>
      </c>
      <c r="H33" s="28"/>
      <c r="I33" s="26">
        <v>1.0</v>
      </c>
      <c r="J33" s="513" t="str">
        <f t="shared" si="1"/>
        <v/>
      </c>
      <c r="K33" s="28"/>
      <c r="L33" s="105" t="s">
        <v>227</v>
      </c>
      <c r="M33" s="106" t="s">
        <v>747</v>
      </c>
      <c r="N33" s="109"/>
      <c r="O33" s="32">
        <v>330.0</v>
      </c>
    </row>
    <row r="34">
      <c r="A34" s="103" t="s">
        <v>750</v>
      </c>
      <c r="B34" s="420"/>
      <c r="C34" s="22">
        <v>2.5E7</v>
      </c>
      <c r="D34" s="26">
        <v>2019.0</v>
      </c>
      <c r="E34" s="26" t="s">
        <v>2168</v>
      </c>
      <c r="F34" s="26" t="s">
        <v>2163</v>
      </c>
      <c r="G34" s="26" t="s">
        <v>23</v>
      </c>
      <c r="H34" s="28"/>
      <c r="I34" s="26">
        <v>1.0</v>
      </c>
      <c r="J34" s="513" t="str">
        <f t="shared" si="1"/>
        <v/>
      </c>
      <c r="K34" s="28"/>
      <c r="L34" s="105" t="s">
        <v>227</v>
      </c>
      <c r="M34" s="106" t="s">
        <v>747</v>
      </c>
      <c r="N34" s="109"/>
      <c r="O34" s="32">
        <v>329.0</v>
      </c>
    </row>
    <row r="35">
      <c r="A35" s="103" t="s">
        <v>751</v>
      </c>
      <c r="B35" s="420"/>
      <c r="C35" s="22">
        <v>2.2E7</v>
      </c>
      <c r="D35" s="26">
        <v>2019.0</v>
      </c>
      <c r="E35" s="26" t="s">
        <v>2168</v>
      </c>
      <c r="F35" s="26" t="s">
        <v>28</v>
      </c>
      <c r="G35" s="26" t="s">
        <v>23</v>
      </c>
      <c r="H35" s="28"/>
      <c r="I35" s="26">
        <v>1.0</v>
      </c>
      <c r="J35" s="513" t="str">
        <f t="shared" si="1"/>
        <v/>
      </c>
      <c r="K35" s="28"/>
      <c r="L35" s="105" t="s">
        <v>227</v>
      </c>
      <c r="M35" s="106" t="s">
        <v>747</v>
      </c>
      <c r="N35" s="109"/>
      <c r="O35" s="32">
        <v>328.0</v>
      </c>
    </row>
    <row r="36">
      <c r="A36" s="103" t="s">
        <v>752</v>
      </c>
      <c r="B36" s="420"/>
      <c r="C36" s="22">
        <v>2.0E7</v>
      </c>
      <c r="D36" s="26">
        <v>2019.0</v>
      </c>
      <c r="E36" s="26" t="s">
        <v>2168</v>
      </c>
      <c r="F36" s="26" t="s">
        <v>2163</v>
      </c>
      <c r="G36" s="26" t="s">
        <v>23</v>
      </c>
      <c r="H36" s="28"/>
      <c r="I36" s="26">
        <v>1.0</v>
      </c>
      <c r="J36" s="513" t="str">
        <f t="shared" si="1"/>
        <v/>
      </c>
      <c r="K36" s="28"/>
      <c r="L36" s="105" t="s">
        <v>227</v>
      </c>
      <c r="M36" s="106" t="s">
        <v>747</v>
      </c>
      <c r="N36" s="109"/>
      <c r="O36" s="32">
        <v>327.0</v>
      </c>
    </row>
    <row r="37">
      <c r="A37" s="103" t="s">
        <v>753</v>
      </c>
      <c r="B37" s="420"/>
      <c r="C37" s="22">
        <v>1.8E7</v>
      </c>
      <c r="D37" s="26">
        <v>2019.0</v>
      </c>
      <c r="E37" s="26" t="s">
        <v>2168</v>
      </c>
      <c r="F37" s="26" t="s">
        <v>28</v>
      </c>
      <c r="G37" s="26" t="s">
        <v>23</v>
      </c>
      <c r="H37" s="28"/>
      <c r="I37" s="26">
        <v>1.0</v>
      </c>
      <c r="J37" s="513" t="str">
        <f t="shared" si="1"/>
        <v/>
      </c>
      <c r="K37" s="28"/>
      <c r="L37" s="105" t="s">
        <v>227</v>
      </c>
      <c r="M37" s="106" t="s">
        <v>747</v>
      </c>
      <c r="N37" s="109"/>
      <c r="O37" s="32">
        <v>326.0</v>
      </c>
    </row>
    <row r="38">
      <c r="A38" s="103" t="s">
        <v>754</v>
      </c>
      <c r="B38" s="420"/>
      <c r="C38" s="22">
        <v>1.6E7</v>
      </c>
      <c r="D38" s="26">
        <v>2019.0</v>
      </c>
      <c r="E38" s="26" t="s">
        <v>2168</v>
      </c>
      <c r="F38" s="26" t="s">
        <v>28</v>
      </c>
      <c r="G38" s="26" t="s">
        <v>23</v>
      </c>
      <c r="H38" s="28"/>
      <c r="I38" s="26">
        <v>1.0</v>
      </c>
      <c r="J38" s="513" t="str">
        <f t="shared" si="1"/>
        <v/>
      </c>
      <c r="K38" s="28"/>
      <c r="L38" s="105" t="s">
        <v>227</v>
      </c>
      <c r="M38" s="106" t="s">
        <v>747</v>
      </c>
      <c r="N38" s="109"/>
      <c r="O38" s="32">
        <v>325.0</v>
      </c>
    </row>
    <row r="39">
      <c r="A39" s="103" t="s">
        <v>755</v>
      </c>
      <c r="B39" s="420"/>
      <c r="C39" s="22">
        <v>1.1E7</v>
      </c>
      <c r="D39" s="26">
        <v>2019.0</v>
      </c>
      <c r="E39" s="26" t="s">
        <v>2168</v>
      </c>
      <c r="F39" s="26" t="s">
        <v>236</v>
      </c>
      <c r="G39" s="26" t="s">
        <v>23</v>
      </c>
      <c r="H39" s="28"/>
      <c r="I39" s="26">
        <v>1.0</v>
      </c>
      <c r="J39" s="513" t="str">
        <f t="shared" si="1"/>
        <v/>
      </c>
      <c r="K39" s="28"/>
      <c r="L39" s="105" t="s">
        <v>227</v>
      </c>
      <c r="M39" s="106" t="s">
        <v>747</v>
      </c>
      <c r="N39" s="109"/>
      <c r="O39" s="32">
        <v>324.0</v>
      </c>
    </row>
    <row r="40">
      <c r="A40" s="103" t="s">
        <v>756</v>
      </c>
      <c r="B40" s="420"/>
      <c r="C40" s="22">
        <v>8000000.0</v>
      </c>
      <c r="D40" s="26">
        <v>2019.0</v>
      </c>
      <c r="E40" s="26" t="s">
        <v>2168</v>
      </c>
      <c r="F40" s="26" t="s">
        <v>28</v>
      </c>
      <c r="G40" s="26" t="s">
        <v>23</v>
      </c>
      <c r="H40" s="28"/>
      <c r="I40" s="26">
        <v>1.0</v>
      </c>
      <c r="J40" s="513" t="str">
        <f t="shared" si="1"/>
        <v/>
      </c>
      <c r="K40" s="28"/>
      <c r="L40" s="105" t="s">
        <v>227</v>
      </c>
      <c r="M40" s="106" t="s">
        <v>747</v>
      </c>
      <c r="N40" s="109"/>
      <c r="O40" s="32">
        <v>323.0</v>
      </c>
    </row>
    <row r="41">
      <c r="A41" s="103" t="s">
        <v>757</v>
      </c>
      <c r="B41" s="420"/>
      <c r="C41" s="22">
        <v>6000000.0</v>
      </c>
      <c r="D41" s="26">
        <v>2019.0</v>
      </c>
      <c r="E41" s="26" t="s">
        <v>2168</v>
      </c>
      <c r="F41" s="26" t="s">
        <v>28</v>
      </c>
      <c r="G41" s="26" t="s">
        <v>23</v>
      </c>
      <c r="H41" s="28"/>
      <c r="I41" s="26">
        <v>1.0</v>
      </c>
      <c r="J41" s="513" t="str">
        <f t="shared" si="1"/>
        <v/>
      </c>
      <c r="K41" s="28"/>
      <c r="L41" s="105" t="s">
        <v>227</v>
      </c>
      <c r="M41" s="106" t="s">
        <v>747</v>
      </c>
      <c r="N41" s="109"/>
      <c r="O41" s="32">
        <v>322.0</v>
      </c>
    </row>
    <row r="42">
      <c r="A42" s="103" t="s">
        <v>758</v>
      </c>
      <c r="B42" s="420"/>
      <c r="C42" s="22">
        <v>1000000.0</v>
      </c>
      <c r="D42" s="26">
        <v>2019.0</v>
      </c>
      <c r="E42" s="26" t="s">
        <v>2168</v>
      </c>
      <c r="F42" s="26" t="s">
        <v>28</v>
      </c>
      <c r="G42" s="26" t="s">
        <v>23</v>
      </c>
      <c r="H42" s="28"/>
      <c r="I42" s="26">
        <v>1.0</v>
      </c>
      <c r="J42" s="513" t="str">
        <f t="shared" si="1"/>
        <v/>
      </c>
      <c r="K42" s="28"/>
      <c r="L42" s="105" t="s">
        <v>227</v>
      </c>
      <c r="M42" s="106" t="s">
        <v>747</v>
      </c>
      <c r="N42" s="109"/>
      <c r="O42" s="32">
        <v>321.0</v>
      </c>
    </row>
    <row r="43">
      <c r="A43" s="103" t="s">
        <v>759</v>
      </c>
      <c r="B43" s="420"/>
      <c r="C43" s="22">
        <v>700000.0</v>
      </c>
      <c r="D43" s="26">
        <v>2019.0</v>
      </c>
      <c r="E43" s="26" t="s">
        <v>2168</v>
      </c>
      <c r="F43" s="26" t="s">
        <v>28</v>
      </c>
      <c r="G43" s="26" t="s">
        <v>23</v>
      </c>
      <c r="H43" s="28"/>
      <c r="I43" s="26">
        <v>1.0</v>
      </c>
      <c r="J43" s="513" t="str">
        <f t="shared" si="1"/>
        <v/>
      </c>
      <c r="K43" s="28"/>
      <c r="L43" s="105" t="s">
        <v>227</v>
      </c>
      <c r="M43" s="106" t="s">
        <v>747</v>
      </c>
      <c r="N43" s="109"/>
      <c r="O43" s="32">
        <v>320.0</v>
      </c>
    </row>
    <row r="44">
      <c r="A44" s="103" t="s">
        <v>760</v>
      </c>
      <c r="B44" s="420"/>
      <c r="C44" s="22">
        <v>1.8E7</v>
      </c>
      <c r="D44" s="26">
        <v>2019.0</v>
      </c>
      <c r="E44" s="26" t="s">
        <v>2166</v>
      </c>
      <c r="F44" s="26" t="s">
        <v>22</v>
      </c>
      <c r="G44" s="26" t="s">
        <v>51</v>
      </c>
      <c r="H44" s="28"/>
      <c r="I44" s="26">
        <v>1.0</v>
      </c>
      <c r="J44" s="513" t="str">
        <f t="shared" si="1"/>
        <v/>
      </c>
      <c r="K44" s="28"/>
      <c r="L44" s="105" t="s">
        <v>725</v>
      </c>
      <c r="M44" s="106" t="s">
        <v>762</v>
      </c>
      <c r="N44" s="109"/>
      <c r="O44" s="32">
        <v>319.0</v>
      </c>
    </row>
    <row r="45">
      <c r="A45" s="103" t="s">
        <v>763</v>
      </c>
      <c r="B45" s="420"/>
      <c r="C45" s="22">
        <v>4.0E7</v>
      </c>
      <c r="D45" s="26">
        <v>2019.0</v>
      </c>
      <c r="E45" s="26" t="s">
        <v>2166</v>
      </c>
      <c r="F45" s="26" t="s">
        <v>28</v>
      </c>
      <c r="G45" s="26" t="s">
        <v>23</v>
      </c>
      <c r="H45" s="28"/>
      <c r="I45" s="26">
        <v>1.0</v>
      </c>
      <c r="J45" s="513" t="str">
        <f t="shared" si="1"/>
        <v/>
      </c>
      <c r="K45" s="28"/>
      <c r="L45" s="105" t="s">
        <v>725</v>
      </c>
      <c r="M45" s="106" t="s">
        <v>762</v>
      </c>
      <c r="N45" s="109"/>
      <c r="O45" s="32">
        <v>318.0</v>
      </c>
    </row>
    <row r="46">
      <c r="A46" s="103" t="s">
        <v>764</v>
      </c>
      <c r="B46" s="420"/>
      <c r="C46" s="22">
        <v>5.7E7</v>
      </c>
      <c r="D46" s="26">
        <v>2019.0</v>
      </c>
      <c r="E46" s="26" t="s">
        <v>2166</v>
      </c>
      <c r="F46" s="26" t="s">
        <v>43</v>
      </c>
      <c r="G46" s="26" t="s">
        <v>23</v>
      </c>
      <c r="H46" s="28"/>
      <c r="I46" s="26">
        <v>2.0</v>
      </c>
      <c r="J46" s="513" t="str">
        <f t="shared" si="1"/>
        <v/>
      </c>
      <c r="K46" s="28"/>
      <c r="L46" s="105" t="s">
        <v>725</v>
      </c>
      <c r="M46" s="106" t="s">
        <v>765</v>
      </c>
      <c r="N46" s="109"/>
      <c r="O46" s="32">
        <v>317.0</v>
      </c>
    </row>
    <row r="47">
      <c r="A47" s="103" t="s">
        <v>766</v>
      </c>
      <c r="B47" s="420"/>
      <c r="C47" s="22">
        <v>1800000.0</v>
      </c>
      <c r="D47" s="26">
        <v>2019.0</v>
      </c>
      <c r="E47" s="26" t="s">
        <v>2166</v>
      </c>
      <c r="F47" s="26" t="s">
        <v>28</v>
      </c>
      <c r="G47" s="26" t="s">
        <v>23</v>
      </c>
      <c r="H47" s="28"/>
      <c r="I47" s="26">
        <v>1.0</v>
      </c>
      <c r="J47" s="513" t="str">
        <f t="shared" si="1"/>
        <v/>
      </c>
      <c r="K47" s="28"/>
      <c r="L47" s="105" t="s">
        <v>725</v>
      </c>
      <c r="M47" s="106" t="s">
        <v>762</v>
      </c>
      <c r="N47" s="109"/>
      <c r="O47" s="32">
        <v>316.0</v>
      </c>
    </row>
    <row r="48">
      <c r="A48" s="103" t="s">
        <v>767</v>
      </c>
      <c r="B48" s="420"/>
      <c r="C48" s="22">
        <v>450000.0</v>
      </c>
      <c r="D48" s="26">
        <v>2019.0</v>
      </c>
      <c r="E48" s="26" t="s">
        <v>2166</v>
      </c>
      <c r="F48" s="26" t="s">
        <v>2153</v>
      </c>
      <c r="G48" s="26" t="s">
        <v>23</v>
      </c>
      <c r="H48" s="28"/>
      <c r="I48" s="26">
        <v>1.0</v>
      </c>
      <c r="J48" s="513" t="str">
        <f t="shared" si="1"/>
        <v/>
      </c>
      <c r="K48" s="28"/>
      <c r="L48" s="105" t="s">
        <v>725</v>
      </c>
      <c r="M48" s="106" t="s">
        <v>762</v>
      </c>
      <c r="N48" s="109"/>
      <c r="O48" s="32">
        <v>315.0</v>
      </c>
    </row>
    <row r="49">
      <c r="A49" s="103" t="s">
        <v>768</v>
      </c>
      <c r="B49" s="420"/>
      <c r="C49" s="22">
        <v>4000000.0</v>
      </c>
      <c r="D49" s="26">
        <v>2019.0</v>
      </c>
      <c r="E49" s="26" t="s">
        <v>2166</v>
      </c>
      <c r="F49" s="26" t="s">
        <v>236</v>
      </c>
      <c r="G49" s="26" t="s">
        <v>23</v>
      </c>
      <c r="H49" s="28"/>
      <c r="I49" s="26">
        <v>1.0</v>
      </c>
      <c r="J49" s="513" t="str">
        <f t="shared" si="1"/>
        <v/>
      </c>
      <c r="K49" s="28"/>
      <c r="L49" s="105" t="s">
        <v>725</v>
      </c>
      <c r="M49" s="106" t="s">
        <v>762</v>
      </c>
      <c r="N49" s="109"/>
      <c r="O49" s="32">
        <v>314.0</v>
      </c>
    </row>
    <row r="50">
      <c r="A50" s="103" t="s">
        <v>769</v>
      </c>
      <c r="B50" s="420"/>
      <c r="C50" s="22">
        <v>5000000.0</v>
      </c>
      <c r="D50" s="26">
        <v>2019.0</v>
      </c>
      <c r="E50" s="26" t="s">
        <v>2166</v>
      </c>
      <c r="F50" s="26" t="s">
        <v>236</v>
      </c>
      <c r="G50" s="26" t="s">
        <v>23</v>
      </c>
      <c r="H50" s="28"/>
      <c r="I50" s="26">
        <v>1.0</v>
      </c>
      <c r="J50" s="513" t="str">
        <f t="shared" si="1"/>
        <v/>
      </c>
      <c r="K50" s="28"/>
      <c r="L50" s="105" t="s">
        <v>725</v>
      </c>
      <c r="M50" s="106" t="s">
        <v>762</v>
      </c>
      <c r="N50" s="109"/>
      <c r="O50" s="32">
        <v>313.0</v>
      </c>
    </row>
    <row r="51">
      <c r="A51" s="103" t="s">
        <v>770</v>
      </c>
      <c r="B51" s="420"/>
      <c r="C51" s="22">
        <v>1000000.0</v>
      </c>
      <c r="D51" s="26">
        <v>2019.0</v>
      </c>
      <c r="E51" s="26" t="s">
        <v>2166</v>
      </c>
      <c r="F51" s="26" t="s">
        <v>43</v>
      </c>
      <c r="G51" s="26" t="s">
        <v>51</v>
      </c>
      <c r="H51" s="28"/>
      <c r="I51" s="26">
        <v>1.0</v>
      </c>
      <c r="J51" s="513" t="str">
        <f t="shared" si="1"/>
        <v/>
      </c>
      <c r="K51" s="28"/>
      <c r="L51" s="105" t="s">
        <v>725</v>
      </c>
      <c r="M51" s="106" t="s">
        <v>762</v>
      </c>
      <c r="N51" s="109"/>
      <c r="O51" s="32">
        <v>312.0</v>
      </c>
    </row>
    <row r="52">
      <c r="A52" s="103" t="s">
        <v>771</v>
      </c>
      <c r="B52" s="420"/>
      <c r="C52" s="22">
        <v>1.48E7</v>
      </c>
      <c r="D52" s="26">
        <v>2019.0</v>
      </c>
      <c r="E52" s="26" t="s">
        <v>2169</v>
      </c>
      <c r="F52" s="26" t="s">
        <v>28</v>
      </c>
      <c r="G52" s="26" t="s">
        <v>23</v>
      </c>
      <c r="H52" s="28"/>
      <c r="I52" s="26">
        <v>2.0</v>
      </c>
      <c r="J52" s="513" t="str">
        <f t="shared" si="1"/>
        <v/>
      </c>
      <c r="K52" s="28"/>
      <c r="L52" s="105" t="s">
        <v>773</v>
      </c>
      <c r="M52" s="106" t="s">
        <v>774</v>
      </c>
      <c r="N52" s="109"/>
      <c r="O52" s="32">
        <v>311.0</v>
      </c>
    </row>
    <row r="53">
      <c r="A53" s="421" t="s">
        <v>775</v>
      </c>
      <c r="B53" s="422" t="s">
        <v>776</v>
      </c>
      <c r="C53" s="423">
        <v>2400000.0</v>
      </c>
      <c r="D53" s="422">
        <v>2019.0</v>
      </c>
      <c r="E53" s="422" t="s">
        <v>2174</v>
      </c>
      <c r="F53" s="26" t="s">
        <v>50</v>
      </c>
      <c r="G53" s="425" t="s">
        <v>142</v>
      </c>
      <c r="H53" s="426"/>
      <c r="I53" s="422">
        <v>1.0</v>
      </c>
      <c r="J53" s="513" t="str">
        <f t="shared" si="1"/>
        <v/>
      </c>
      <c r="K53" s="110"/>
      <c r="L53" s="26" t="s">
        <v>571</v>
      </c>
      <c r="M53" s="465" t="s">
        <v>778</v>
      </c>
      <c r="N53" s="427"/>
      <c r="O53" s="32">
        <v>310.0</v>
      </c>
    </row>
    <row r="54">
      <c r="A54" s="421" t="s">
        <v>779</v>
      </c>
      <c r="B54" s="422"/>
      <c r="C54" s="423">
        <v>7600000.0</v>
      </c>
      <c r="D54" s="422">
        <v>2019.0</v>
      </c>
      <c r="E54" s="422" t="s">
        <v>2171</v>
      </c>
      <c r="F54" s="26" t="s">
        <v>236</v>
      </c>
      <c r="G54" s="425" t="s">
        <v>23</v>
      </c>
      <c r="H54" s="426"/>
      <c r="I54" s="422">
        <v>1.0</v>
      </c>
      <c r="J54" s="513" t="str">
        <f t="shared" si="1"/>
        <v/>
      </c>
      <c r="K54" s="110"/>
      <c r="L54" s="26" t="s">
        <v>571</v>
      </c>
      <c r="M54" s="465" t="s">
        <v>781</v>
      </c>
      <c r="N54" s="427"/>
      <c r="O54" s="32">
        <v>309.0</v>
      </c>
    </row>
    <row r="55">
      <c r="A55" s="52" t="s">
        <v>782</v>
      </c>
      <c r="B55" s="428"/>
      <c r="C55" s="22">
        <v>2.75265298E8</v>
      </c>
      <c r="D55" s="422">
        <v>2019.0</v>
      </c>
      <c r="E55" s="425" t="s">
        <v>2187</v>
      </c>
      <c r="F55" s="425" t="s">
        <v>28</v>
      </c>
      <c r="G55" s="425" t="s">
        <v>51</v>
      </c>
      <c r="H55" s="428"/>
      <c r="I55" s="422">
        <v>2.0</v>
      </c>
      <c r="J55" s="425">
        <v>2.75E8</v>
      </c>
      <c r="K55" s="428"/>
      <c r="L55" s="425" t="s">
        <v>85</v>
      </c>
      <c r="M55" s="467" t="s">
        <v>785</v>
      </c>
      <c r="N55" s="428"/>
      <c r="O55" s="32">
        <v>308.0</v>
      </c>
    </row>
    <row r="56">
      <c r="A56" s="20" t="s">
        <v>786</v>
      </c>
      <c r="B56" s="111"/>
      <c r="C56" s="22">
        <v>5000000.0</v>
      </c>
      <c r="D56" s="26">
        <v>2019.0</v>
      </c>
      <c r="E56" s="26" t="s">
        <v>2313</v>
      </c>
      <c r="F56" s="26" t="s">
        <v>64</v>
      </c>
      <c r="G56" s="26" t="s">
        <v>23</v>
      </c>
      <c r="H56" s="28"/>
      <c r="I56" s="26">
        <v>2.0</v>
      </c>
      <c r="J56" s="27"/>
      <c r="K56" s="28"/>
      <c r="L56" s="34" t="s">
        <v>571</v>
      </c>
      <c r="M56" s="467" t="s">
        <v>788</v>
      </c>
      <c r="N56" s="31"/>
      <c r="O56" s="32">
        <v>307.0</v>
      </c>
    </row>
    <row r="57">
      <c r="A57" s="20" t="s">
        <v>789</v>
      </c>
      <c r="B57" s="111"/>
      <c r="C57" s="22">
        <v>1.0E8</v>
      </c>
      <c r="D57" s="26">
        <v>2019.0</v>
      </c>
      <c r="E57" s="26" t="s">
        <v>2204</v>
      </c>
      <c r="F57" s="26" t="s">
        <v>2153</v>
      </c>
      <c r="G57" s="26" t="s">
        <v>23</v>
      </c>
      <c r="H57" s="28"/>
      <c r="I57" s="26">
        <v>3.0</v>
      </c>
      <c r="J57" s="27"/>
      <c r="K57" s="28"/>
      <c r="L57" s="34" t="s">
        <v>278</v>
      </c>
      <c r="M57" s="467" t="s">
        <v>791</v>
      </c>
      <c r="N57" s="31"/>
      <c r="O57" s="32">
        <v>306.0</v>
      </c>
    </row>
    <row r="58">
      <c r="A58" s="20" t="s">
        <v>792</v>
      </c>
      <c r="B58" s="111" t="s">
        <v>793</v>
      </c>
      <c r="C58" s="22">
        <v>2.78E7</v>
      </c>
      <c r="D58" s="26">
        <v>2019.0</v>
      </c>
      <c r="E58" s="26" t="s">
        <v>2263</v>
      </c>
      <c r="F58" s="26" t="s">
        <v>50</v>
      </c>
      <c r="G58" s="26" t="s">
        <v>51</v>
      </c>
      <c r="H58" s="28"/>
      <c r="I58" s="26">
        <v>5.0</v>
      </c>
      <c r="J58" s="27"/>
      <c r="K58" s="28"/>
      <c r="L58" s="34" t="s">
        <v>507</v>
      </c>
      <c r="M58" s="467" t="s">
        <v>795</v>
      </c>
      <c r="N58" s="31"/>
      <c r="O58" s="32">
        <v>305.0</v>
      </c>
    </row>
    <row r="59">
      <c r="A59" s="20" t="s">
        <v>588</v>
      </c>
      <c r="B59" s="111"/>
      <c r="C59" s="22">
        <v>4.19E8</v>
      </c>
      <c r="D59" s="26">
        <v>2019.0</v>
      </c>
      <c r="E59" s="26" t="s">
        <v>2181</v>
      </c>
      <c r="F59" s="26" t="s">
        <v>28</v>
      </c>
      <c r="G59" s="26" t="s">
        <v>51</v>
      </c>
      <c r="H59" s="28"/>
      <c r="I59" s="26">
        <v>2.0</v>
      </c>
      <c r="J59" s="27">
        <v>4.2E8</v>
      </c>
      <c r="K59" s="28"/>
      <c r="L59" s="34" t="s">
        <v>798</v>
      </c>
      <c r="M59" s="35" t="s">
        <v>799</v>
      </c>
      <c r="N59" s="31"/>
      <c r="O59" s="32">
        <v>304.0</v>
      </c>
    </row>
    <row r="60">
      <c r="A60" s="20" t="s">
        <v>800</v>
      </c>
      <c r="B60" s="98" t="s">
        <v>801</v>
      </c>
      <c r="C60" s="22">
        <v>4900000.0</v>
      </c>
      <c r="D60" s="26">
        <v>2019.0</v>
      </c>
      <c r="E60" s="26" t="s">
        <v>2225</v>
      </c>
      <c r="F60" s="26" t="s">
        <v>22</v>
      </c>
      <c r="G60" s="26"/>
      <c r="H60" s="28"/>
      <c r="I60" s="26">
        <v>2.0</v>
      </c>
      <c r="J60" s="27">
        <v>4900000.0</v>
      </c>
      <c r="K60" s="28"/>
      <c r="L60" s="34" t="s">
        <v>725</v>
      </c>
      <c r="M60" s="467" t="s">
        <v>804</v>
      </c>
      <c r="N60" s="31"/>
      <c r="O60" s="32">
        <v>303.0</v>
      </c>
    </row>
    <row r="61">
      <c r="A61" s="20" t="s">
        <v>805</v>
      </c>
      <c r="B61" s="98" t="s">
        <v>806</v>
      </c>
      <c r="C61" s="22">
        <v>2.6E7</v>
      </c>
      <c r="D61" s="26">
        <v>2019.0</v>
      </c>
      <c r="E61" s="26" t="s">
        <v>2217</v>
      </c>
      <c r="F61" s="26" t="s">
        <v>28</v>
      </c>
      <c r="G61" s="26" t="s">
        <v>23</v>
      </c>
      <c r="H61" s="28"/>
      <c r="I61" s="26">
        <v>3.0</v>
      </c>
      <c r="J61" s="27">
        <v>2.6E7</v>
      </c>
      <c r="K61" s="28"/>
      <c r="L61" s="34" t="s">
        <v>247</v>
      </c>
      <c r="M61" s="467" t="s">
        <v>809</v>
      </c>
      <c r="N61" s="31"/>
      <c r="O61" s="32">
        <v>302.0</v>
      </c>
    </row>
    <row r="62">
      <c r="A62" s="20" t="s">
        <v>2518</v>
      </c>
      <c r="B62" s="51"/>
      <c r="C62" s="22">
        <v>3.0E9</v>
      </c>
      <c r="D62" s="26">
        <v>2019.0</v>
      </c>
      <c r="E62" s="26" t="s">
        <v>2519</v>
      </c>
      <c r="F62" s="26" t="s">
        <v>50</v>
      </c>
      <c r="G62" s="26" t="s">
        <v>51</v>
      </c>
      <c r="H62" s="28"/>
      <c r="I62" s="26">
        <v>2.0</v>
      </c>
      <c r="J62" s="27">
        <v>1.2E9</v>
      </c>
      <c r="K62" s="28"/>
      <c r="L62" s="34" t="s">
        <v>813</v>
      </c>
      <c r="M62" s="467" t="s">
        <v>814</v>
      </c>
      <c r="N62" s="31"/>
      <c r="O62" s="32">
        <v>301.0</v>
      </c>
    </row>
    <row r="63">
      <c r="A63" s="20" t="s">
        <v>810</v>
      </c>
      <c r="B63" s="51"/>
      <c r="C63" s="22">
        <v>3.8E8</v>
      </c>
      <c r="D63" s="26">
        <v>2019.0</v>
      </c>
      <c r="E63" s="26" t="s">
        <v>2184</v>
      </c>
      <c r="F63" s="26" t="s">
        <v>50</v>
      </c>
      <c r="G63" s="26" t="s">
        <v>51</v>
      </c>
      <c r="H63" s="28"/>
      <c r="I63" s="26">
        <v>2.0</v>
      </c>
      <c r="J63" s="27">
        <v>3.8E8</v>
      </c>
      <c r="K63" s="28"/>
      <c r="L63" s="34" t="s">
        <v>813</v>
      </c>
      <c r="M63" s="467" t="s">
        <v>814</v>
      </c>
      <c r="N63" s="31"/>
      <c r="O63" s="32">
        <v>300.0</v>
      </c>
    </row>
    <row r="64">
      <c r="A64" s="103" t="s">
        <v>815</v>
      </c>
      <c r="B64" s="420"/>
      <c r="C64" s="22">
        <v>300000.0</v>
      </c>
      <c r="D64" s="26">
        <v>2018.0</v>
      </c>
      <c r="E64" s="26" t="s">
        <v>2433</v>
      </c>
      <c r="F64" s="26" t="s">
        <v>2153</v>
      </c>
      <c r="G64" s="26" t="s">
        <v>23</v>
      </c>
      <c r="H64" s="26"/>
      <c r="I64" s="26">
        <v>3.0</v>
      </c>
      <c r="J64" s="513"/>
      <c r="K64" s="28"/>
      <c r="L64" s="105" t="s">
        <v>817</v>
      </c>
      <c r="M64" s="106" t="s">
        <v>818</v>
      </c>
      <c r="N64" s="107"/>
      <c r="O64" s="32">
        <v>299.0</v>
      </c>
    </row>
    <row r="65">
      <c r="A65" s="103" t="s">
        <v>819</v>
      </c>
      <c r="B65" s="420"/>
      <c r="C65" s="22">
        <v>1500000.0</v>
      </c>
      <c r="D65" s="26">
        <v>2018.0</v>
      </c>
      <c r="E65" s="26" t="s">
        <v>2376</v>
      </c>
      <c r="F65" s="26" t="s">
        <v>2514</v>
      </c>
      <c r="G65" s="26" t="s">
        <v>23</v>
      </c>
      <c r="H65" s="26"/>
      <c r="I65" s="26">
        <v>4.0</v>
      </c>
      <c r="J65" s="513"/>
      <c r="K65" s="28"/>
      <c r="L65" s="105" t="s">
        <v>821</v>
      </c>
      <c r="M65" s="106" t="s">
        <v>822</v>
      </c>
      <c r="N65" s="107"/>
      <c r="O65" s="32">
        <v>298.0</v>
      </c>
    </row>
    <row r="66">
      <c r="A66" s="103" t="s">
        <v>823</v>
      </c>
      <c r="B66" s="420" t="s">
        <v>824</v>
      </c>
      <c r="C66" s="22">
        <v>1.4E7</v>
      </c>
      <c r="D66" s="26">
        <v>2018.0</v>
      </c>
      <c r="E66" s="26" t="s">
        <v>2170</v>
      </c>
      <c r="F66" s="26" t="s">
        <v>2153</v>
      </c>
      <c r="G66" s="26" t="s">
        <v>51</v>
      </c>
      <c r="H66" s="28"/>
      <c r="I66" s="26">
        <v>2.0</v>
      </c>
      <c r="J66" s="513" t="str">
        <f t="shared" ref="J66:J69" si="2">IF(C66&gt;100000000,C66,"")</f>
        <v/>
      </c>
      <c r="K66" s="28"/>
      <c r="L66" s="105" t="s">
        <v>702</v>
      </c>
      <c r="M66" s="106" t="s">
        <v>826</v>
      </c>
      <c r="N66" s="109"/>
      <c r="O66" s="32">
        <v>297.0</v>
      </c>
    </row>
    <row r="67">
      <c r="A67" s="421" t="s">
        <v>827</v>
      </c>
      <c r="B67" s="422"/>
      <c r="C67" s="423">
        <v>9.4E7</v>
      </c>
      <c r="D67" s="422">
        <v>2018.0</v>
      </c>
      <c r="E67" s="422" t="s">
        <v>2165</v>
      </c>
      <c r="F67" s="26" t="s">
        <v>22</v>
      </c>
      <c r="G67" s="425" t="s">
        <v>23</v>
      </c>
      <c r="H67" s="426"/>
      <c r="I67" s="422">
        <v>3.0</v>
      </c>
      <c r="J67" s="513" t="str">
        <f t="shared" si="2"/>
        <v/>
      </c>
      <c r="K67" s="110"/>
      <c r="L67" s="26" t="s">
        <v>829</v>
      </c>
      <c r="M67" s="465" t="s">
        <v>830</v>
      </c>
      <c r="N67" s="427"/>
      <c r="O67" s="32">
        <v>296.0</v>
      </c>
    </row>
    <row r="68">
      <c r="A68" s="421" t="s">
        <v>831</v>
      </c>
      <c r="B68" s="422"/>
      <c r="C68" s="423">
        <v>2.02E8</v>
      </c>
      <c r="D68" s="422">
        <v>2018.0</v>
      </c>
      <c r="E68" s="422" t="s">
        <v>2189</v>
      </c>
      <c r="F68" s="26" t="s">
        <v>28</v>
      </c>
      <c r="G68" s="430" t="s">
        <v>51</v>
      </c>
      <c r="H68" s="426"/>
      <c r="I68" s="422">
        <v>2.0</v>
      </c>
      <c r="J68" s="513">
        <f t="shared" si="2"/>
        <v>202000000</v>
      </c>
      <c r="K68" s="110"/>
      <c r="L68" s="26" t="s">
        <v>834</v>
      </c>
      <c r="M68" s="465" t="s">
        <v>835</v>
      </c>
      <c r="N68" s="427"/>
      <c r="O68" s="32">
        <v>295.0</v>
      </c>
    </row>
    <row r="69">
      <c r="A69" s="421" t="s">
        <v>836</v>
      </c>
      <c r="B69" s="422"/>
      <c r="C69" s="423">
        <v>5.25E7</v>
      </c>
      <c r="D69" s="422">
        <v>2018.0</v>
      </c>
      <c r="E69" s="422" t="s">
        <v>2167</v>
      </c>
      <c r="F69" s="422" t="s">
        <v>28</v>
      </c>
      <c r="G69" s="430" t="s">
        <v>51</v>
      </c>
      <c r="H69" s="426"/>
      <c r="I69" s="422">
        <v>2.0</v>
      </c>
      <c r="J69" s="513" t="str">
        <f t="shared" si="2"/>
        <v/>
      </c>
      <c r="K69" s="110"/>
      <c r="L69" s="26" t="s">
        <v>314</v>
      </c>
      <c r="M69" s="465" t="s">
        <v>838</v>
      </c>
      <c r="N69" s="431"/>
      <c r="O69" s="32">
        <v>294.0</v>
      </c>
    </row>
    <row r="70">
      <c r="A70" s="421" t="s">
        <v>839</v>
      </c>
      <c r="B70" s="422"/>
      <c r="C70" s="423">
        <v>1.0E8</v>
      </c>
      <c r="D70" s="422">
        <v>2018.0</v>
      </c>
      <c r="E70" s="422" t="s">
        <v>2205</v>
      </c>
      <c r="F70" s="422" t="s">
        <v>28</v>
      </c>
      <c r="G70" s="419" t="s">
        <v>23</v>
      </c>
      <c r="H70" s="426"/>
      <c r="I70" s="422">
        <v>1.0</v>
      </c>
      <c r="J70" s="514">
        <v>1.0E8</v>
      </c>
      <c r="K70" s="110"/>
      <c r="L70" s="26" t="s">
        <v>841</v>
      </c>
      <c r="M70" s="465" t="s">
        <v>842</v>
      </c>
      <c r="N70" s="431"/>
      <c r="O70" s="32">
        <v>293.0</v>
      </c>
    </row>
    <row r="71">
      <c r="A71" s="421" t="s">
        <v>843</v>
      </c>
      <c r="B71" s="422"/>
      <c r="C71" s="423">
        <v>3.83E8</v>
      </c>
      <c r="D71" s="422">
        <v>2018.0</v>
      </c>
      <c r="E71" s="422" t="s">
        <v>2183</v>
      </c>
      <c r="F71" s="422" t="s">
        <v>43</v>
      </c>
      <c r="G71" s="419" t="s">
        <v>23</v>
      </c>
      <c r="H71" s="426"/>
      <c r="I71" s="422">
        <v>3.0</v>
      </c>
      <c r="J71" s="423">
        <v>3.83E8</v>
      </c>
      <c r="K71" s="110"/>
      <c r="L71" s="26" t="s">
        <v>846</v>
      </c>
      <c r="M71" s="465" t="s">
        <v>847</v>
      </c>
      <c r="N71" s="465" t="s">
        <v>848</v>
      </c>
      <c r="O71" s="32">
        <v>292.0</v>
      </c>
    </row>
    <row r="72">
      <c r="A72" s="114" t="s">
        <v>849</v>
      </c>
      <c r="B72" s="115" t="s">
        <v>850</v>
      </c>
      <c r="C72" s="22">
        <v>700000.0</v>
      </c>
      <c r="D72" s="26">
        <v>2018.0</v>
      </c>
      <c r="E72" s="34" t="s">
        <v>2409</v>
      </c>
      <c r="F72" s="115" t="s">
        <v>22</v>
      </c>
      <c r="G72" s="419" t="s">
        <v>142</v>
      </c>
      <c r="H72" s="34" t="s">
        <v>29</v>
      </c>
      <c r="I72" s="26">
        <v>2.0</v>
      </c>
      <c r="J72" s="515"/>
      <c r="K72" s="53"/>
      <c r="L72" s="105" t="s">
        <v>852</v>
      </c>
      <c r="M72" s="116" t="s">
        <v>853</v>
      </c>
      <c r="N72" s="432"/>
      <c r="O72" s="32">
        <v>291.0</v>
      </c>
    </row>
    <row r="73">
      <c r="A73" s="421" t="s">
        <v>588</v>
      </c>
      <c r="B73" s="422"/>
      <c r="C73" s="423">
        <v>5.0E7</v>
      </c>
      <c r="D73" s="422">
        <v>2018.0</v>
      </c>
      <c r="E73" s="422" t="s">
        <v>2214</v>
      </c>
      <c r="F73" s="422" t="s">
        <v>28</v>
      </c>
      <c r="G73" s="422" t="s">
        <v>23</v>
      </c>
      <c r="H73" s="422" t="s">
        <v>29</v>
      </c>
      <c r="I73" s="422">
        <v>1.0</v>
      </c>
      <c r="J73" s="513">
        <v>5.0E7</v>
      </c>
      <c r="K73" s="110"/>
      <c r="L73" s="26" t="s">
        <v>507</v>
      </c>
      <c r="M73" s="465" t="s">
        <v>856</v>
      </c>
      <c r="N73" s="431"/>
      <c r="O73" s="32">
        <v>290.0</v>
      </c>
    </row>
    <row r="74">
      <c r="A74" s="433" t="s">
        <v>857</v>
      </c>
      <c r="B74" s="430"/>
      <c r="C74" s="434">
        <v>3.7E7</v>
      </c>
      <c r="D74" s="422">
        <v>2018.0</v>
      </c>
      <c r="E74" s="425" t="s">
        <v>2255</v>
      </c>
      <c r="F74" s="430" t="s">
        <v>43</v>
      </c>
      <c r="G74" s="430" t="s">
        <v>51</v>
      </c>
      <c r="H74" s="435"/>
      <c r="I74" s="422">
        <v>2.0</v>
      </c>
      <c r="J74" s="515"/>
      <c r="K74" s="120"/>
      <c r="L74" s="112" t="s">
        <v>859</v>
      </c>
      <c r="M74" s="436" t="s">
        <v>860</v>
      </c>
      <c r="N74" s="437" t="s">
        <v>861</v>
      </c>
      <c r="O74" s="32">
        <v>289.0</v>
      </c>
    </row>
    <row r="75">
      <c r="A75" s="421" t="s">
        <v>862</v>
      </c>
      <c r="B75" s="422"/>
      <c r="C75" s="423">
        <v>1.0E7</v>
      </c>
      <c r="D75" s="422">
        <v>2018.0</v>
      </c>
      <c r="E75" s="422" t="s">
        <v>2290</v>
      </c>
      <c r="F75" s="422" t="s">
        <v>129</v>
      </c>
      <c r="G75" s="422" t="s">
        <v>23</v>
      </c>
      <c r="H75" s="426"/>
      <c r="I75" s="422">
        <v>1.0</v>
      </c>
      <c r="J75" s="515"/>
      <c r="K75" s="110"/>
      <c r="L75" s="26" t="s">
        <v>147</v>
      </c>
      <c r="M75" s="465" t="s">
        <v>864</v>
      </c>
      <c r="N75" s="431"/>
      <c r="O75" s="32">
        <v>288.0</v>
      </c>
    </row>
    <row r="76">
      <c r="A76" s="421" t="s">
        <v>865</v>
      </c>
      <c r="B76" s="422"/>
      <c r="C76" s="423">
        <v>9.2283889E7</v>
      </c>
      <c r="D76" s="422">
        <v>2018.0</v>
      </c>
      <c r="E76" s="422" t="s">
        <v>2234</v>
      </c>
      <c r="F76" s="422" t="s">
        <v>28</v>
      </c>
      <c r="G76" s="419" t="s">
        <v>23</v>
      </c>
      <c r="H76" s="426"/>
      <c r="I76" s="422">
        <v>1.0</v>
      </c>
      <c r="J76" s="515"/>
      <c r="K76" s="123"/>
      <c r="L76" s="26" t="s">
        <v>867</v>
      </c>
      <c r="M76" s="465" t="s">
        <v>868</v>
      </c>
      <c r="N76" s="431"/>
      <c r="O76" s="32">
        <v>287.0</v>
      </c>
    </row>
    <row r="77">
      <c r="A77" s="433" t="s">
        <v>869</v>
      </c>
      <c r="B77" s="430" t="s">
        <v>870</v>
      </c>
      <c r="C77" s="434">
        <v>5000000.0</v>
      </c>
      <c r="D77" s="438">
        <v>2018.0</v>
      </c>
      <c r="E77" s="425" t="s">
        <v>2314</v>
      </c>
      <c r="F77" s="430" t="s">
        <v>43</v>
      </c>
      <c r="G77" s="430" t="s">
        <v>23</v>
      </c>
      <c r="H77" s="435"/>
      <c r="I77" s="422">
        <v>3.0</v>
      </c>
      <c r="J77" s="515"/>
      <c r="K77" s="120"/>
      <c r="L77" s="112" t="s">
        <v>688</v>
      </c>
      <c r="M77" s="436" t="s">
        <v>872</v>
      </c>
      <c r="N77" s="432"/>
      <c r="O77" s="32">
        <v>286.0</v>
      </c>
    </row>
    <row r="78">
      <c r="A78" s="421" t="s">
        <v>873</v>
      </c>
      <c r="B78" s="422" t="s">
        <v>874</v>
      </c>
      <c r="C78" s="423">
        <v>1.4E7</v>
      </c>
      <c r="D78" s="422">
        <v>2018.0</v>
      </c>
      <c r="E78" s="422" t="s">
        <v>2282</v>
      </c>
      <c r="F78" s="422" t="s">
        <v>2163</v>
      </c>
      <c r="G78" s="422" t="s">
        <v>23</v>
      </c>
      <c r="H78" s="426"/>
      <c r="I78" s="422">
        <v>2.0</v>
      </c>
      <c r="J78" s="515"/>
      <c r="K78" s="110"/>
      <c r="L78" s="26" t="s">
        <v>876</v>
      </c>
      <c r="M78" s="465" t="s">
        <v>877</v>
      </c>
      <c r="N78" s="431"/>
      <c r="O78" s="32">
        <v>285.0</v>
      </c>
    </row>
    <row r="79">
      <c r="A79" s="421" t="s">
        <v>878</v>
      </c>
      <c r="B79" s="422"/>
      <c r="C79" s="423">
        <v>1.48E7</v>
      </c>
      <c r="D79" s="422">
        <v>2018.0</v>
      </c>
      <c r="E79" s="422" t="s">
        <v>2281</v>
      </c>
      <c r="F79" s="422" t="s">
        <v>28</v>
      </c>
      <c r="G79" s="422" t="s">
        <v>51</v>
      </c>
      <c r="H79" s="426"/>
      <c r="I79" s="422">
        <v>2.0</v>
      </c>
      <c r="J79" s="515"/>
      <c r="K79" s="110"/>
      <c r="L79" s="26" t="s">
        <v>880</v>
      </c>
      <c r="M79" s="465" t="s">
        <v>881</v>
      </c>
      <c r="N79" s="431"/>
      <c r="O79" s="32">
        <v>284.0</v>
      </c>
    </row>
    <row r="80">
      <c r="A80" s="421" t="s">
        <v>882</v>
      </c>
      <c r="B80" s="422"/>
      <c r="C80" s="423">
        <v>380000.0</v>
      </c>
      <c r="D80" s="422">
        <v>2018.0</v>
      </c>
      <c r="E80" s="422" t="s">
        <v>2429</v>
      </c>
      <c r="F80" s="422" t="s">
        <v>22</v>
      </c>
      <c r="G80" s="422" t="s">
        <v>23</v>
      </c>
      <c r="H80" s="426"/>
      <c r="I80" s="422">
        <v>4.0</v>
      </c>
      <c r="J80" s="515"/>
      <c r="K80" s="110"/>
      <c r="L80" s="26" t="s">
        <v>507</v>
      </c>
      <c r="M80" s="465" t="s">
        <v>884</v>
      </c>
      <c r="N80" s="431"/>
      <c r="O80" s="32">
        <v>283.0</v>
      </c>
    </row>
    <row r="81">
      <c r="A81" s="421" t="s">
        <v>341</v>
      </c>
      <c r="B81" s="422"/>
      <c r="C81" s="423">
        <v>2000000.0</v>
      </c>
      <c r="D81" s="422">
        <v>2018.0</v>
      </c>
      <c r="E81" s="422" t="s">
        <v>2362</v>
      </c>
      <c r="F81" s="422" t="s">
        <v>129</v>
      </c>
      <c r="G81" s="422" t="s">
        <v>23</v>
      </c>
      <c r="H81" s="426"/>
      <c r="I81" s="422">
        <v>1.0</v>
      </c>
      <c r="J81" s="515"/>
      <c r="K81" s="110"/>
      <c r="L81" s="26" t="s">
        <v>886</v>
      </c>
      <c r="M81" s="465" t="s">
        <v>887</v>
      </c>
      <c r="N81" s="431"/>
      <c r="O81" s="32">
        <v>282.0</v>
      </c>
    </row>
    <row r="82">
      <c r="A82" s="433" t="s">
        <v>888</v>
      </c>
      <c r="B82" s="430" t="s">
        <v>889</v>
      </c>
      <c r="C82" s="434">
        <v>1.5E8</v>
      </c>
      <c r="D82" s="438">
        <v>2018.0</v>
      </c>
      <c r="E82" s="425" t="s">
        <v>2195</v>
      </c>
      <c r="F82" s="430" t="s">
        <v>2163</v>
      </c>
      <c r="G82" s="430" t="s">
        <v>23</v>
      </c>
      <c r="H82" s="435"/>
      <c r="I82" s="438">
        <v>1.0</v>
      </c>
      <c r="J82" s="513">
        <v>1.5E8</v>
      </c>
      <c r="K82" s="120"/>
      <c r="L82" s="112" t="s">
        <v>507</v>
      </c>
      <c r="M82" s="436" t="s">
        <v>892</v>
      </c>
      <c r="N82" s="432"/>
      <c r="O82" s="32">
        <v>281.0</v>
      </c>
    </row>
    <row r="83">
      <c r="A83" s="421" t="s">
        <v>893</v>
      </c>
      <c r="B83" s="422" t="s">
        <v>894</v>
      </c>
      <c r="C83" s="423">
        <v>3000000.0</v>
      </c>
      <c r="D83" s="422">
        <v>2018.0</v>
      </c>
      <c r="E83" s="422" t="s">
        <v>2342</v>
      </c>
      <c r="F83" s="422" t="s">
        <v>2514</v>
      </c>
      <c r="G83" s="422" t="s">
        <v>23</v>
      </c>
      <c r="H83" s="426"/>
      <c r="I83" s="422">
        <v>4.0</v>
      </c>
      <c r="J83" s="515"/>
      <c r="K83" s="110"/>
      <c r="L83" s="26" t="s">
        <v>896</v>
      </c>
      <c r="M83" s="465" t="s">
        <v>897</v>
      </c>
      <c r="N83" s="431"/>
      <c r="O83" s="32">
        <v>280.0</v>
      </c>
    </row>
    <row r="84">
      <c r="A84" s="421" t="s">
        <v>898</v>
      </c>
      <c r="B84" s="422" t="s">
        <v>899</v>
      </c>
      <c r="C84" s="423">
        <v>1.2E8</v>
      </c>
      <c r="D84" s="422">
        <v>2018.0</v>
      </c>
      <c r="E84" s="422" t="s">
        <v>2200</v>
      </c>
      <c r="F84" s="422" t="s">
        <v>2163</v>
      </c>
      <c r="G84" s="422" t="s">
        <v>51</v>
      </c>
      <c r="H84" s="426"/>
      <c r="I84" s="422">
        <v>1.0</v>
      </c>
      <c r="J84" s="513">
        <v>1.2E8</v>
      </c>
      <c r="K84" s="110"/>
      <c r="L84" s="26" t="s">
        <v>902</v>
      </c>
      <c r="M84" s="465" t="s">
        <v>903</v>
      </c>
      <c r="N84" s="431"/>
      <c r="O84" s="32">
        <v>279.0</v>
      </c>
    </row>
    <row r="85">
      <c r="A85" s="421" t="s">
        <v>144</v>
      </c>
      <c r="B85" s="422"/>
      <c r="C85" s="423">
        <v>40000.0</v>
      </c>
      <c r="D85" s="422">
        <v>2018.0</v>
      </c>
      <c r="E85" s="422" t="s">
        <v>2496</v>
      </c>
      <c r="F85" s="422" t="s">
        <v>28</v>
      </c>
      <c r="G85" s="422" t="s">
        <v>23</v>
      </c>
      <c r="H85" s="426"/>
      <c r="I85" s="422">
        <v>3.0</v>
      </c>
      <c r="J85" s="515"/>
      <c r="K85" s="110"/>
      <c r="L85" s="53" t="s">
        <v>905</v>
      </c>
      <c r="M85" s="125" t="s">
        <v>906</v>
      </c>
      <c r="N85" s="432"/>
      <c r="O85" s="32">
        <v>278.0</v>
      </c>
    </row>
    <row r="86">
      <c r="A86" s="421" t="s">
        <v>907</v>
      </c>
      <c r="B86" s="126" t="s">
        <v>908</v>
      </c>
      <c r="C86" s="423">
        <v>1.0E8</v>
      </c>
      <c r="D86" s="422">
        <v>2018.0</v>
      </c>
      <c r="E86" s="422" t="s">
        <v>2206</v>
      </c>
      <c r="F86" s="422" t="s">
        <v>2163</v>
      </c>
      <c r="G86" s="422" t="s">
        <v>51</v>
      </c>
      <c r="H86" s="426"/>
      <c r="I86" s="422">
        <v>5.0</v>
      </c>
      <c r="J86" s="513">
        <v>1.0E8</v>
      </c>
      <c r="K86" s="110"/>
      <c r="L86" s="26" t="s">
        <v>85</v>
      </c>
      <c r="M86" s="465" t="s">
        <v>910</v>
      </c>
      <c r="N86" s="431"/>
      <c r="O86" s="32">
        <v>277.0</v>
      </c>
    </row>
    <row r="87">
      <c r="A87" s="421" t="s">
        <v>911</v>
      </c>
      <c r="B87" s="422" t="s">
        <v>912</v>
      </c>
      <c r="C87" s="423">
        <v>1.1E9</v>
      </c>
      <c r="D87" s="422">
        <v>2018.0</v>
      </c>
      <c r="E87" s="422" t="s">
        <v>2177</v>
      </c>
      <c r="F87" s="422" t="s">
        <v>64</v>
      </c>
      <c r="G87" s="440" t="s">
        <v>51</v>
      </c>
      <c r="H87" s="426"/>
      <c r="I87" s="422">
        <v>4.0</v>
      </c>
      <c r="J87" s="514">
        <v>1.1E9</v>
      </c>
      <c r="K87" s="110"/>
      <c r="L87" s="26" t="s">
        <v>571</v>
      </c>
      <c r="M87" s="465" t="s">
        <v>915</v>
      </c>
      <c r="N87" s="431"/>
      <c r="O87" s="32">
        <v>276.0</v>
      </c>
    </row>
    <row r="88">
      <c r="A88" s="421" t="s">
        <v>916</v>
      </c>
      <c r="B88" s="422"/>
      <c r="C88" s="423">
        <v>3000000.0</v>
      </c>
      <c r="D88" s="422">
        <v>2018.0</v>
      </c>
      <c r="E88" s="422" t="s">
        <v>2343</v>
      </c>
      <c r="F88" s="422" t="s">
        <v>2163</v>
      </c>
      <c r="G88" s="422" t="s">
        <v>51</v>
      </c>
      <c r="H88" s="426"/>
      <c r="I88" s="422">
        <v>3.0</v>
      </c>
      <c r="J88" s="515"/>
      <c r="K88" s="110"/>
      <c r="L88" s="26" t="s">
        <v>918</v>
      </c>
      <c r="M88" s="465" t="s">
        <v>919</v>
      </c>
      <c r="N88" s="431"/>
      <c r="O88" s="32">
        <v>275.0</v>
      </c>
    </row>
    <row r="89">
      <c r="A89" s="421" t="s">
        <v>920</v>
      </c>
      <c r="B89" s="422"/>
      <c r="C89" s="423">
        <v>880000.0</v>
      </c>
      <c r="D89" s="422">
        <v>2018.0</v>
      </c>
      <c r="E89" s="422" t="s">
        <v>2400</v>
      </c>
      <c r="F89" s="422" t="s">
        <v>28</v>
      </c>
      <c r="G89" s="422" t="s">
        <v>23</v>
      </c>
      <c r="H89" s="426"/>
      <c r="I89" s="422">
        <v>3.0</v>
      </c>
      <c r="J89" s="515"/>
      <c r="K89" s="110"/>
      <c r="L89" s="26" t="s">
        <v>922</v>
      </c>
      <c r="M89" s="465" t="s">
        <v>923</v>
      </c>
      <c r="N89" s="431"/>
      <c r="O89" s="32">
        <v>274.0</v>
      </c>
    </row>
    <row r="90">
      <c r="A90" s="421" t="s">
        <v>924</v>
      </c>
      <c r="B90" s="422" t="s">
        <v>925</v>
      </c>
      <c r="C90" s="423">
        <v>1300000.0</v>
      </c>
      <c r="D90" s="422">
        <v>2018.0</v>
      </c>
      <c r="E90" s="422" t="s">
        <v>2384</v>
      </c>
      <c r="F90" s="422" t="s">
        <v>43</v>
      </c>
      <c r="G90" s="440" t="s">
        <v>51</v>
      </c>
      <c r="H90" s="426"/>
      <c r="I90" s="422">
        <v>4.0</v>
      </c>
      <c r="J90" s="515"/>
      <c r="K90" s="123"/>
      <c r="L90" s="26" t="s">
        <v>927</v>
      </c>
      <c r="M90" s="465" t="s">
        <v>928</v>
      </c>
      <c r="N90" s="431"/>
      <c r="O90" s="32">
        <v>273.0</v>
      </c>
    </row>
    <row r="91">
      <c r="A91" s="421" t="s">
        <v>929</v>
      </c>
      <c r="B91" s="422" t="s">
        <v>930</v>
      </c>
      <c r="C91" s="423">
        <v>4.8E7</v>
      </c>
      <c r="D91" s="422">
        <v>2018.0</v>
      </c>
      <c r="E91" s="422" t="s">
        <v>2247</v>
      </c>
      <c r="F91" s="422" t="s">
        <v>28</v>
      </c>
      <c r="G91" s="422" t="s">
        <v>51</v>
      </c>
      <c r="H91" s="426"/>
      <c r="I91" s="422">
        <v>2.0</v>
      </c>
      <c r="J91" s="515"/>
      <c r="K91" s="110"/>
      <c r="L91" s="26" t="s">
        <v>932</v>
      </c>
      <c r="M91" s="465" t="s">
        <v>933</v>
      </c>
      <c r="N91" s="431"/>
      <c r="O91" s="32">
        <v>272.0</v>
      </c>
    </row>
    <row r="92">
      <c r="A92" s="421" t="s">
        <v>407</v>
      </c>
      <c r="B92" s="422"/>
      <c r="C92" s="423">
        <v>3.3E8</v>
      </c>
      <c r="D92" s="422">
        <v>2018.0</v>
      </c>
      <c r="E92" s="422" t="s">
        <v>2186</v>
      </c>
      <c r="F92" s="422" t="s">
        <v>2163</v>
      </c>
      <c r="G92" s="422" t="s">
        <v>51</v>
      </c>
      <c r="H92" s="426"/>
      <c r="I92" s="422">
        <v>1.0</v>
      </c>
      <c r="J92" s="514">
        <v>3.3E8</v>
      </c>
      <c r="K92" s="110"/>
      <c r="L92" s="26" t="s">
        <v>286</v>
      </c>
      <c r="M92" s="465" t="s">
        <v>936</v>
      </c>
      <c r="N92" s="431"/>
      <c r="O92" s="32">
        <v>271.0</v>
      </c>
    </row>
    <row r="93">
      <c r="A93" s="433" t="s">
        <v>937</v>
      </c>
      <c r="B93" s="430" t="s">
        <v>938</v>
      </c>
      <c r="C93" s="434">
        <v>934000.0</v>
      </c>
      <c r="D93" s="438">
        <v>2018.0</v>
      </c>
      <c r="E93" s="425" t="s">
        <v>2399</v>
      </c>
      <c r="F93" s="440" t="s">
        <v>22</v>
      </c>
      <c r="G93" s="419" t="s">
        <v>142</v>
      </c>
      <c r="H93" s="441"/>
      <c r="I93" s="150">
        <v>4.0</v>
      </c>
      <c r="J93" s="515"/>
      <c r="K93" s="120"/>
      <c r="L93" s="53" t="s">
        <v>940</v>
      </c>
      <c r="M93" s="436" t="s">
        <v>941</v>
      </c>
      <c r="N93" s="432"/>
      <c r="O93" s="32">
        <v>270.0</v>
      </c>
    </row>
    <row r="94">
      <c r="A94" s="421" t="s">
        <v>942</v>
      </c>
      <c r="B94" s="422"/>
      <c r="C94" s="423">
        <v>2.7E7</v>
      </c>
      <c r="D94" s="422">
        <v>2018.0</v>
      </c>
      <c r="E94" s="422" t="s">
        <v>2264</v>
      </c>
      <c r="F94" s="422" t="s">
        <v>28</v>
      </c>
      <c r="G94" s="422" t="s">
        <v>23</v>
      </c>
      <c r="H94" s="426"/>
      <c r="I94" s="422">
        <v>2.0</v>
      </c>
      <c r="J94" s="515"/>
      <c r="K94" s="110"/>
      <c r="L94" s="26" t="s">
        <v>314</v>
      </c>
      <c r="M94" s="465" t="s">
        <v>944</v>
      </c>
      <c r="N94" s="431"/>
      <c r="O94" s="32">
        <v>269.0</v>
      </c>
    </row>
    <row r="95">
      <c r="A95" s="442" t="s">
        <v>945</v>
      </c>
      <c r="B95" s="443"/>
      <c r="C95" s="444">
        <v>5000000.0</v>
      </c>
      <c r="D95" s="445">
        <v>2018.0</v>
      </c>
      <c r="E95" s="445" t="s">
        <v>2315</v>
      </c>
      <c r="F95" s="445" t="s">
        <v>43</v>
      </c>
      <c r="G95" s="447" t="s">
        <v>142</v>
      </c>
      <c r="H95" s="448"/>
      <c r="I95" s="445">
        <v>1.0</v>
      </c>
      <c r="J95" s="516"/>
      <c r="K95" s="448"/>
      <c r="L95" s="447" t="s">
        <v>507</v>
      </c>
      <c r="M95" s="469" t="s">
        <v>947</v>
      </c>
      <c r="N95" s="451"/>
      <c r="O95" s="32">
        <v>268.0</v>
      </c>
    </row>
    <row r="96">
      <c r="A96" s="421" t="s">
        <v>948</v>
      </c>
      <c r="B96" s="422" t="s">
        <v>949</v>
      </c>
      <c r="C96" s="423">
        <v>309000.0</v>
      </c>
      <c r="D96" s="422">
        <v>2018.0</v>
      </c>
      <c r="E96" s="422" t="s">
        <v>2432</v>
      </c>
      <c r="F96" s="422" t="s">
        <v>2163</v>
      </c>
      <c r="G96" s="419" t="s">
        <v>51</v>
      </c>
      <c r="H96" s="426"/>
      <c r="I96" s="422">
        <v>2.0</v>
      </c>
      <c r="J96" s="514"/>
      <c r="K96" s="110"/>
      <c r="L96" s="26" t="s">
        <v>34</v>
      </c>
      <c r="M96" s="465" t="s">
        <v>951</v>
      </c>
      <c r="N96" s="431"/>
      <c r="O96" s="32">
        <v>267.0</v>
      </c>
    </row>
    <row r="97">
      <c r="A97" s="442" t="s">
        <v>952</v>
      </c>
      <c r="B97" s="445"/>
      <c r="C97" s="444">
        <v>100000.0</v>
      </c>
      <c r="D97" s="445">
        <v>2018.0</v>
      </c>
      <c r="E97" s="445" t="s">
        <v>2477</v>
      </c>
      <c r="F97" s="445" t="s">
        <v>50</v>
      </c>
      <c r="G97" s="447" t="s">
        <v>23</v>
      </c>
      <c r="H97" s="448"/>
      <c r="I97" s="445">
        <v>1.0</v>
      </c>
      <c r="J97" s="516"/>
      <c r="K97" s="452"/>
      <c r="L97" s="445" t="s">
        <v>608</v>
      </c>
      <c r="M97" s="469" t="s">
        <v>954</v>
      </c>
      <c r="N97" s="453"/>
      <c r="O97" s="32">
        <v>266.0</v>
      </c>
    </row>
    <row r="98">
      <c r="A98" s="20" t="s">
        <v>955</v>
      </c>
      <c r="B98" s="111" t="s">
        <v>956</v>
      </c>
      <c r="C98" s="22">
        <v>411000.0</v>
      </c>
      <c r="D98" s="26">
        <v>2018.0</v>
      </c>
      <c r="E98" s="26" t="s">
        <v>2424</v>
      </c>
      <c r="F98" s="130" t="s">
        <v>28</v>
      </c>
      <c r="G98" s="26" t="s">
        <v>23</v>
      </c>
      <c r="H98" s="28"/>
      <c r="I98" s="26">
        <v>2.0</v>
      </c>
      <c r="J98" s="513"/>
      <c r="K98" s="28"/>
      <c r="L98" s="105" t="s">
        <v>958</v>
      </c>
      <c r="M98" s="106" t="s">
        <v>959</v>
      </c>
      <c r="N98" s="109"/>
      <c r="O98" s="32">
        <v>265.0</v>
      </c>
    </row>
    <row r="99">
      <c r="A99" s="421" t="s">
        <v>960</v>
      </c>
      <c r="B99" s="422"/>
      <c r="C99" s="423">
        <v>3.2E7</v>
      </c>
      <c r="D99" s="422">
        <v>2018.0</v>
      </c>
      <c r="E99" s="422" t="s">
        <v>2258</v>
      </c>
      <c r="F99" s="422" t="s">
        <v>129</v>
      </c>
      <c r="G99" s="419" t="s">
        <v>51</v>
      </c>
      <c r="H99" s="426"/>
      <c r="I99" s="422">
        <v>1.0</v>
      </c>
      <c r="J99" s="514"/>
      <c r="K99" s="110"/>
      <c r="L99" s="26" t="s">
        <v>85</v>
      </c>
      <c r="M99" s="465" t="s">
        <v>962</v>
      </c>
      <c r="N99" s="431"/>
      <c r="O99" s="32">
        <v>264.0</v>
      </c>
    </row>
    <row r="100">
      <c r="A100" s="421" t="s">
        <v>963</v>
      </c>
      <c r="B100" s="422" t="s">
        <v>964</v>
      </c>
      <c r="C100" s="423">
        <v>16300.0</v>
      </c>
      <c r="D100" s="422">
        <v>2018.0</v>
      </c>
      <c r="E100" s="422" t="s">
        <v>2501</v>
      </c>
      <c r="F100" s="422" t="s">
        <v>43</v>
      </c>
      <c r="G100" s="419" t="s">
        <v>23</v>
      </c>
      <c r="H100" s="426"/>
      <c r="I100" s="422">
        <v>4.0</v>
      </c>
      <c r="J100" s="514"/>
      <c r="K100" s="110"/>
      <c r="L100" s="26" t="s">
        <v>147</v>
      </c>
      <c r="M100" s="465" t="s">
        <v>966</v>
      </c>
      <c r="N100" s="431"/>
      <c r="O100" s="32">
        <v>263.0</v>
      </c>
    </row>
    <row r="101">
      <c r="A101" s="20" t="s">
        <v>967</v>
      </c>
      <c r="B101" s="111" t="s">
        <v>968</v>
      </c>
      <c r="C101" s="22">
        <v>93689.0</v>
      </c>
      <c r="D101" s="26">
        <v>2018.0</v>
      </c>
      <c r="E101" s="26" t="s">
        <v>2482</v>
      </c>
      <c r="F101" s="26" t="s">
        <v>2514</v>
      </c>
      <c r="G101" s="26" t="s">
        <v>23</v>
      </c>
      <c r="H101" s="28"/>
      <c r="I101" s="26">
        <v>2.0</v>
      </c>
      <c r="J101" s="513"/>
      <c r="K101" s="28"/>
      <c r="L101" s="105" t="s">
        <v>970</v>
      </c>
      <c r="M101" s="106" t="s">
        <v>971</v>
      </c>
      <c r="N101" s="109"/>
      <c r="O101" s="32">
        <v>262.0</v>
      </c>
    </row>
    <row r="102">
      <c r="A102" s="421" t="s">
        <v>588</v>
      </c>
      <c r="B102" s="422"/>
      <c r="C102" s="423">
        <v>2.9E7</v>
      </c>
      <c r="D102" s="422">
        <v>2018.0</v>
      </c>
      <c r="E102" s="422" t="s">
        <v>2262</v>
      </c>
      <c r="F102" s="422" t="s">
        <v>28</v>
      </c>
      <c r="G102" s="422" t="s">
        <v>23</v>
      </c>
      <c r="H102" s="426"/>
      <c r="I102" s="422">
        <v>2.0</v>
      </c>
      <c r="J102" s="515"/>
      <c r="K102" s="110"/>
      <c r="L102" s="26" t="s">
        <v>973</v>
      </c>
      <c r="M102" s="465" t="s">
        <v>974</v>
      </c>
      <c r="N102" s="465" t="s">
        <v>975</v>
      </c>
      <c r="O102" s="32">
        <v>261.0</v>
      </c>
    </row>
    <row r="103">
      <c r="A103" s="442" t="s">
        <v>976</v>
      </c>
      <c r="B103" s="445"/>
      <c r="C103" s="444">
        <v>4.5E7</v>
      </c>
      <c r="D103" s="445">
        <v>2018.0</v>
      </c>
      <c r="E103" s="445" t="s">
        <v>2249</v>
      </c>
      <c r="F103" s="445" t="s">
        <v>43</v>
      </c>
      <c r="G103" s="445" t="s">
        <v>23</v>
      </c>
      <c r="H103" s="448"/>
      <c r="I103" s="445">
        <v>3.0</v>
      </c>
      <c r="J103" s="517"/>
      <c r="K103" s="452"/>
      <c r="L103" s="445" t="s">
        <v>880</v>
      </c>
      <c r="M103" s="469" t="s">
        <v>978</v>
      </c>
      <c r="N103" s="453"/>
      <c r="O103" s="32">
        <v>260.0</v>
      </c>
    </row>
    <row r="104">
      <c r="A104" s="20" t="s">
        <v>979</v>
      </c>
      <c r="B104" s="98" t="s">
        <v>980</v>
      </c>
      <c r="C104" s="22">
        <v>1100.0</v>
      </c>
      <c r="D104" s="26">
        <v>2016.0</v>
      </c>
      <c r="E104" s="26" t="s">
        <v>2232</v>
      </c>
      <c r="F104" s="26" t="s">
        <v>2153</v>
      </c>
      <c r="G104" s="26" t="s">
        <v>59</v>
      </c>
      <c r="H104" s="28"/>
      <c r="I104" s="26">
        <v>5.0</v>
      </c>
      <c r="J104" s="27">
        <v>188000.0</v>
      </c>
      <c r="K104" s="28"/>
      <c r="L104" s="34" t="s">
        <v>983</v>
      </c>
      <c r="M104" s="467" t="s">
        <v>984</v>
      </c>
      <c r="N104" s="31"/>
      <c r="O104" s="32">
        <v>259.0</v>
      </c>
    </row>
    <row r="105">
      <c r="A105" s="20" t="s">
        <v>985</v>
      </c>
      <c r="B105" s="98" t="s">
        <v>986</v>
      </c>
      <c r="C105" s="22">
        <v>9.0E9</v>
      </c>
      <c r="D105" s="26">
        <v>2018.0</v>
      </c>
      <c r="E105" s="26" t="s">
        <v>2190</v>
      </c>
      <c r="F105" s="26" t="s">
        <v>50</v>
      </c>
      <c r="G105" s="26" t="s">
        <v>51</v>
      </c>
      <c r="H105" s="28"/>
      <c r="I105" s="26">
        <v>1.0</v>
      </c>
      <c r="J105" s="27">
        <v>9.0E9</v>
      </c>
      <c r="K105" s="28"/>
      <c r="L105" s="34" t="s">
        <v>410</v>
      </c>
      <c r="M105" s="467" t="s">
        <v>988</v>
      </c>
      <c r="N105" s="31"/>
      <c r="O105" s="32">
        <v>258.0</v>
      </c>
    </row>
    <row r="106">
      <c r="A106" s="131" t="s">
        <v>989</v>
      </c>
      <c r="B106" s="132"/>
      <c r="C106" s="133">
        <v>1.75E7</v>
      </c>
      <c r="D106" s="26">
        <v>2017.0</v>
      </c>
      <c r="E106" s="105" t="s">
        <v>2276</v>
      </c>
      <c r="F106" s="120" t="s">
        <v>28</v>
      </c>
      <c r="G106" s="120" t="s">
        <v>23</v>
      </c>
      <c r="H106" s="120"/>
      <c r="I106" s="150">
        <v>4.0</v>
      </c>
      <c r="J106" s="515"/>
      <c r="K106" s="120"/>
      <c r="L106" s="120" t="s">
        <v>608</v>
      </c>
      <c r="M106" s="122" t="s">
        <v>991</v>
      </c>
      <c r="N106" s="117"/>
      <c r="O106" s="32">
        <v>257.0</v>
      </c>
    </row>
    <row r="107">
      <c r="A107" s="20" t="s">
        <v>992</v>
      </c>
      <c r="B107" s="26"/>
      <c r="C107" s="22">
        <v>300000.0</v>
      </c>
      <c r="D107" s="26">
        <v>2017.0</v>
      </c>
      <c r="E107" s="26" t="s">
        <v>2434</v>
      </c>
      <c r="F107" s="26" t="s">
        <v>28</v>
      </c>
      <c r="G107" s="130" t="s">
        <v>51</v>
      </c>
      <c r="H107" s="28"/>
      <c r="I107" s="26">
        <v>4.0</v>
      </c>
      <c r="J107" s="515"/>
      <c r="K107" s="110"/>
      <c r="L107" s="26" t="s">
        <v>994</v>
      </c>
      <c r="M107" s="106" t="s">
        <v>995</v>
      </c>
      <c r="N107" s="113"/>
      <c r="O107" s="32">
        <v>256.0</v>
      </c>
    </row>
    <row r="108">
      <c r="A108" s="20" t="s">
        <v>996</v>
      </c>
      <c r="B108" s="26"/>
      <c r="C108" s="22">
        <v>3.2E7</v>
      </c>
      <c r="D108" s="26">
        <v>2017.0</v>
      </c>
      <c r="E108" s="26" t="s">
        <v>2259</v>
      </c>
      <c r="F108" s="26" t="s">
        <v>28</v>
      </c>
      <c r="G108" s="26" t="s">
        <v>23</v>
      </c>
      <c r="H108" s="28"/>
      <c r="I108" s="26">
        <v>4.0</v>
      </c>
      <c r="J108" s="515"/>
      <c r="K108" s="28"/>
      <c r="L108" s="53" t="s">
        <v>998</v>
      </c>
      <c r="M108" s="106" t="s">
        <v>999</v>
      </c>
      <c r="N108" s="113"/>
      <c r="O108" s="32">
        <v>255.0</v>
      </c>
    </row>
    <row r="109">
      <c r="A109" s="20" t="s">
        <v>288</v>
      </c>
      <c r="B109" s="26"/>
      <c r="C109" s="22">
        <v>5.7E7</v>
      </c>
      <c r="D109" s="150">
        <v>2017.0</v>
      </c>
      <c r="E109" s="26" t="s">
        <v>2213</v>
      </c>
      <c r="F109" s="26" t="s">
        <v>2163</v>
      </c>
      <c r="G109" s="26" t="s">
        <v>23</v>
      </c>
      <c r="H109" s="28"/>
      <c r="I109" s="26">
        <v>1.0</v>
      </c>
      <c r="J109" s="513">
        <v>5.7E7</v>
      </c>
      <c r="K109" s="120"/>
      <c r="L109" s="105" t="s">
        <v>867</v>
      </c>
      <c r="M109" s="106" t="s">
        <v>1002</v>
      </c>
      <c r="N109" s="113"/>
      <c r="O109" s="32">
        <v>254.0</v>
      </c>
    </row>
    <row r="110">
      <c r="A110" s="20" t="s">
        <v>1003</v>
      </c>
      <c r="B110" s="26"/>
      <c r="C110" s="22">
        <v>270000.0</v>
      </c>
      <c r="D110" s="26">
        <v>2017.0</v>
      </c>
      <c r="E110" s="26" t="s">
        <v>2440</v>
      </c>
      <c r="F110" s="26" t="s">
        <v>2153</v>
      </c>
      <c r="G110" s="26" t="s">
        <v>23</v>
      </c>
      <c r="H110" s="28"/>
      <c r="I110" s="26">
        <v>4.0</v>
      </c>
      <c r="J110" s="515"/>
      <c r="K110" s="28"/>
      <c r="L110" s="53" t="s">
        <v>325</v>
      </c>
      <c r="M110" s="106" t="s">
        <v>1005</v>
      </c>
      <c r="N110" s="113"/>
      <c r="O110" s="32">
        <v>253.0</v>
      </c>
    </row>
    <row r="111">
      <c r="A111" s="20" t="s">
        <v>1006</v>
      </c>
      <c r="B111" s="26"/>
      <c r="C111" s="22">
        <v>1700000.0</v>
      </c>
      <c r="D111" s="26">
        <v>2017.0</v>
      </c>
      <c r="E111" s="26" t="s">
        <v>2370</v>
      </c>
      <c r="F111" s="26" t="s">
        <v>2163</v>
      </c>
      <c r="G111" s="26" t="s">
        <v>23</v>
      </c>
      <c r="H111" s="28"/>
      <c r="I111" s="26">
        <v>1.0</v>
      </c>
      <c r="J111" s="515"/>
      <c r="K111" s="28"/>
      <c r="L111" s="53" t="s">
        <v>1008</v>
      </c>
      <c r="M111" s="106" t="s">
        <v>1009</v>
      </c>
      <c r="N111" s="113"/>
      <c r="O111" s="32">
        <v>252.0</v>
      </c>
    </row>
    <row r="112">
      <c r="A112" s="52" t="s">
        <v>1010</v>
      </c>
      <c r="B112" s="53"/>
      <c r="C112" s="22">
        <v>7.11E8</v>
      </c>
      <c r="D112" s="26">
        <v>2017.0</v>
      </c>
      <c r="E112" s="34" t="s">
        <v>2179</v>
      </c>
      <c r="F112" s="26" t="s">
        <v>28</v>
      </c>
      <c r="G112" s="26" t="s">
        <v>51</v>
      </c>
      <c r="H112" s="115"/>
      <c r="I112" s="26">
        <v>4.0</v>
      </c>
      <c r="J112" s="515"/>
      <c r="K112" s="53"/>
      <c r="L112" s="53" t="s">
        <v>325</v>
      </c>
      <c r="M112" s="135" t="s">
        <v>1013</v>
      </c>
      <c r="N112" s="136"/>
      <c r="O112" s="32">
        <v>251.0</v>
      </c>
    </row>
    <row r="113">
      <c r="A113" s="52" t="s">
        <v>1014</v>
      </c>
      <c r="B113" s="53"/>
      <c r="C113" s="22">
        <v>2000000.0</v>
      </c>
      <c r="D113" s="26">
        <v>2017.0</v>
      </c>
      <c r="E113" s="34" t="s">
        <v>2363</v>
      </c>
      <c r="F113" s="26" t="s">
        <v>43</v>
      </c>
      <c r="G113" s="419" t="s">
        <v>142</v>
      </c>
      <c r="H113" s="115"/>
      <c r="I113" s="26">
        <v>3.0</v>
      </c>
      <c r="J113" s="515"/>
      <c r="K113" s="53"/>
      <c r="L113" s="34" t="s">
        <v>629</v>
      </c>
      <c r="M113" s="135" t="s">
        <v>1016</v>
      </c>
      <c r="N113" s="136"/>
      <c r="O113" s="32">
        <v>250.0</v>
      </c>
    </row>
    <row r="114">
      <c r="A114" s="20" t="s">
        <v>1017</v>
      </c>
      <c r="B114" s="26"/>
      <c r="C114" s="22">
        <v>3.1E7</v>
      </c>
      <c r="D114" s="150">
        <v>2017.0</v>
      </c>
      <c r="E114" s="26" t="s">
        <v>2261</v>
      </c>
      <c r="F114" s="26" t="s">
        <v>2163</v>
      </c>
      <c r="G114" s="127" t="s">
        <v>51</v>
      </c>
      <c r="H114" s="28"/>
      <c r="I114" s="26">
        <v>4.0</v>
      </c>
      <c r="J114" s="515"/>
      <c r="K114" s="110"/>
      <c r="L114" s="26" t="s">
        <v>571</v>
      </c>
      <c r="M114" s="106" t="s">
        <v>1019</v>
      </c>
      <c r="N114" s="113"/>
      <c r="O114" s="32">
        <v>249.0</v>
      </c>
    </row>
    <row r="115">
      <c r="A115" s="20" t="s">
        <v>1020</v>
      </c>
      <c r="B115" s="26"/>
      <c r="C115" s="22">
        <v>3000000.0</v>
      </c>
      <c r="D115" s="26">
        <v>2017.0</v>
      </c>
      <c r="E115" s="26" t="s">
        <v>2344</v>
      </c>
      <c r="F115" s="26" t="s">
        <v>50</v>
      </c>
      <c r="G115" s="26" t="s">
        <v>23</v>
      </c>
      <c r="H115" s="26" t="s">
        <v>29</v>
      </c>
      <c r="I115" s="26">
        <v>2.0</v>
      </c>
      <c r="J115" s="515"/>
      <c r="K115" s="28"/>
      <c r="L115" s="34" t="s">
        <v>30</v>
      </c>
      <c r="M115" s="106" t="s">
        <v>1022</v>
      </c>
      <c r="N115" s="113"/>
      <c r="O115" s="32">
        <v>248.0</v>
      </c>
    </row>
    <row r="116">
      <c r="A116" s="20" t="s">
        <v>1023</v>
      </c>
      <c r="B116" s="26" t="s">
        <v>1024</v>
      </c>
      <c r="C116" s="22">
        <v>1000000.0</v>
      </c>
      <c r="D116" s="26">
        <v>2017.0</v>
      </c>
      <c r="E116" s="26" t="s">
        <v>2392</v>
      </c>
      <c r="F116" s="26" t="s">
        <v>2163</v>
      </c>
      <c r="G116" s="26" t="s">
        <v>51</v>
      </c>
      <c r="H116" s="28"/>
      <c r="I116" s="26">
        <v>3.0</v>
      </c>
      <c r="J116" s="515"/>
      <c r="K116" s="28"/>
      <c r="L116" s="53" t="s">
        <v>1026</v>
      </c>
      <c r="M116" s="106" t="s">
        <v>1027</v>
      </c>
      <c r="N116" s="113"/>
      <c r="O116" s="32">
        <v>247.0</v>
      </c>
    </row>
    <row r="117">
      <c r="A117" s="52" t="s">
        <v>1028</v>
      </c>
      <c r="B117" s="34"/>
      <c r="C117" s="22">
        <v>3000000.0</v>
      </c>
      <c r="D117" s="26">
        <v>2017.0</v>
      </c>
      <c r="E117" s="34" t="s">
        <v>2345</v>
      </c>
      <c r="F117" s="26" t="s">
        <v>64</v>
      </c>
      <c r="G117" s="26" t="s">
        <v>51</v>
      </c>
      <c r="H117" s="34" t="s">
        <v>29</v>
      </c>
      <c r="I117" s="26">
        <v>5.0</v>
      </c>
      <c r="J117" s="515"/>
      <c r="K117" s="53"/>
      <c r="L117" s="53" t="s">
        <v>1030</v>
      </c>
      <c r="M117" s="135" t="s">
        <v>1031</v>
      </c>
      <c r="N117" s="136"/>
      <c r="O117" s="32">
        <v>246.0</v>
      </c>
    </row>
    <row r="118">
      <c r="A118" s="20" t="s">
        <v>1032</v>
      </c>
      <c r="B118" s="130"/>
      <c r="C118" s="22">
        <v>3700000.0</v>
      </c>
      <c r="D118" s="26">
        <v>2017.0</v>
      </c>
      <c r="E118" s="26" t="s">
        <v>2336</v>
      </c>
      <c r="F118" s="26" t="s">
        <v>64</v>
      </c>
      <c r="G118" s="26" t="s">
        <v>1034</v>
      </c>
      <c r="H118" s="130"/>
      <c r="I118" s="26">
        <v>2.0</v>
      </c>
      <c r="J118" s="515"/>
      <c r="K118" s="110"/>
      <c r="L118" s="53" t="s">
        <v>1035</v>
      </c>
      <c r="M118" s="106" t="s">
        <v>1036</v>
      </c>
      <c r="N118" s="113"/>
      <c r="O118" s="32">
        <v>245.0</v>
      </c>
    </row>
    <row r="119">
      <c r="A119" s="137" t="s">
        <v>1037</v>
      </c>
      <c r="B119" s="138" t="s">
        <v>1038</v>
      </c>
      <c r="C119" s="119">
        <v>1.37E9</v>
      </c>
      <c r="D119" s="26">
        <v>2017.0</v>
      </c>
      <c r="E119" s="26" t="s">
        <v>2185</v>
      </c>
      <c r="F119" s="139" t="s">
        <v>28</v>
      </c>
      <c r="G119" s="419" t="s">
        <v>142</v>
      </c>
      <c r="H119" s="53"/>
      <c r="I119" s="26">
        <v>2.0</v>
      </c>
      <c r="J119" s="513">
        <v>1.37E9</v>
      </c>
      <c r="K119" s="53"/>
      <c r="L119" s="34" t="s">
        <v>507</v>
      </c>
      <c r="M119" s="106" t="s">
        <v>1041</v>
      </c>
      <c r="N119" s="117"/>
      <c r="O119" s="32">
        <v>244.0</v>
      </c>
    </row>
    <row r="120">
      <c r="A120" s="20" t="s">
        <v>1042</v>
      </c>
      <c r="B120" s="26" t="s">
        <v>1043</v>
      </c>
      <c r="C120" s="22">
        <v>700000.0</v>
      </c>
      <c r="D120" s="26">
        <v>2017.0</v>
      </c>
      <c r="E120" s="26" t="s">
        <v>2410</v>
      </c>
      <c r="F120" s="26" t="s">
        <v>28</v>
      </c>
      <c r="G120" s="26" t="s">
        <v>23</v>
      </c>
      <c r="H120" s="28"/>
      <c r="I120" s="26">
        <v>4.0</v>
      </c>
      <c r="J120" s="515"/>
      <c r="K120" s="28"/>
      <c r="L120" s="53" t="s">
        <v>608</v>
      </c>
      <c r="M120" s="106" t="s">
        <v>1045</v>
      </c>
      <c r="N120" s="113"/>
      <c r="O120" s="32">
        <v>243.0</v>
      </c>
    </row>
    <row r="121">
      <c r="A121" s="20" t="s">
        <v>1046</v>
      </c>
      <c r="B121" s="26"/>
      <c r="C121" s="22">
        <v>1900000.0</v>
      </c>
      <c r="D121" s="26">
        <v>2017.0</v>
      </c>
      <c r="E121" s="26" t="s">
        <v>2367</v>
      </c>
      <c r="F121" s="26" t="s">
        <v>129</v>
      </c>
      <c r="G121" s="26" t="s">
        <v>23</v>
      </c>
      <c r="H121" s="28"/>
      <c r="I121" s="26">
        <v>1.0</v>
      </c>
      <c r="J121" s="515"/>
      <c r="K121" s="28"/>
      <c r="L121" s="53" t="s">
        <v>706</v>
      </c>
      <c r="M121" s="106" t="s">
        <v>1048</v>
      </c>
      <c r="N121" s="113"/>
      <c r="O121" s="32">
        <v>242.0</v>
      </c>
    </row>
    <row r="122">
      <c r="A122" s="20" t="s">
        <v>1049</v>
      </c>
      <c r="B122" s="26" t="s">
        <v>1050</v>
      </c>
      <c r="C122" s="22">
        <v>1.7E7</v>
      </c>
      <c r="D122" s="26">
        <v>2017.0</v>
      </c>
      <c r="E122" s="26" t="s">
        <v>2277</v>
      </c>
      <c r="F122" s="26" t="s">
        <v>28</v>
      </c>
      <c r="G122" s="26" t="s">
        <v>23</v>
      </c>
      <c r="H122" s="28"/>
      <c r="I122" s="26">
        <v>4.0</v>
      </c>
      <c r="J122" s="515"/>
      <c r="K122" s="28"/>
      <c r="L122" s="53" t="s">
        <v>1052</v>
      </c>
      <c r="M122" s="106" t="s">
        <v>1053</v>
      </c>
      <c r="N122" s="113"/>
      <c r="O122" s="32">
        <v>241.0</v>
      </c>
    </row>
    <row r="123">
      <c r="A123" s="118" t="s">
        <v>1054</v>
      </c>
      <c r="B123" s="127"/>
      <c r="C123" s="133">
        <v>1700000.0</v>
      </c>
      <c r="D123" s="150">
        <v>2017.0</v>
      </c>
      <c r="E123" s="105" t="s">
        <v>2277</v>
      </c>
      <c r="F123" s="128" t="s">
        <v>2163</v>
      </c>
      <c r="G123" s="127" t="s">
        <v>23</v>
      </c>
      <c r="H123" s="127"/>
      <c r="I123" s="150">
        <v>4.0</v>
      </c>
      <c r="J123" s="515"/>
      <c r="K123" s="120"/>
      <c r="L123" s="53" t="s">
        <v>1054</v>
      </c>
      <c r="M123" s="122" t="s">
        <v>1055</v>
      </c>
      <c r="N123" s="140"/>
      <c r="O123" s="32">
        <v>240.0</v>
      </c>
    </row>
    <row r="124">
      <c r="A124" s="118" t="s">
        <v>1056</v>
      </c>
      <c r="B124" s="127" t="s">
        <v>1057</v>
      </c>
      <c r="C124" s="133">
        <v>1600000.0</v>
      </c>
      <c r="D124" s="150">
        <v>2017.0</v>
      </c>
      <c r="E124" s="105" t="s">
        <v>2373</v>
      </c>
      <c r="F124" s="128" t="s">
        <v>2153</v>
      </c>
      <c r="G124" s="127" t="s">
        <v>23</v>
      </c>
      <c r="H124" s="127"/>
      <c r="I124" s="150">
        <v>4.0</v>
      </c>
      <c r="J124" s="515"/>
      <c r="K124" s="120"/>
      <c r="L124" s="105" t="s">
        <v>85</v>
      </c>
      <c r="M124" s="122" t="s">
        <v>1059</v>
      </c>
      <c r="N124" s="140"/>
      <c r="O124" s="32">
        <v>239.0</v>
      </c>
    </row>
    <row r="125">
      <c r="A125" s="20" t="s">
        <v>1060</v>
      </c>
      <c r="B125" s="26"/>
      <c r="C125" s="22">
        <v>4.62E7</v>
      </c>
      <c r="D125" s="150">
        <v>2017.0</v>
      </c>
      <c r="E125" s="26" t="s">
        <v>2248</v>
      </c>
      <c r="F125" s="26" t="s">
        <v>129</v>
      </c>
      <c r="G125" s="26" t="s">
        <v>23</v>
      </c>
      <c r="H125" s="28"/>
      <c r="I125" s="26">
        <v>4.0</v>
      </c>
      <c r="J125" s="515"/>
      <c r="K125" s="110"/>
      <c r="L125" s="26" t="s">
        <v>1062</v>
      </c>
      <c r="M125" s="106" t="s">
        <v>1063</v>
      </c>
      <c r="N125" s="113"/>
      <c r="O125" s="32">
        <v>238.0</v>
      </c>
    </row>
    <row r="126">
      <c r="A126" s="20" t="s">
        <v>1064</v>
      </c>
      <c r="B126" s="26"/>
      <c r="C126" s="22">
        <v>81309.0</v>
      </c>
      <c r="D126" s="150">
        <v>2017.0</v>
      </c>
      <c r="E126" s="26" t="s">
        <v>2485</v>
      </c>
      <c r="F126" s="26" t="s">
        <v>2514</v>
      </c>
      <c r="G126" s="26" t="s">
        <v>23</v>
      </c>
      <c r="H126" s="28"/>
      <c r="I126" s="26">
        <v>4.0</v>
      </c>
      <c r="J126" s="515"/>
      <c r="K126" s="110"/>
      <c r="L126" s="26" t="s">
        <v>1066</v>
      </c>
      <c r="M126" s="106" t="s">
        <v>1067</v>
      </c>
      <c r="N126" s="113"/>
      <c r="O126" s="32">
        <v>237.0</v>
      </c>
    </row>
    <row r="127">
      <c r="A127" s="52" t="s">
        <v>1068</v>
      </c>
      <c r="B127" s="53"/>
      <c r="C127" s="22">
        <v>6000000.0</v>
      </c>
      <c r="D127" s="26">
        <v>2017.0</v>
      </c>
      <c r="E127" s="34" t="s">
        <v>2308</v>
      </c>
      <c r="F127" s="26" t="s">
        <v>28</v>
      </c>
      <c r="G127" s="26" t="s">
        <v>23</v>
      </c>
      <c r="H127" s="115"/>
      <c r="I127" s="26">
        <v>1.0</v>
      </c>
      <c r="J127" s="515"/>
      <c r="K127" s="53"/>
      <c r="L127" s="53" t="s">
        <v>314</v>
      </c>
      <c r="M127" s="135" t="s">
        <v>1070</v>
      </c>
      <c r="N127" s="136"/>
      <c r="O127" s="32">
        <v>236.0</v>
      </c>
    </row>
    <row r="128">
      <c r="A128" s="141" t="s">
        <v>1071</v>
      </c>
      <c r="B128" s="120"/>
      <c r="C128" s="133">
        <v>3000000.0</v>
      </c>
      <c r="D128" s="26">
        <v>2017.0</v>
      </c>
      <c r="E128" s="105" t="s">
        <v>2346</v>
      </c>
      <c r="F128" s="120" t="s">
        <v>28</v>
      </c>
      <c r="G128" s="120" t="s">
        <v>23</v>
      </c>
      <c r="H128" s="120"/>
      <c r="I128" s="150">
        <v>4.0</v>
      </c>
      <c r="J128" s="515"/>
      <c r="K128" s="120"/>
      <c r="L128" s="120" t="s">
        <v>1073</v>
      </c>
      <c r="M128" s="122" t="s">
        <v>1074</v>
      </c>
      <c r="N128" s="117"/>
      <c r="O128" s="32">
        <v>235.0</v>
      </c>
    </row>
    <row r="129">
      <c r="A129" s="52" t="s">
        <v>1075</v>
      </c>
      <c r="B129" s="53"/>
      <c r="C129" s="22">
        <v>1.43E8</v>
      </c>
      <c r="D129" s="26">
        <v>2017.0</v>
      </c>
      <c r="E129" s="34" t="s">
        <v>2197</v>
      </c>
      <c r="F129" s="26" t="s">
        <v>2153</v>
      </c>
      <c r="G129" s="26" t="s">
        <v>23</v>
      </c>
      <c r="H129" s="115" t="s">
        <v>29</v>
      </c>
      <c r="I129" s="26">
        <v>4.0</v>
      </c>
      <c r="J129" s="513">
        <v>1.43E8</v>
      </c>
      <c r="K129" s="53"/>
      <c r="L129" s="53" t="s">
        <v>1079</v>
      </c>
      <c r="M129" s="135" t="s">
        <v>1080</v>
      </c>
      <c r="N129" s="136"/>
      <c r="O129" s="32">
        <v>234.0</v>
      </c>
    </row>
    <row r="130">
      <c r="A130" s="118" t="s">
        <v>1081</v>
      </c>
      <c r="B130" s="142" t="s">
        <v>1082</v>
      </c>
      <c r="C130" s="119">
        <v>540000.0</v>
      </c>
      <c r="D130" s="26">
        <v>2017.0</v>
      </c>
      <c r="E130" s="34" t="s">
        <v>2414</v>
      </c>
      <c r="F130" s="112" t="s">
        <v>2163</v>
      </c>
      <c r="G130" s="127" t="s">
        <v>51</v>
      </c>
      <c r="H130" s="120"/>
      <c r="I130" s="26">
        <v>4.0</v>
      </c>
      <c r="J130" s="515"/>
      <c r="K130" s="120"/>
      <c r="L130" s="120" t="s">
        <v>1073</v>
      </c>
      <c r="M130" s="121" t="s">
        <v>1084</v>
      </c>
      <c r="N130" s="117"/>
      <c r="O130" s="32">
        <v>233.0</v>
      </c>
    </row>
    <row r="131">
      <c r="A131" s="20" t="s">
        <v>1085</v>
      </c>
      <c r="B131" s="138"/>
      <c r="C131" s="22">
        <v>1.17E8</v>
      </c>
      <c r="D131" s="26">
        <v>2016.0</v>
      </c>
      <c r="E131" s="26" t="s">
        <v>2201</v>
      </c>
      <c r="F131" s="26" t="s">
        <v>28</v>
      </c>
      <c r="G131" s="26" t="s">
        <v>23</v>
      </c>
      <c r="H131" s="28"/>
      <c r="I131" s="26">
        <v>1.0</v>
      </c>
      <c r="J131" s="513">
        <v>1.17E8</v>
      </c>
      <c r="K131" s="28"/>
      <c r="L131" s="53" t="s">
        <v>1088</v>
      </c>
      <c r="M131" s="106" t="s">
        <v>1089</v>
      </c>
      <c r="N131" s="106" t="s">
        <v>1090</v>
      </c>
      <c r="O131" s="32">
        <v>232.0</v>
      </c>
    </row>
    <row r="132">
      <c r="A132" s="20" t="s">
        <v>1091</v>
      </c>
      <c r="B132" s="138"/>
      <c r="C132" s="22">
        <v>6.5E7</v>
      </c>
      <c r="D132" s="26">
        <v>2016.0</v>
      </c>
      <c r="E132" s="26" t="s">
        <v>2239</v>
      </c>
      <c r="F132" s="26" t="s">
        <v>28</v>
      </c>
      <c r="G132" s="26" t="s">
        <v>23</v>
      </c>
      <c r="H132" s="28"/>
      <c r="I132" s="26">
        <v>1.0</v>
      </c>
      <c r="J132" s="515"/>
      <c r="K132" s="28"/>
      <c r="L132" s="34" t="s">
        <v>30</v>
      </c>
      <c r="M132" s="106" t="s">
        <v>1093</v>
      </c>
      <c r="N132" s="113"/>
      <c r="O132" s="32">
        <v>231.0</v>
      </c>
    </row>
    <row r="133">
      <c r="A133" s="20" t="s">
        <v>996</v>
      </c>
      <c r="B133" s="111"/>
      <c r="C133" s="22">
        <v>5.0E8</v>
      </c>
      <c r="D133" s="26">
        <v>2016.0</v>
      </c>
      <c r="E133" s="26" t="s">
        <v>2180</v>
      </c>
      <c r="F133" s="26" t="s">
        <v>28</v>
      </c>
      <c r="G133" s="26" t="s">
        <v>23</v>
      </c>
      <c r="H133" s="28"/>
      <c r="I133" s="26">
        <v>2.0</v>
      </c>
      <c r="J133" s="513">
        <v>5.0E8</v>
      </c>
      <c r="K133" s="28"/>
      <c r="L133" s="34" t="s">
        <v>1096</v>
      </c>
      <c r="M133" s="106" t="s">
        <v>1097</v>
      </c>
      <c r="N133" s="109"/>
      <c r="O133" s="32">
        <v>230.0</v>
      </c>
    </row>
    <row r="134">
      <c r="A134" s="20" t="s">
        <v>1098</v>
      </c>
      <c r="B134" s="111" t="s">
        <v>1099</v>
      </c>
      <c r="C134" s="22">
        <v>1.15E7</v>
      </c>
      <c r="D134" s="26">
        <v>2016.0</v>
      </c>
      <c r="E134" s="26" t="s">
        <v>2287</v>
      </c>
      <c r="F134" s="26" t="s">
        <v>2161</v>
      </c>
      <c r="G134" s="26" t="s">
        <v>23</v>
      </c>
      <c r="H134" s="26" t="s">
        <v>29</v>
      </c>
      <c r="I134" s="26">
        <v>5.0</v>
      </c>
      <c r="J134" s="515"/>
      <c r="K134" s="28"/>
      <c r="L134" s="53" t="s">
        <v>1101</v>
      </c>
      <c r="M134" s="106" t="s">
        <v>1102</v>
      </c>
      <c r="N134" s="113"/>
      <c r="O134" s="32">
        <v>229.0</v>
      </c>
    </row>
    <row r="135">
      <c r="A135" s="52" t="s">
        <v>1103</v>
      </c>
      <c r="B135" s="111" t="s">
        <v>1104</v>
      </c>
      <c r="C135" s="22">
        <v>5.5E7</v>
      </c>
      <c r="D135" s="26">
        <v>2016.0</v>
      </c>
      <c r="E135" s="26" t="s">
        <v>2242</v>
      </c>
      <c r="F135" s="26" t="s">
        <v>64</v>
      </c>
      <c r="G135" s="26" t="s">
        <v>23</v>
      </c>
      <c r="H135" s="28"/>
      <c r="I135" s="26">
        <v>5.0</v>
      </c>
      <c r="J135" s="515"/>
      <c r="K135" s="28"/>
      <c r="L135" s="53" t="s">
        <v>1106</v>
      </c>
      <c r="M135" s="106" t="s">
        <v>1107</v>
      </c>
      <c r="N135" s="113"/>
      <c r="O135" s="32">
        <v>228.0</v>
      </c>
    </row>
    <row r="136">
      <c r="A136" s="20" t="s">
        <v>1108</v>
      </c>
      <c r="B136" s="138"/>
      <c r="C136" s="22">
        <v>274477.0</v>
      </c>
      <c r="D136" s="26">
        <v>2016.0</v>
      </c>
      <c r="E136" s="26" t="s">
        <v>2439</v>
      </c>
      <c r="F136" s="26" t="s">
        <v>64</v>
      </c>
      <c r="G136" s="26" t="s">
        <v>23</v>
      </c>
      <c r="H136" s="28"/>
      <c r="I136" s="26">
        <v>1.0</v>
      </c>
      <c r="J136" s="515"/>
      <c r="K136" s="28"/>
      <c r="L136" s="53" t="s">
        <v>1110</v>
      </c>
      <c r="M136" s="106" t="s">
        <v>1111</v>
      </c>
      <c r="N136" s="113"/>
      <c r="O136" s="32">
        <v>227.0</v>
      </c>
    </row>
    <row r="137">
      <c r="A137" s="20" t="s">
        <v>1112</v>
      </c>
      <c r="B137" s="143" t="s">
        <v>1113</v>
      </c>
      <c r="C137" s="22">
        <v>7000000.0</v>
      </c>
      <c r="D137" s="26">
        <v>2016.0</v>
      </c>
      <c r="E137" s="26" t="s">
        <v>2303</v>
      </c>
      <c r="F137" s="26" t="s">
        <v>236</v>
      </c>
      <c r="G137" s="26" t="s">
        <v>23</v>
      </c>
      <c r="H137" s="28"/>
      <c r="I137" s="26">
        <v>1.0</v>
      </c>
      <c r="J137" s="515"/>
      <c r="K137" s="28"/>
      <c r="L137" s="34" t="s">
        <v>147</v>
      </c>
      <c r="M137" s="106" t="s">
        <v>1115</v>
      </c>
      <c r="N137" s="113"/>
      <c r="O137" s="32">
        <v>226.0</v>
      </c>
    </row>
    <row r="138">
      <c r="A138" s="20" t="s">
        <v>1116</v>
      </c>
      <c r="B138" s="138"/>
      <c r="C138" s="22">
        <v>4.9611709E7</v>
      </c>
      <c r="D138" s="26">
        <v>2016.0</v>
      </c>
      <c r="E138" s="34" t="s">
        <v>2245</v>
      </c>
      <c r="F138" s="26" t="s">
        <v>64</v>
      </c>
      <c r="G138" s="26" t="s">
        <v>23</v>
      </c>
      <c r="H138" s="28"/>
      <c r="I138" s="26">
        <v>2.0</v>
      </c>
      <c r="J138" s="515"/>
      <c r="K138" s="28"/>
      <c r="L138" s="53" t="s">
        <v>591</v>
      </c>
      <c r="M138" s="106" t="s">
        <v>1118</v>
      </c>
      <c r="N138" s="113"/>
      <c r="O138" s="32">
        <v>225.0</v>
      </c>
    </row>
    <row r="139">
      <c r="A139" s="144" t="s">
        <v>1119</v>
      </c>
      <c r="B139" s="142"/>
      <c r="C139" s="119">
        <v>3700000.0</v>
      </c>
      <c r="D139" s="26">
        <v>2016.0</v>
      </c>
      <c r="E139" s="50" t="s">
        <v>2337</v>
      </c>
      <c r="F139" s="26" t="s">
        <v>2514</v>
      </c>
      <c r="G139" s="28" t="s">
        <v>23</v>
      </c>
      <c r="H139" s="53"/>
      <c r="I139" s="26">
        <v>3.0</v>
      </c>
      <c r="J139" s="515"/>
      <c r="K139" s="53"/>
      <c r="L139" s="34" t="s">
        <v>1121</v>
      </c>
      <c r="M139" s="106" t="s">
        <v>1122</v>
      </c>
      <c r="N139" s="117"/>
      <c r="O139" s="32">
        <v>224.0</v>
      </c>
    </row>
    <row r="140">
      <c r="A140" s="20" t="s">
        <v>1123</v>
      </c>
      <c r="B140" s="26" t="s">
        <v>1124</v>
      </c>
      <c r="C140" s="22">
        <v>2.5E7</v>
      </c>
      <c r="D140" s="26">
        <v>2016.0</v>
      </c>
      <c r="E140" s="26" t="s">
        <v>2266</v>
      </c>
      <c r="F140" s="26" t="s">
        <v>28</v>
      </c>
      <c r="G140" s="26" t="s">
        <v>23</v>
      </c>
      <c r="H140" s="28"/>
      <c r="I140" s="26">
        <v>2.0</v>
      </c>
      <c r="J140" s="515"/>
      <c r="K140" s="28"/>
      <c r="L140" s="53" t="s">
        <v>608</v>
      </c>
      <c r="M140" s="106" t="s">
        <v>1126</v>
      </c>
      <c r="N140" s="113"/>
      <c r="O140" s="32">
        <v>223.0</v>
      </c>
    </row>
    <row r="141">
      <c r="A141" s="20" t="s">
        <v>1127</v>
      </c>
      <c r="B141" s="26"/>
      <c r="C141" s="22">
        <v>300000.0</v>
      </c>
      <c r="D141" s="26">
        <v>2016.0</v>
      </c>
      <c r="E141" s="26" t="s">
        <v>2435</v>
      </c>
      <c r="F141" s="26" t="s">
        <v>28</v>
      </c>
      <c r="G141" s="130" t="s">
        <v>23</v>
      </c>
      <c r="H141" s="28"/>
      <c r="I141" s="26">
        <v>1.0</v>
      </c>
      <c r="J141" s="515"/>
      <c r="K141" s="28"/>
      <c r="L141" s="53" t="s">
        <v>905</v>
      </c>
      <c r="M141" s="106" t="s">
        <v>1129</v>
      </c>
      <c r="N141" s="113"/>
      <c r="O141" s="32">
        <v>222.0</v>
      </c>
    </row>
    <row r="142">
      <c r="A142" s="44" t="s">
        <v>1130</v>
      </c>
      <c r="B142" s="26" t="s">
        <v>1131</v>
      </c>
      <c r="C142" s="22">
        <v>9500000.0</v>
      </c>
      <c r="D142" s="26">
        <v>2016.0</v>
      </c>
      <c r="E142" s="26" t="s">
        <v>2295</v>
      </c>
      <c r="F142" s="26" t="s">
        <v>28</v>
      </c>
      <c r="G142" s="26" t="s">
        <v>23</v>
      </c>
      <c r="H142" s="28"/>
      <c r="I142" s="26">
        <v>1.0</v>
      </c>
      <c r="J142" s="515"/>
      <c r="K142" s="28"/>
      <c r="L142" s="53" t="s">
        <v>1133</v>
      </c>
      <c r="M142" s="106" t="s">
        <v>1134</v>
      </c>
      <c r="N142" s="113"/>
      <c r="O142" s="32">
        <v>221.0</v>
      </c>
    </row>
    <row r="143">
      <c r="A143" s="144" t="s">
        <v>1135</v>
      </c>
      <c r="B143" s="142"/>
      <c r="C143" s="119">
        <v>2000000.0</v>
      </c>
      <c r="D143" s="26">
        <v>2016.0</v>
      </c>
      <c r="E143" s="34" t="s">
        <v>2364</v>
      </c>
      <c r="F143" s="28" t="s">
        <v>28</v>
      </c>
      <c r="G143" s="28" t="s">
        <v>23</v>
      </c>
      <c r="H143" s="53"/>
      <c r="I143" s="28">
        <v>1.0</v>
      </c>
      <c r="J143" s="515"/>
      <c r="K143" s="53"/>
      <c r="L143" s="34" t="s">
        <v>575</v>
      </c>
      <c r="M143" s="106" t="s">
        <v>1137</v>
      </c>
      <c r="N143" s="117"/>
      <c r="O143" s="32">
        <v>220.0</v>
      </c>
    </row>
    <row r="144">
      <c r="A144" s="20" t="s">
        <v>1138</v>
      </c>
      <c r="B144" s="111" t="s">
        <v>1139</v>
      </c>
      <c r="C144" s="22">
        <v>1025.0</v>
      </c>
      <c r="D144" s="26">
        <v>2016.0</v>
      </c>
      <c r="E144" s="26" t="s">
        <v>2503</v>
      </c>
      <c r="F144" s="26" t="s">
        <v>43</v>
      </c>
      <c r="G144" s="26" t="s">
        <v>23</v>
      </c>
      <c r="H144" s="28"/>
      <c r="I144" s="26">
        <v>3.0</v>
      </c>
      <c r="J144" s="515"/>
      <c r="K144" s="28"/>
      <c r="L144" s="34" t="s">
        <v>278</v>
      </c>
      <c r="M144" s="106" t="s">
        <v>1141</v>
      </c>
      <c r="N144" s="113"/>
      <c r="O144" s="32">
        <v>219.0</v>
      </c>
    </row>
    <row r="145">
      <c r="A145" s="144" t="s">
        <v>1142</v>
      </c>
      <c r="B145" s="142"/>
      <c r="C145" s="22">
        <v>5000000.0</v>
      </c>
      <c r="D145" s="26">
        <v>2016.0</v>
      </c>
      <c r="E145" s="34" t="s">
        <v>2316</v>
      </c>
      <c r="F145" s="28" t="s">
        <v>64</v>
      </c>
      <c r="G145" s="28" t="s">
        <v>23</v>
      </c>
      <c r="H145" s="53"/>
      <c r="I145" s="26">
        <v>2.0</v>
      </c>
      <c r="J145" s="515"/>
      <c r="K145" s="53"/>
      <c r="L145" s="34" t="s">
        <v>286</v>
      </c>
      <c r="M145" s="106" t="s">
        <v>1144</v>
      </c>
      <c r="N145" s="117"/>
      <c r="O145" s="32">
        <v>218.0</v>
      </c>
    </row>
    <row r="146">
      <c r="A146" s="145" t="s">
        <v>1145</v>
      </c>
      <c r="B146" s="142"/>
      <c r="C146" s="22">
        <v>35000.0</v>
      </c>
      <c r="D146" s="26">
        <v>2016.0</v>
      </c>
      <c r="E146" s="26" t="s">
        <v>2498</v>
      </c>
      <c r="F146" s="28" t="s">
        <v>28</v>
      </c>
      <c r="G146" s="28" t="s">
        <v>23</v>
      </c>
      <c r="H146" s="53"/>
      <c r="I146" s="28">
        <v>1.0</v>
      </c>
      <c r="J146" s="515"/>
      <c r="K146" s="53"/>
      <c r="L146" s="53" t="s">
        <v>1147</v>
      </c>
      <c r="M146" s="146" t="s">
        <v>1148</v>
      </c>
      <c r="N146" s="117"/>
      <c r="O146" s="32">
        <v>217.0</v>
      </c>
    </row>
    <row r="147">
      <c r="A147" s="20" t="s">
        <v>1149</v>
      </c>
      <c r="B147" s="111" t="s">
        <v>1150</v>
      </c>
      <c r="C147" s="22">
        <v>2200000.0</v>
      </c>
      <c r="D147" s="26">
        <v>2016.0</v>
      </c>
      <c r="E147" s="26" t="s">
        <v>2359</v>
      </c>
      <c r="F147" s="26" t="s">
        <v>2007</v>
      </c>
      <c r="G147" s="26" t="s">
        <v>51</v>
      </c>
      <c r="H147" s="28"/>
      <c r="I147" s="26">
        <v>3.0</v>
      </c>
      <c r="J147" s="515"/>
      <c r="K147" s="28"/>
      <c r="L147" s="53" t="s">
        <v>1152</v>
      </c>
      <c r="M147" s="106" t="s">
        <v>1153</v>
      </c>
      <c r="N147" s="113"/>
      <c r="O147" s="32">
        <v>216.0</v>
      </c>
    </row>
    <row r="148">
      <c r="A148" s="20" t="s">
        <v>1154</v>
      </c>
      <c r="B148" s="111" t="s">
        <v>1155</v>
      </c>
      <c r="C148" s="22">
        <v>112000.0</v>
      </c>
      <c r="D148" s="26">
        <v>2016.0</v>
      </c>
      <c r="E148" s="26" t="s">
        <v>2472</v>
      </c>
      <c r="F148" s="26" t="s">
        <v>2514</v>
      </c>
      <c r="G148" s="26" t="s">
        <v>59</v>
      </c>
      <c r="H148" s="28"/>
      <c r="I148" s="26">
        <v>5.0</v>
      </c>
      <c r="J148" s="515"/>
      <c r="K148" s="28"/>
      <c r="L148" s="53" t="s">
        <v>905</v>
      </c>
      <c r="M148" s="106" t="s">
        <v>1157</v>
      </c>
      <c r="N148" s="113"/>
      <c r="O148" s="32">
        <v>215.0</v>
      </c>
    </row>
    <row r="149">
      <c r="A149" s="20" t="s">
        <v>1158</v>
      </c>
      <c r="B149" s="111" t="s">
        <v>1159</v>
      </c>
      <c r="C149" s="22">
        <v>1.71E8</v>
      </c>
      <c r="D149" s="26">
        <v>2016.0</v>
      </c>
      <c r="E149" s="26" t="s">
        <v>2203</v>
      </c>
      <c r="F149" s="26" t="s">
        <v>28</v>
      </c>
      <c r="G149" s="26" t="s">
        <v>23</v>
      </c>
      <c r="H149" s="28"/>
      <c r="I149" s="26">
        <v>4.0</v>
      </c>
      <c r="J149" s="513">
        <v>1.0E8</v>
      </c>
      <c r="K149" s="28"/>
      <c r="L149" s="53" t="s">
        <v>886</v>
      </c>
      <c r="M149" s="106" t="s">
        <v>1161</v>
      </c>
      <c r="N149" s="113"/>
      <c r="O149" s="32">
        <v>214.0</v>
      </c>
    </row>
    <row r="150">
      <c r="A150" s="147" t="s">
        <v>1162</v>
      </c>
      <c r="B150" s="148" t="s">
        <v>1163</v>
      </c>
      <c r="C150" s="149">
        <v>1500000.0</v>
      </c>
      <c r="D150" s="26">
        <v>2016.0</v>
      </c>
      <c r="E150" s="150" t="s">
        <v>2377</v>
      </c>
      <c r="F150" s="150" t="s">
        <v>28</v>
      </c>
      <c r="G150" s="150" t="s">
        <v>23</v>
      </c>
      <c r="H150" s="151"/>
      <c r="I150" s="150">
        <v>4.0</v>
      </c>
      <c r="J150" s="515"/>
      <c r="K150" s="151"/>
      <c r="L150" s="53" t="s">
        <v>886</v>
      </c>
      <c r="M150" s="106" t="s">
        <v>1165</v>
      </c>
      <c r="N150" s="113"/>
      <c r="O150" s="32">
        <v>213.0</v>
      </c>
    </row>
    <row r="151">
      <c r="A151" s="20" t="s">
        <v>1166</v>
      </c>
      <c r="B151" s="26" t="s">
        <v>1167</v>
      </c>
      <c r="C151" s="22">
        <v>4.0E7</v>
      </c>
      <c r="D151" s="26">
        <v>2016.0</v>
      </c>
      <c r="E151" s="26" t="s">
        <v>2252</v>
      </c>
      <c r="F151" s="26" t="s">
        <v>28</v>
      </c>
      <c r="G151" s="26" t="s">
        <v>23</v>
      </c>
      <c r="H151" s="28"/>
      <c r="I151" s="26">
        <v>4.0</v>
      </c>
      <c r="J151" s="515"/>
      <c r="K151" s="28"/>
      <c r="L151" s="34" t="s">
        <v>1169</v>
      </c>
      <c r="M151" s="146" t="s">
        <v>1170</v>
      </c>
      <c r="N151" s="113"/>
      <c r="O151" s="32">
        <v>212.0</v>
      </c>
    </row>
    <row r="152">
      <c r="A152" s="20" t="s">
        <v>1171</v>
      </c>
      <c r="B152" s="138"/>
      <c r="C152" s="22">
        <v>1.64E8</v>
      </c>
      <c r="D152" s="26">
        <v>2016.0</v>
      </c>
      <c r="E152" s="26" t="s">
        <v>2193</v>
      </c>
      <c r="F152" s="26" t="s">
        <v>28</v>
      </c>
      <c r="G152" s="26" t="s">
        <v>23</v>
      </c>
      <c r="H152" s="28"/>
      <c r="I152" s="26">
        <v>1.0</v>
      </c>
      <c r="J152" s="513">
        <v>1.64E8</v>
      </c>
      <c r="K152" s="28"/>
      <c r="L152" s="34" t="s">
        <v>30</v>
      </c>
      <c r="M152" s="106" t="s">
        <v>1174</v>
      </c>
      <c r="N152" s="113"/>
      <c r="O152" s="32">
        <v>211.0</v>
      </c>
    </row>
    <row r="153">
      <c r="A153" s="137" t="s">
        <v>1175</v>
      </c>
      <c r="B153" s="139" t="s">
        <v>1176</v>
      </c>
      <c r="C153" s="22">
        <v>130000.0</v>
      </c>
      <c r="D153" s="26">
        <v>2016.0</v>
      </c>
      <c r="E153" s="26" t="s">
        <v>2466</v>
      </c>
      <c r="F153" s="139" t="s">
        <v>129</v>
      </c>
      <c r="G153" s="26" t="s">
        <v>23</v>
      </c>
      <c r="H153" s="53"/>
      <c r="I153" s="26">
        <v>2.0</v>
      </c>
      <c r="J153" s="515"/>
      <c r="K153" s="53"/>
      <c r="L153" s="53" t="s">
        <v>1175</v>
      </c>
      <c r="M153" s="152" t="s">
        <v>1178</v>
      </c>
      <c r="N153" s="117"/>
      <c r="O153" s="32">
        <v>210.0</v>
      </c>
    </row>
    <row r="154">
      <c r="A154" s="20" t="s">
        <v>1179</v>
      </c>
      <c r="B154" s="26"/>
      <c r="C154" s="22">
        <v>550000.0</v>
      </c>
      <c r="D154" s="26">
        <v>2016.0</v>
      </c>
      <c r="E154" s="26" t="s">
        <v>2413</v>
      </c>
      <c r="F154" s="26" t="s">
        <v>2514</v>
      </c>
      <c r="G154" s="419" t="s">
        <v>142</v>
      </c>
      <c r="H154" s="28"/>
      <c r="I154" s="26">
        <v>4.0</v>
      </c>
      <c r="J154" s="515"/>
      <c r="K154" s="28"/>
      <c r="L154" s="53" t="s">
        <v>829</v>
      </c>
      <c r="M154" s="106" t="s">
        <v>1181</v>
      </c>
      <c r="N154" s="113"/>
      <c r="O154" s="32">
        <v>209.0</v>
      </c>
    </row>
    <row r="155">
      <c r="A155" s="144" t="s">
        <v>1182</v>
      </c>
      <c r="B155" s="138" t="s">
        <v>1183</v>
      </c>
      <c r="C155" s="119">
        <v>1.5E7</v>
      </c>
      <c r="D155" s="26">
        <v>2016.0</v>
      </c>
      <c r="E155" s="50" t="s">
        <v>2279</v>
      </c>
      <c r="F155" s="26" t="s">
        <v>2163</v>
      </c>
      <c r="G155" s="28" t="s">
        <v>23</v>
      </c>
      <c r="H155" s="53"/>
      <c r="I155" s="28">
        <v>1.0</v>
      </c>
      <c r="J155" s="515"/>
      <c r="K155" s="53"/>
      <c r="L155" s="53" t="s">
        <v>1185</v>
      </c>
      <c r="M155" s="153" t="s">
        <v>1186</v>
      </c>
      <c r="N155" s="117"/>
      <c r="O155" s="32">
        <v>208.0</v>
      </c>
    </row>
    <row r="156">
      <c r="A156" s="20" t="s">
        <v>1187</v>
      </c>
      <c r="B156" s="26" t="s">
        <v>1188</v>
      </c>
      <c r="C156" s="22">
        <v>8.52E7</v>
      </c>
      <c r="D156" s="26">
        <v>2016.0</v>
      </c>
      <c r="E156" s="26" t="s">
        <v>2235</v>
      </c>
      <c r="F156" s="26" t="s">
        <v>28</v>
      </c>
      <c r="G156" s="130" t="s">
        <v>23</v>
      </c>
      <c r="H156" s="28"/>
      <c r="I156" s="26">
        <v>1.0</v>
      </c>
      <c r="J156" s="515"/>
      <c r="K156" s="28"/>
      <c r="L156" s="53" t="s">
        <v>571</v>
      </c>
      <c r="M156" s="106" t="s">
        <v>1190</v>
      </c>
      <c r="N156" s="113"/>
      <c r="O156" s="32">
        <v>207.0</v>
      </c>
    </row>
    <row r="157">
      <c r="A157" s="20" t="s">
        <v>1191</v>
      </c>
      <c r="B157" s="26"/>
      <c r="C157" s="22">
        <v>4.3E7</v>
      </c>
      <c r="D157" s="26">
        <v>2016.0</v>
      </c>
      <c r="E157" s="26" t="s">
        <v>2251</v>
      </c>
      <c r="F157" s="26" t="s">
        <v>28</v>
      </c>
      <c r="G157" s="26" t="s">
        <v>23</v>
      </c>
      <c r="H157" s="28"/>
      <c r="I157" s="26">
        <v>4.0</v>
      </c>
      <c r="J157" s="515"/>
      <c r="K157" s="28"/>
      <c r="L157" s="53" t="s">
        <v>34</v>
      </c>
      <c r="M157" s="106" t="s">
        <v>1193</v>
      </c>
      <c r="N157" s="113"/>
      <c r="O157" s="32">
        <v>206.0</v>
      </c>
    </row>
    <row r="158">
      <c r="A158" s="20" t="s">
        <v>1194</v>
      </c>
      <c r="B158" s="26"/>
      <c r="C158" s="22">
        <v>1.0E7</v>
      </c>
      <c r="D158" s="26">
        <v>2016.0</v>
      </c>
      <c r="E158" s="34" t="s">
        <v>2291</v>
      </c>
      <c r="F158" s="26" t="s">
        <v>28</v>
      </c>
      <c r="G158" s="26" t="s">
        <v>23</v>
      </c>
      <c r="H158" s="28"/>
      <c r="I158" s="26">
        <v>2.0</v>
      </c>
      <c r="J158" s="515"/>
      <c r="K158" s="28"/>
      <c r="L158" s="53" t="s">
        <v>1196</v>
      </c>
      <c r="M158" s="106" t="s">
        <v>1197</v>
      </c>
      <c r="N158" s="113"/>
      <c r="O158" s="32">
        <v>205.0</v>
      </c>
    </row>
    <row r="159">
      <c r="A159" s="20" t="s">
        <v>712</v>
      </c>
      <c r="B159" s="26"/>
      <c r="C159" s="22">
        <v>34000.0</v>
      </c>
      <c r="D159" s="26">
        <v>2016.0</v>
      </c>
      <c r="E159" s="26" t="s">
        <v>2499</v>
      </c>
      <c r="F159" s="26" t="s">
        <v>2514</v>
      </c>
      <c r="G159" s="130" t="s">
        <v>23</v>
      </c>
      <c r="H159" s="28"/>
      <c r="I159" s="26">
        <v>4.0</v>
      </c>
      <c r="J159" s="515"/>
      <c r="K159" s="28"/>
      <c r="L159" s="53" t="s">
        <v>1199</v>
      </c>
      <c r="M159" s="106" t="s">
        <v>1200</v>
      </c>
      <c r="N159" s="113"/>
      <c r="O159" s="32">
        <v>204.0</v>
      </c>
    </row>
    <row r="160">
      <c r="A160" s="52" t="s">
        <v>1201</v>
      </c>
      <c r="B160" s="34" t="s">
        <v>1202</v>
      </c>
      <c r="C160" s="22">
        <v>4.12E8</v>
      </c>
      <c r="D160" s="26">
        <v>2016.0</v>
      </c>
      <c r="E160" s="34" t="s">
        <v>2182</v>
      </c>
      <c r="F160" s="115" t="s">
        <v>28</v>
      </c>
      <c r="G160" s="115" t="s">
        <v>23</v>
      </c>
      <c r="H160" s="53"/>
      <c r="I160" s="130">
        <v>1.0</v>
      </c>
      <c r="J160" s="513">
        <v>4.12E8</v>
      </c>
      <c r="K160" s="28"/>
      <c r="L160" s="34" t="s">
        <v>571</v>
      </c>
      <c r="M160" s="146" t="s">
        <v>1205</v>
      </c>
      <c r="N160" s="155"/>
      <c r="O160" s="32">
        <v>203.0</v>
      </c>
    </row>
    <row r="161">
      <c r="A161" s="20" t="s">
        <v>1206</v>
      </c>
      <c r="B161" s="26" t="s">
        <v>1207</v>
      </c>
      <c r="C161" s="22">
        <v>790724.0</v>
      </c>
      <c r="D161" s="26">
        <v>2016.0</v>
      </c>
      <c r="E161" s="34" t="s">
        <v>2405</v>
      </c>
      <c r="F161" s="26" t="s">
        <v>28</v>
      </c>
      <c r="G161" s="26" t="s">
        <v>23</v>
      </c>
      <c r="H161" s="28"/>
      <c r="I161" s="26">
        <v>4.0</v>
      </c>
      <c r="J161" s="518"/>
      <c r="K161" s="26"/>
      <c r="L161" s="34" t="s">
        <v>30</v>
      </c>
      <c r="M161" s="106" t="s">
        <v>1209</v>
      </c>
      <c r="N161" s="113"/>
      <c r="O161" s="32">
        <v>202.0</v>
      </c>
    </row>
    <row r="162">
      <c r="A162" s="20" t="s">
        <v>1210</v>
      </c>
      <c r="B162" s="26"/>
      <c r="C162" s="22">
        <v>6600000.0</v>
      </c>
      <c r="D162" s="26">
        <v>2016.0</v>
      </c>
      <c r="E162" s="26" t="s">
        <v>2304</v>
      </c>
      <c r="F162" s="26" t="s">
        <v>28</v>
      </c>
      <c r="G162" s="26" t="s">
        <v>23</v>
      </c>
      <c r="H162" s="28"/>
      <c r="I162" s="26">
        <v>5.0</v>
      </c>
      <c r="J162" s="515"/>
      <c r="K162" s="28"/>
      <c r="L162" s="53" t="s">
        <v>1212</v>
      </c>
      <c r="M162" s="106" t="s">
        <v>1213</v>
      </c>
      <c r="N162" s="113"/>
      <c r="O162" s="32">
        <v>201.0</v>
      </c>
    </row>
    <row r="163">
      <c r="A163" s="114" t="s">
        <v>1214</v>
      </c>
      <c r="B163" s="115" t="s">
        <v>1215</v>
      </c>
      <c r="C163" s="22">
        <v>1100000.0</v>
      </c>
      <c r="D163" s="26">
        <v>2015.0</v>
      </c>
      <c r="E163" s="34" t="s">
        <v>2389</v>
      </c>
      <c r="F163" s="115" t="s">
        <v>2514</v>
      </c>
      <c r="G163" s="115" t="s">
        <v>23</v>
      </c>
      <c r="H163" s="53"/>
      <c r="I163" s="130">
        <v>1.0</v>
      </c>
      <c r="J163" s="515"/>
      <c r="K163" s="53"/>
      <c r="L163" s="34" t="s">
        <v>702</v>
      </c>
      <c r="M163" s="146" t="s">
        <v>1217</v>
      </c>
      <c r="N163" s="19"/>
      <c r="O163" s="32">
        <v>200.0</v>
      </c>
    </row>
    <row r="164">
      <c r="A164" s="156" t="s">
        <v>499</v>
      </c>
      <c r="B164" s="115" t="s">
        <v>1218</v>
      </c>
      <c r="C164" s="22">
        <v>1.0E7</v>
      </c>
      <c r="D164" s="26">
        <v>2015.0</v>
      </c>
      <c r="E164" s="34" t="s">
        <v>2292</v>
      </c>
      <c r="F164" s="115" t="s">
        <v>2514</v>
      </c>
      <c r="G164" s="115" t="s">
        <v>23</v>
      </c>
      <c r="H164" s="53"/>
      <c r="I164" s="130">
        <v>1.0</v>
      </c>
      <c r="J164" s="515"/>
      <c r="K164" s="53"/>
      <c r="L164" s="53" t="s">
        <v>499</v>
      </c>
      <c r="M164" s="157" t="s">
        <v>1220</v>
      </c>
      <c r="N164" s="19"/>
      <c r="O164" s="32">
        <v>199.0</v>
      </c>
    </row>
    <row r="165">
      <c r="A165" s="114" t="s">
        <v>1221</v>
      </c>
      <c r="B165" s="115" t="s">
        <v>1222</v>
      </c>
      <c r="C165" s="22">
        <v>1.1E7</v>
      </c>
      <c r="D165" s="26">
        <v>2015.0</v>
      </c>
      <c r="E165" s="34" t="s">
        <v>2289</v>
      </c>
      <c r="F165" s="115" t="s">
        <v>2514</v>
      </c>
      <c r="G165" s="115" t="s">
        <v>23</v>
      </c>
      <c r="H165" s="53"/>
      <c r="I165" s="26">
        <v>5.0</v>
      </c>
      <c r="J165" s="515"/>
      <c r="K165" s="53"/>
      <c r="L165" s="34" t="s">
        <v>1224</v>
      </c>
      <c r="M165" s="157" t="s">
        <v>1225</v>
      </c>
      <c r="N165" s="19"/>
      <c r="O165" s="32">
        <v>198.0</v>
      </c>
    </row>
    <row r="166">
      <c r="A166" s="114" t="s">
        <v>288</v>
      </c>
      <c r="B166" s="53"/>
      <c r="C166" s="22">
        <v>50000.0</v>
      </c>
      <c r="D166" s="26">
        <v>2015.0</v>
      </c>
      <c r="E166" s="34" t="s">
        <v>2493</v>
      </c>
      <c r="F166" s="26" t="s">
        <v>2494</v>
      </c>
      <c r="G166" s="115" t="s">
        <v>51</v>
      </c>
      <c r="H166" s="53"/>
      <c r="I166" s="130">
        <v>1.0</v>
      </c>
      <c r="J166" s="515"/>
      <c r="K166" s="53"/>
      <c r="L166" s="34" t="s">
        <v>880</v>
      </c>
      <c r="M166" s="157" t="s">
        <v>1228</v>
      </c>
      <c r="N166" s="19"/>
      <c r="O166" s="32">
        <v>197.0</v>
      </c>
    </row>
    <row r="167">
      <c r="A167" s="137" t="s">
        <v>1229</v>
      </c>
      <c r="B167" s="142"/>
      <c r="C167" s="119">
        <v>1.98E8</v>
      </c>
      <c r="D167" s="26">
        <v>2015.0</v>
      </c>
      <c r="E167" s="26" t="s">
        <v>2192</v>
      </c>
      <c r="F167" s="53" t="s">
        <v>28</v>
      </c>
      <c r="G167" s="26" t="s">
        <v>51</v>
      </c>
      <c r="H167" s="53"/>
      <c r="I167" s="26">
        <v>2.0</v>
      </c>
      <c r="J167" s="513">
        <v>1.98E8</v>
      </c>
      <c r="K167" s="53"/>
      <c r="L167" s="53" t="s">
        <v>1232</v>
      </c>
      <c r="M167" s="152" t="s">
        <v>1233</v>
      </c>
      <c r="N167" s="158" t="s">
        <v>1234</v>
      </c>
      <c r="O167" s="32">
        <v>196.0</v>
      </c>
    </row>
    <row r="168">
      <c r="A168" s="20" t="s">
        <v>1235</v>
      </c>
      <c r="B168" s="26" t="s">
        <v>1236</v>
      </c>
      <c r="C168" s="22">
        <v>1.3E7</v>
      </c>
      <c r="D168" s="26">
        <v>2015.0</v>
      </c>
      <c r="E168" s="26" t="s">
        <v>2285</v>
      </c>
      <c r="F168" s="26" t="s">
        <v>28</v>
      </c>
      <c r="G168" s="26" t="s">
        <v>23</v>
      </c>
      <c r="H168" s="28"/>
      <c r="I168" s="26">
        <v>1.0</v>
      </c>
      <c r="J168" s="515"/>
      <c r="K168" s="28"/>
      <c r="L168" s="34" t="s">
        <v>147</v>
      </c>
      <c r="M168" s="106" t="s">
        <v>1238</v>
      </c>
      <c r="N168" s="106" t="s">
        <v>1239</v>
      </c>
      <c r="O168" s="32">
        <v>195.0</v>
      </c>
    </row>
    <row r="169">
      <c r="A169" s="20" t="s">
        <v>1240</v>
      </c>
      <c r="B169" s="111" t="s">
        <v>1241</v>
      </c>
      <c r="C169" s="22">
        <v>40000.0</v>
      </c>
      <c r="D169" s="26">
        <v>2015.0</v>
      </c>
      <c r="E169" s="26" t="s">
        <v>2497</v>
      </c>
      <c r="F169" s="26" t="s">
        <v>2153</v>
      </c>
      <c r="G169" s="26" t="s">
        <v>23</v>
      </c>
      <c r="H169" s="28"/>
      <c r="I169" s="26">
        <v>4.0</v>
      </c>
      <c r="J169" s="515"/>
      <c r="K169" s="28"/>
      <c r="L169" s="53" t="s">
        <v>1243</v>
      </c>
      <c r="M169" s="106" t="s">
        <v>1244</v>
      </c>
      <c r="N169" s="113"/>
      <c r="O169" s="32">
        <v>194.0</v>
      </c>
    </row>
    <row r="170">
      <c r="A170" s="20" t="s">
        <v>1245</v>
      </c>
      <c r="B170" s="111" t="s">
        <v>1246</v>
      </c>
      <c r="C170" s="22">
        <v>3300000.0</v>
      </c>
      <c r="D170" s="26">
        <v>2015.0</v>
      </c>
      <c r="E170" s="26" t="s">
        <v>2340</v>
      </c>
      <c r="F170" s="26" t="s">
        <v>28</v>
      </c>
      <c r="G170" s="26" t="s">
        <v>51</v>
      </c>
      <c r="H170" s="28"/>
      <c r="I170" s="26">
        <v>2.0</v>
      </c>
      <c r="J170" s="515"/>
      <c r="K170" s="28"/>
      <c r="L170" s="53" t="s">
        <v>1248</v>
      </c>
      <c r="M170" s="106" t="s">
        <v>1249</v>
      </c>
      <c r="N170" s="113"/>
      <c r="O170" s="32">
        <v>193.0</v>
      </c>
    </row>
    <row r="171">
      <c r="A171" s="20" t="s">
        <v>1250</v>
      </c>
      <c r="B171" s="26" t="s">
        <v>1251</v>
      </c>
      <c r="C171" s="22">
        <v>6400000.0</v>
      </c>
      <c r="D171" s="26">
        <v>2015.0</v>
      </c>
      <c r="E171" s="26" t="s">
        <v>2306</v>
      </c>
      <c r="F171" s="26" t="s">
        <v>28</v>
      </c>
      <c r="G171" s="26" t="s">
        <v>23</v>
      </c>
      <c r="H171" s="28"/>
      <c r="I171" s="26">
        <v>5.0</v>
      </c>
      <c r="J171" s="515"/>
      <c r="K171" s="28"/>
      <c r="L171" s="53" t="s">
        <v>325</v>
      </c>
      <c r="M171" s="106" t="s">
        <v>1253</v>
      </c>
      <c r="N171" s="106" t="s">
        <v>1254</v>
      </c>
      <c r="O171" s="32">
        <v>192.0</v>
      </c>
    </row>
    <row r="172">
      <c r="A172" s="114" t="s">
        <v>1255</v>
      </c>
      <c r="B172" s="53"/>
      <c r="C172" s="22">
        <v>500000.0</v>
      </c>
      <c r="D172" s="26">
        <v>2015.0</v>
      </c>
      <c r="E172" s="34" t="s">
        <v>2418</v>
      </c>
      <c r="F172" s="115" t="s">
        <v>28</v>
      </c>
      <c r="G172" s="115" t="s">
        <v>23</v>
      </c>
      <c r="H172" s="115" t="s">
        <v>29</v>
      </c>
      <c r="I172" s="26">
        <v>5.0</v>
      </c>
      <c r="J172" s="515"/>
      <c r="K172" s="53"/>
      <c r="L172" s="53" t="s">
        <v>325</v>
      </c>
      <c r="M172" s="116" t="s">
        <v>1257</v>
      </c>
      <c r="N172" s="19"/>
      <c r="O172" s="32">
        <v>191.0</v>
      </c>
    </row>
    <row r="173">
      <c r="A173" s="159" t="s">
        <v>1258</v>
      </c>
      <c r="B173" s="115" t="s">
        <v>1259</v>
      </c>
      <c r="C173" s="22">
        <v>3.7E7</v>
      </c>
      <c r="D173" s="26">
        <v>2015.0</v>
      </c>
      <c r="E173" s="34" t="s">
        <v>2256</v>
      </c>
      <c r="F173" s="115" t="s">
        <v>28</v>
      </c>
      <c r="G173" s="115" t="s">
        <v>23</v>
      </c>
      <c r="H173" s="53"/>
      <c r="I173" s="26">
        <v>1.0</v>
      </c>
      <c r="J173" s="515"/>
      <c r="K173" s="53"/>
      <c r="L173" s="53" t="s">
        <v>702</v>
      </c>
      <c r="M173" s="160" t="s">
        <v>1261</v>
      </c>
      <c r="N173" s="19"/>
      <c r="O173" s="32">
        <v>190.0</v>
      </c>
    </row>
    <row r="174">
      <c r="A174" s="114" t="s">
        <v>1262</v>
      </c>
      <c r="B174" s="53"/>
      <c r="C174" s="22">
        <v>2.15E7</v>
      </c>
      <c r="D174" s="26">
        <v>2015.0</v>
      </c>
      <c r="E174" s="34" t="s">
        <v>2271</v>
      </c>
      <c r="F174" s="115" t="s">
        <v>64</v>
      </c>
      <c r="G174" s="115" t="s">
        <v>23</v>
      </c>
      <c r="H174" s="53"/>
      <c r="I174" s="26">
        <v>5.0</v>
      </c>
      <c r="J174" s="515"/>
      <c r="K174" s="53"/>
      <c r="L174" s="53" t="s">
        <v>905</v>
      </c>
      <c r="M174" s="160" t="s">
        <v>1264</v>
      </c>
      <c r="N174" s="116" t="s">
        <v>1265</v>
      </c>
      <c r="O174" s="32">
        <v>189.0</v>
      </c>
    </row>
    <row r="175">
      <c r="A175" s="114" t="s">
        <v>1266</v>
      </c>
      <c r="B175" s="53"/>
      <c r="C175" s="22">
        <v>4000000.0</v>
      </c>
      <c r="D175" s="26">
        <v>2015.0</v>
      </c>
      <c r="E175" s="34" t="s">
        <v>2326</v>
      </c>
      <c r="F175" s="115" t="s">
        <v>64</v>
      </c>
      <c r="G175" s="115" t="s">
        <v>23</v>
      </c>
      <c r="H175" s="53"/>
      <c r="I175" s="26">
        <v>2.0</v>
      </c>
      <c r="J175" s="515"/>
      <c r="K175" s="53"/>
      <c r="L175" s="53" t="s">
        <v>710</v>
      </c>
      <c r="M175" s="160" t="s">
        <v>1268</v>
      </c>
      <c r="N175" s="19"/>
      <c r="O175" s="32">
        <v>188.0</v>
      </c>
    </row>
    <row r="176">
      <c r="A176" s="161" t="s">
        <v>1269</v>
      </c>
      <c r="B176" s="53"/>
      <c r="C176" s="22">
        <v>30.0</v>
      </c>
      <c r="D176" s="26">
        <v>2015.0</v>
      </c>
      <c r="E176" s="34" t="s">
        <v>2504</v>
      </c>
      <c r="F176" s="130" t="s">
        <v>64</v>
      </c>
      <c r="G176" s="419" t="s">
        <v>142</v>
      </c>
      <c r="H176" s="34" t="s">
        <v>29</v>
      </c>
      <c r="I176" s="26">
        <v>4.0</v>
      </c>
      <c r="J176" s="515"/>
      <c r="K176" s="53"/>
      <c r="L176" s="53" t="s">
        <v>325</v>
      </c>
      <c r="M176" s="157" t="s">
        <v>1271</v>
      </c>
      <c r="N176" s="19"/>
      <c r="O176" s="32">
        <v>187.0</v>
      </c>
    </row>
    <row r="177">
      <c r="A177" s="161" t="s">
        <v>1272</v>
      </c>
      <c r="B177" s="115" t="s">
        <v>1273</v>
      </c>
      <c r="C177" s="22">
        <v>100000.0</v>
      </c>
      <c r="D177" s="26">
        <v>2015.0</v>
      </c>
      <c r="E177" s="34" t="s">
        <v>2478</v>
      </c>
      <c r="F177" s="115" t="s">
        <v>64</v>
      </c>
      <c r="G177" s="34" t="s">
        <v>23</v>
      </c>
      <c r="H177" s="53"/>
      <c r="I177" s="130">
        <v>1.0</v>
      </c>
      <c r="J177" s="515"/>
      <c r="K177" s="53"/>
      <c r="L177" s="53" t="s">
        <v>1088</v>
      </c>
      <c r="M177" s="160" t="s">
        <v>1275</v>
      </c>
      <c r="N177" s="19"/>
      <c r="O177" s="32">
        <v>186.0</v>
      </c>
    </row>
    <row r="178">
      <c r="A178" s="161" t="s">
        <v>1276</v>
      </c>
      <c r="B178" s="115" t="s">
        <v>1277</v>
      </c>
      <c r="C178" s="22">
        <v>400000.0</v>
      </c>
      <c r="D178" s="26">
        <v>2015.0</v>
      </c>
      <c r="E178" s="34" t="s">
        <v>2425</v>
      </c>
      <c r="F178" s="26" t="s">
        <v>2163</v>
      </c>
      <c r="G178" s="115" t="s">
        <v>23</v>
      </c>
      <c r="H178" s="53"/>
      <c r="I178" s="26">
        <v>2.0</v>
      </c>
      <c r="J178" s="515"/>
      <c r="K178" s="53"/>
      <c r="L178" s="53" t="s">
        <v>702</v>
      </c>
      <c r="M178" s="162" t="s">
        <v>1279</v>
      </c>
      <c r="N178" s="19"/>
      <c r="O178" s="32">
        <v>185.0</v>
      </c>
    </row>
    <row r="179">
      <c r="A179" s="161" t="s">
        <v>1280</v>
      </c>
      <c r="B179" s="115" t="s">
        <v>1281</v>
      </c>
      <c r="C179" s="22">
        <v>3900000.0</v>
      </c>
      <c r="D179" s="26">
        <v>2015.0</v>
      </c>
      <c r="E179" s="34" t="s">
        <v>2334</v>
      </c>
      <c r="F179" s="115" t="s">
        <v>28</v>
      </c>
      <c r="G179" s="115" t="s">
        <v>23</v>
      </c>
      <c r="H179" s="53"/>
      <c r="I179" s="130">
        <v>1.0</v>
      </c>
      <c r="J179" s="515"/>
      <c r="K179" s="53"/>
      <c r="L179" s="53" t="s">
        <v>1283</v>
      </c>
      <c r="M179" s="160" t="s">
        <v>1284</v>
      </c>
      <c r="N179" s="19"/>
      <c r="O179" s="32">
        <v>184.0</v>
      </c>
    </row>
    <row r="180">
      <c r="A180" s="163" t="s">
        <v>1285</v>
      </c>
      <c r="B180" s="111" t="s">
        <v>1286</v>
      </c>
      <c r="C180" s="22">
        <v>7.0E7</v>
      </c>
      <c r="D180" s="26">
        <v>2015.0</v>
      </c>
      <c r="E180" s="26" t="s">
        <v>2211</v>
      </c>
      <c r="F180" s="26" t="s">
        <v>28</v>
      </c>
      <c r="G180" s="26" t="s">
        <v>23</v>
      </c>
      <c r="H180" s="26" t="s">
        <v>29</v>
      </c>
      <c r="I180" s="26">
        <v>5.0</v>
      </c>
      <c r="J180" s="513">
        <v>7.0E7</v>
      </c>
      <c r="K180" s="28"/>
      <c r="L180" s="53" t="s">
        <v>1289</v>
      </c>
      <c r="M180" s="106" t="s">
        <v>1290</v>
      </c>
      <c r="N180" s="113"/>
      <c r="O180" s="32">
        <v>183.0</v>
      </c>
    </row>
    <row r="181">
      <c r="A181" s="163" t="s">
        <v>1291</v>
      </c>
      <c r="B181" s="34" t="s">
        <v>1292</v>
      </c>
      <c r="C181" s="22">
        <v>157000.0</v>
      </c>
      <c r="D181" s="26">
        <v>2015.0</v>
      </c>
      <c r="E181" s="26" t="s">
        <v>2460</v>
      </c>
      <c r="F181" s="26" t="s">
        <v>129</v>
      </c>
      <c r="G181" s="26" t="s">
        <v>23</v>
      </c>
      <c r="H181" s="28"/>
      <c r="I181" s="26">
        <v>2.0</v>
      </c>
      <c r="J181" s="515"/>
      <c r="K181" s="28"/>
      <c r="L181" s="53" t="s">
        <v>905</v>
      </c>
      <c r="M181" s="125" t="s">
        <v>1294</v>
      </c>
      <c r="N181" s="106" t="s">
        <v>1295</v>
      </c>
      <c r="O181" s="32">
        <v>182.0</v>
      </c>
    </row>
    <row r="182">
      <c r="A182" s="164" t="s">
        <v>1296</v>
      </c>
      <c r="B182" s="115"/>
      <c r="C182" s="22">
        <v>1.5E7</v>
      </c>
      <c r="D182" s="26">
        <v>2015.0</v>
      </c>
      <c r="E182" s="34" t="s">
        <v>2280</v>
      </c>
      <c r="F182" s="34" t="s">
        <v>129</v>
      </c>
      <c r="G182" s="115" t="s">
        <v>23</v>
      </c>
      <c r="H182" s="53"/>
      <c r="I182" s="26">
        <v>3.0</v>
      </c>
      <c r="J182" s="515"/>
      <c r="K182" s="53"/>
      <c r="L182" s="53" t="s">
        <v>286</v>
      </c>
      <c r="M182" s="146" t="s">
        <v>1298</v>
      </c>
      <c r="N182" s="19"/>
      <c r="O182" s="32">
        <v>181.0</v>
      </c>
    </row>
    <row r="183">
      <c r="A183" s="114" t="s">
        <v>1299</v>
      </c>
      <c r="B183" s="115" t="s">
        <v>1300</v>
      </c>
      <c r="C183" s="22">
        <v>500000.0</v>
      </c>
      <c r="D183" s="26">
        <v>2015.0</v>
      </c>
      <c r="E183" s="34" t="s">
        <v>2419</v>
      </c>
      <c r="F183" s="26" t="s">
        <v>2163</v>
      </c>
      <c r="G183" s="34" t="s">
        <v>23</v>
      </c>
      <c r="H183" s="53"/>
      <c r="I183" s="130">
        <v>1.0</v>
      </c>
      <c r="J183" s="515"/>
      <c r="K183" s="53"/>
      <c r="L183" s="53" t="s">
        <v>34</v>
      </c>
      <c r="M183" s="157" t="s">
        <v>1302</v>
      </c>
      <c r="N183" s="19"/>
      <c r="O183" s="32">
        <v>180.0</v>
      </c>
    </row>
    <row r="184">
      <c r="A184" s="114" t="s">
        <v>1303</v>
      </c>
      <c r="B184" s="115" t="s">
        <v>1304</v>
      </c>
      <c r="C184" s="22">
        <v>2400000.0</v>
      </c>
      <c r="D184" s="26">
        <v>2015.0</v>
      </c>
      <c r="E184" s="34" t="s">
        <v>2356</v>
      </c>
      <c r="F184" s="34" t="s">
        <v>129</v>
      </c>
      <c r="G184" s="115" t="s">
        <v>23</v>
      </c>
      <c r="H184" s="53"/>
      <c r="I184" s="26">
        <v>5.0</v>
      </c>
      <c r="J184" s="515"/>
      <c r="K184" s="53"/>
      <c r="L184" s="53" t="s">
        <v>325</v>
      </c>
      <c r="M184" s="160" t="s">
        <v>1306</v>
      </c>
      <c r="N184" s="19"/>
      <c r="O184" s="32">
        <v>179.0</v>
      </c>
    </row>
    <row r="185">
      <c r="A185" s="114" t="s">
        <v>882</v>
      </c>
      <c r="B185" s="115" t="s">
        <v>1307</v>
      </c>
      <c r="C185" s="22">
        <v>10000.0</v>
      </c>
      <c r="D185" s="26">
        <v>2015.0</v>
      </c>
      <c r="E185" s="34" t="s">
        <v>2502</v>
      </c>
      <c r="F185" s="422" t="s">
        <v>22</v>
      </c>
      <c r="G185" s="130" t="s">
        <v>23</v>
      </c>
      <c r="H185" s="53"/>
      <c r="I185" s="130">
        <v>1.0</v>
      </c>
      <c r="J185" s="515"/>
      <c r="K185" s="53"/>
      <c r="L185" s="53" t="s">
        <v>325</v>
      </c>
      <c r="M185" s="160" t="s">
        <v>1309</v>
      </c>
      <c r="N185" s="117"/>
      <c r="O185" s="32">
        <v>178.0</v>
      </c>
    </row>
    <row r="186">
      <c r="A186" s="114" t="s">
        <v>1310</v>
      </c>
      <c r="B186" s="115" t="s">
        <v>1311</v>
      </c>
      <c r="C186" s="22">
        <v>8.0E7</v>
      </c>
      <c r="D186" s="26">
        <v>2015.0</v>
      </c>
      <c r="E186" s="34" t="s">
        <v>2209</v>
      </c>
      <c r="F186" s="130" t="s">
        <v>2514</v>
      </c>
      <c r="G186" s="115" t="s">
        <v>23</v>
      </c>
      <c r="H186" s="115" t="s">
        <v>29</v>
      </c>
      <c r="I186" s="26">
        <v>2.0</v>
      </c>
      <c r="J186" s="513">
        <v>8.0E7</v>
      </c>
      <c r="K186" s="53"/>
      <c r="L186" s="34" t="s">
        <v>688</v>
      </c>
      <c r="M186" s="135" t="s">
        <v>1314</v>
      </c>
      <c r="N186" s="19"/>
      <c r="O186" s="32">
        <v>177.0</v>
      </c>
    </row>
    <row r="187">
      <c r="A187" s="163" t="s">
        <v>1315</v>
      </c>
      <c r="B187" s="111"/>
      <c r="C187" s="22">
        <v>4500000.0</v>
      </c>
      <c r="D187" s="26">
        <v>2015.0</v>
      </c>
      <c r="E187" s="26" t="s">
        <v>2226</v>
      </c>
      <c r="F187" s="26" t="s">
        <v>2514</v>
      </c>
      <c r="G187" s="26" t="s">
        <v>23</v>
      </c>
      <c r="H187" s="28"/>
      <c r="I187" s="26">
        <v>4.0</v>
      </c>
      <c r="J187" s="27">
        <v>4500000.0</v>
      </c>
      <c r="K187" s="28"/>
      <c r="L187" s="34" t="s">
        <v>1318</v>
      </c>
      <c r="M187" s="467" t="s">
        <v>1319</v>
      </c>
      <c r="N187" s="31"/>
      <c r="O187" s="32">
        <v>176.0</v>
      </c>
    </row>
    <row r="188">
      <c r="A188" s="165" t="s">
        <v>509</v>
      </c>
      <c r="B188" s="130" t="s">
        <v>1320</v>
      </c>
      <c r="C188" s="22">
        <v>1100000.0</v>
      </c>
      <c r="D188" s="26">
        <v>2014.0</v>
      </c>
      <c r="E188" s="111" t="s">
        <v>2390</v>
      </c>
      <c r="F188" s="130" t="s">
        <v>43</v>
      </c>
      <c r="G188" s="130" t="s">
        <v>23</v>
      </c>
      <c r="H188" s="28"/>
      <c r="I188" s="26">
        <v>2.0</v>
      </c>
      <c r="J188" s="515"/>
      <c r="K188" s="28"/>
      <c r="L188" s="53" t="s">
        <v>841</v>
      </c>
      <c r="M188" s="166" t="s">
        <v>1322</v>
      </c>
      <c r="N188" s="166" t="s">
        <v>1323</v>
      </c>
      <c r="O188" s="32">
        <v>175.0</v>
      </c>
    </row>
    <row r="189">
      <c r="A189" s="165" t="s">
        <v>1324</v>
      </c>
      <c r="B189" s="28"/>
      <c r="C189" s="22">
        <v>2400000.0</v>
      </c>
      <c r="D189" s="26">
        <v>2014.0</v>
      </c>
      <c r="E189" s="111" t="s">
        <v>2357</v>
      </c>
      <c r="F189" s="130" t="s">
        <v>28</v>
      </c>
      <c r="G189" s="130" t="s">
        <v>23</v>
      </c>
      <c r="H189" s="28"/>
      <c r="I189" s="130">
        <v>1.0</v>
      </c>
      <c r="J189" s="515"/>
      <c r="K189" s="28"/>
      <c r="L189" s="34" t="s">
        <v>918</v>
      </c>
      <c r="M189" s="106" t="s">
        <v>1326</v>
      </c>
      <c r="N189" s="113"/>
      <c r="O189" s="32">
        <v>174.0</v>
      </c>
    </row>
    <row r="190">
      <c r="A190" s="20" t="s">
        <v>1327</v>
      </c>
      <c r="B190" s="28"/>
      <c r="C190" s="22">
        <v>4500000.0</v>
      </c>
      <c r="D190" s="26">
        <v>2014.0</v>
      </c>
      <c r="E190" s="26" t="s">
        <v>2321</v>
      </c>
      <c r="F190" s="130" t="s">
        <v>2514</v>
      </c>
      <c r="G190" s="130" t="s">
        <v>23</v>
      </c>
      <c r="H190" s="130" t="s">
        <v>29</v>
      </c>
      <c r="I190" s="26">
        <v>2.0</v>
      </c>
      <c r="J190" s="515"/>
      <c r="K190" s="28"/>
      <c r="L190" s="53" t="s">
        <v>1088</v>
      </c>
      <c r="M190" s="166" t="s">
        <v>1329</v>
      </c>
      <c r="N190" s="113"/>
      <c r="O190" s="32">
        <v>173.0</v>
      </c>
    </row>
    <row r="191">
      <c r="A191" s="20" t="s">
        <v>1330</v>
      </c>
      <c r="B191" s="138"/>
      <c r="C191" s="22">
        <v>5190396.0</v>
      </c>
      <c r="D191" s="26">
        <v>2014.0</v>
      </c>
      <c r="E191" s="26" t="s">
        <v>2312</v>
      </c>
      <c r="F191" s="26" t="s">
        <v>64</v>
      </c>
      <c r="G191" s="419" t="s">
        <v>142</v>
      </c>
      <c r="H191" s="28"/>
      <c r="I191" s="26">
        <v>2.0</v>
      </c>
      <c r="J191" s="515"/>
      <c r="K191" s="28"/>
      <c r="L191" s="34" t="s">
        <v>1332</v>
      </c>
      <c r="M191" s="106" t="s">
        <v>1333</v>
      </c>
      <c r="N191" s="113"/>
      <c r="O191" s="32">
        <v>172.0</v>
      </c>
    </row>
    <row r="192">
      <c r="A192" s="114" t="s">
        <v>1334</v>
      </c>
      <c r="B192" s="53"/>
      <c r="C192" s="22">
        <v>1.0E7</v>
      </c>
      <c r="D192" s="26">
        <v>2014.0</v>
      </c>
      <c r="E192" s="34" t="s">
        <v>2293</v>
      </c>
      <c r="F192" s="115" t="s">
        <v>2007</v>
      </c>
      <c r="G192" s="115" t="s">
        <v>23</v>
      </c>
      <c r="H192" s="53"/>
      <c r="I192" s="26">
        <v>2.0</v>
      </c>
      <c r="J192" s="515"/>
      <c r="K192" s="53"/>
      <c r="L192" s="53" t="s">
        <v>1336</v>
      </c>
      <c r="M192" s="116" t="s">
        <v>1337</v>
      </c>
      <c r="N192" s="19"/>
      <c r="O192" s="32">
        <v>171.0</v>
      </c>
    </row>
    <row r="193">
      <c r="A193" s="165" t="s">
        <v>1338</v>
      </c>
      <c r="B193" s="53"/>
      <c r="C193" s="22">
        <v>146000.0</v>
      </c>
      <c r="D193" s="26">
        <v>2014.0</v>
      </c>
      <c r="E193" s="26" t="s">
        <v>2463</v>
      </c>
      <c r="F193" s="26" t="s">
        <v>2060</v>
      </c>
      <c r="G193" s="130" t="s">
        <v>51</v>
      </c>
      <c r="H193" s="28"/>
      <c r="I193" s="26">
        <v>2.0</v>
      </c>
      <c r="J193" s="515"/>
      <c r="K193" s="28"/>
      <c r="L193" s="53" t="s">
        <v>1338</v>
      </c>
      <c r="M193" s="166" t="s">
        <v>1340</v>
      </c>
      <c r="N193" s="166" t="s">
        <v>1341</v>
      </c>
      <c r="O193" s="32">
        <v>170.0</v>
      </c>
    </row>
    <row r="194">
      <c r="A194" s="167" t="s">
        <v>1342</v>
      </c>
      <c r="B194" s="28"/>
      <c r="C194" s="22">
        <v>1.45E8</v>
      </c>
      <c r="D194" s="26">
        <v>2014.0</v>
      </c>
      <c r="E194" s="26" t="s">
        <v>2196</v>
      </c>
      <c r="F194" s="130" t="s">
        <v>28</v>
      </c>
      <c r="G194" s="130" t="s">
        <v>23</v>
      </c>
      <c r="H194" s="130" t="s">
        <v>29</v>
      </c>
      <c r="I194" s="130">
        <v>1.0</v>
      </c>
      <c r="J194" s="513">
        <v>1.45E8</v>
      </c>
      <c r="K194" s="28"/>
      <c r="L194" s="34" t="s">
        <v>591</v>
      </c>
      <c r="M194" s="106" t="s">
        <v>1345</v>
      </c>
      <c r="N194" s="113"/>
      <c r="O194" s="32">
        <v>169.0</v>
      </c>
    </row>
    <row r="195">
      <c r="A195" s="161" t="s">
        <v>1346</v>
      </c>
      <c r="B195" s="53"/>
      <c r="C195" s="22">
        <v>4000000.0</v>
      </c>
      <c r="D195" s="26">
        <v>2014.0</v>
      </c>
      <c r="E195" s="34" t="s">
        <v>2327</v>
      </c>
      <c r="F195" s="115" t="s">
        <v>43</v>
      </c>
      <c r="G195" s="115" t="s">
        <v>23</v>
      </c>
      <c r="H195" s="53"/>
      <c r="I195" s="26">
        <v>3.0</v>
      </c>
      <c r="J195" s="515"/>
      <c r="K195" s="53"/>
      <c r="L195" s="53" t="s">
        <v>1348</v>
      </c>
      <c r="M195" s="116" t="s">
        <v>1349</v>
      </c>
      <c r="N195" s="19"/>
      <c r="O195" s="32">
        <v>168.0</v>
      </c>
    </row>
    <row r="196">
      <c r="A196" s="167" t="s">
        <v>1350</v>
      </c>
      <c r="B196" s="28"/>
      <c r="C196" s="22">
        <v>4000000.0</v>
      </c>
      <c r="D196" s="26">
        <v>2014.0</v>
      </c>
      <c r="E196" s="26" t="s">
        <v>2328</v>
      </c>
      <c r="F196" s="130" t="s">
        <v>2153</v>
      </c>
      <c r="G196" s="130" t="s">
        <v>23</v>
      </c>
      <c r="H196" s="28"/>
      <c r="I196" s="130">
        <v>1.0</v>
      </c>
      <c r="J196" s="515"/>
      <c r="K196" s="28"/>
      <c r="L196" s="53" t="s">
        <v>1352</v>
      </c>
      <c r="M196" s="166" t="s">
        <v>1353</v>
      </c>
      <c r="N196" s="113"/>
      <c r="O196" s="32">
        <v>167.0</v>
      </c>
    </row>
    <row r="197">
      <c r="A197" s="114" t="s">
        <v>1354</v>
      </c>
      <c r="B197" s="53"/>
      <c r="C197" s="22">
        <v>7.6E7</v>
      </c>
      <c r="D197" s="26">
        <v>2014.0</v>
      </c>
      <c r="E197" s="34" t="s">
        <v>2210</v>
      </c>
      <c r="F197" s="130" t="s">
        <v>2153</v>
      </c>
      <c r="G197" s="115" t="s">
        <v>23</v>
      </c>
      <c r="H197" s="115" t="s">
        <v>29</v>
      </c>
      <c r="I197" s="26">
        <v>3.0</v>
      </c>
      <c r="J197" s="513">
        <v>7.6E7</v>
      </c>
      <c r="K197" s="53"/>
      <c r="L197" s="53" t="s">
        <v>1357</v>
      </c>
      <c r="M197" s="116" t="s">
        <v>1358</v>
      </c>
      <c r="N197" s="19"/>
      <c r="O197" s="32">
        <v>166.0</v>
      </c>
    </row>
    <row r="198">
      <c r="A198" s="165" t="s">
        <v>1359</v>
      </c>
      <c r="B198" s="28"/>
      <c r="C198" s="22">
        <v>52000.0</v>
      </c>
      <c r="D198" s="26">
        <v>2014.0</v>
      </c>
      <c r="E198" s="26" t="s">
        <v>2491</v>
      </c>
      <c r="F198" s="130" t="s">
        <v>22</v>
      </c>
      <c r="G198" s="130" t="s">
        <v>51</v>
      </c>
      <c r="H198" s="130" t="s">
        <v>29</v>
      </c>
      <c r="I198" s="130">
        <v>1.0</v>
      </c>
      <c r="J198" s="515"/>
      <c r="K198" s="28"/>
      <c r="L198" s="53" t="s">
        <v>902</v>
      </c>
      <c r="M198" s="166" t="s">
        <v>1361</v>
      </c>
      <c r="N198" s="113"/>
      <c r="O198" s="32">
        <v>165.0</v>
      </c>
    </row>
    <row r="199">
      <c r="A199" s="20" t="s">
        <v>1362</v>
      </c>
      <c r="B199" s="26"/>
      <c r="C199" s="22">
        <v>2700000.0</v>
      </c>
      <c r="D199" s="26">
        <v>2014.0</v>
      </c>
      <c r="E199" s="26" t="s">
        <v>2350</v>
      </c>
      <c r="F199" s="26" t="s">
        <v>2153</v>
      </c>
      <c r="G199" s="150" t="s">
        <v>23</v>
      </c>
      <c r="H199" s="28"/>
      <c r="I199" s="26">
        <v>4.0</v>
      </c>
      <c r="J199" s="515"/>
      <c r="K199" s="110"/>
      <c r="L199" s="53" t="s">
        <v>286</v>
      </c>
      <c r="M199" s="106" t="s">
        <v>1364</v>
      </c>
      <c r="N199" s="113"/>
      <c r="O199" s="32">
        <v>164.0</v>
      </c>
    </row>
    <row r="200">
      <c r="A200" s="165" t="s">
        <v>1365</v>
      </c>
      <c r="B200" s="53"/>
      <c r="C200" s="22">
        <v>750000.0</v>
      </c>
      <c r="D200" s="26">
        <v>2014.0</v>
      </c>
      <c r="E200" s="26" t="s">
        <v>2408</v>
      </c>
      <c r="F200" s="130" t="s">
        <v>22</v>
      </c>
      <c r="G200" s="130" t="s">
        <v>23</v>
      </c>
      <c r="H200" s="28"/>
      <c r="I200" s="26">
        <v>2.0</v>
      </c>
      <c r="J200" s="515"/>
      <c r="K200" s="28"/>
      <c r="L200" s="34" t="s">
        <v>1367</v>
      </c>
      <c r="M200" s="166" t="s">
        <v>1368</v>
      </c>
      <c r="N200" s="166" t="s">
        <v>1369</v>
      </c>
      <c r="O200" s="32">
        <v>163.0</v>
      </c>
    </row>
    <row r="201">
      <c r="A201" s="165" t="s">
        <v>1370</v>
      </c>
      <c r="B201" s="53"/>
      <c r="C201" s="22">
        <v>1160000.0</v>
      </c>
      <c r="D201" s="26">
        <v>2014.0</v>
      </c>
      <c r="E201" s="26" t="s">
        <v>2388</v>
      </c>
      <c r="F201" s="26" t="s">
        <v>43</v>
      </c>
      <c r="G201" s="130" t="s">
        <v>23</v>
      </c>
      <c r="H201" s="28"/>
      <c r="I201" s="26">
        <v>3.0</v>
      </c>
      <c r="J201" s="515"/>
      <c r="K201" s="28"/>
      <c r="L201" s="53" t="s">
        <v>817</v>
      </c>
      <c r="M201" s="166" t="s">
        <v>1372</v>
      </c>
      <c r="N201" s="113"/>
      <c r="O201" s="32">
        <v>162.0</v>
      </c>
    </row>
    <row r="202">
      <c r="A202" s="52" t="s">
        <v>1373</v>
      </c>
      <c r="B202" s="53"/>
      <c r="C202" s="22">
        <v>5000000.0</v>
      </c>
      <c r="D202" s="26">
        <v>2014.0</v>
      </c>
      <c r="E202" s="34" t="s">
        <v>2317</v>
      </c>
      <c r="F202" s="115" t="s">
        <v>28</v>
      </c>
      <c r="G202" s="115" t="s">
        <v>23</v>
      </c>
      <c r="H202" s="115" t="s">
        <v>29</v>
      </c>
      <c r="I202" s="130">
        <v>1.0</v>
      </c>
      <c r="J202" s="515"/>
      <c r="K202" s="53"/>
      <c r="L202" s="53" t="s">
        <v>1375</v>
      </c>
      <c r="M202" s="116" t="s">
        <v>1376</v>
      </c>
      <c r="N202" s="19"/>
      <c r="O202" s="32">
        <v>161.0</v>
      </c>
    </row>
    <row r="203">
      <c r="A203" s="114" t="s">
        <v>1377</v>
      </c>
      <c r="B203" s="53"/>
      <c r="C203" s="22">
        <v>5.6E7</v>
      </c>
      <c r="D203" s="26">
        <v>2014.0</v>
      </c>
      <c r="E203" s="34" t="s">
        <v>2241</v>
      </c>
      <c r="F203" s="115" t="s">
        <v>43</v>
      </c>
      <c r="G203" s="115" t="s">
        <v>23</v>
      </c>
      <c r="H203" s="115" t="s">
        <v>29</v>
      </c>
      <c r="I203" s="26">
        <v>3.0</v>
      </c>
      <c r="J203" s="515"/>
      <c r="K203" s="53"/>
      <c r="L203" s="53" t="s">
        <v>702</v>
      </c>
      <c r="M203" s="116" t="s">
        <v>1379</v>
      </c>
      <c r="N203" s="19"/>
      <c r="O203" s="32">
        <v>160.0</v>
      </c>
    </row>
    <row r="204">
      <c r="A204" s="114" t="s">
        <v>1380</v>
      </c>
      <c r="B204" s="53"/>
      <c r="C204" s="22">
        <v>2.0E7</v>
      </c>
      <c r="D204" s="26">
        <v>2014.0</v>
      </c>
      <c r="E204" s="34" t="s">
        <v>2273</v>
      </c>
      <c r="F204" s="115" t="s">
        <v>2153</v>
      </c>
      <c r="G204" s="115" t="s">
        <v>59</v>
      </c>
      <c r="H204" s="53"/>
      <c r="I204" s="26">
        <v>5.0</v>
      </c>
      <c r="J204" s="515"/>
      <c r="K204" s="53"/>
      <c r="L204" s="53" t="s">
        <v>1382</v>
      </c>
      <c r="M204" s="116" t="s">
        <v>1383</v>
      </c>
      <c r="N204" s="19"/>
      <c r="O204" s="32">
        <v>159.0</v>
      </c>
    </row>
    <row r="205">
      <c r="A205" s="165" t="s">
        <v>1384</v>
      </c>
      <c r="B205" s="28"/>
      <c r="C205" s="22">
        <v>600000.0</v>
      </c>
      <c r="D205" s="26">
        <v>2014.0</v>
      </c>
      <c r="E205" s="26" t="s">
        <v>2411</v>
      </c>
      <c r="F205" s="26" t="s">
        <v>43</v>
      </c>
      <c r="G205" s="130" t="s">
        <v>23</v>
      </c>
      <c r="H205" s="28"/>
      <c r="I205" s="130">
        <v>1.0</v>
      </c>
      <c r="J205" s="515"/>
      <c r="K205" s="28"/>
      <c r="L205" s="53" t="s">
        <v>325</v>
      </c>
      <c r="M205" s="166" t="s">
        <v>1386</v>
      </c>
      <c r="N205" s="113"/>
      <c r="O205" s="32">
        <v>158.0</v>
      </c>
    </row>
    <row r="206">
      <c r="A206" s="165" t="s">
        <v>1387</v>
      </c>
      <c r="B206" s="28"/>
      <c r="C206" s="22">
        <v>76000.0</v>
      </c>
      <c r="D206" s="26">
        <v>2014.0</v>
      </c>
      <c r="E206" s="26" t="s">
        <v>2486</v>
      </c>
      <c r="F206" s="130" t="s">
        <v>28</v>
      </c>
      <c r="G206" s="130" t="s">
        <v>51</v>
      </c>
      <c r="H206" s="28"/>
      <c r="I206" s="26">
        <v>2.0</v>
      </c>
      <c r="J206" s="515"/>
      <c r="K206" s="28"/>
      <c r="L206" s="53" t="s">
        <v>325</v>
      </c>
      <c r="M206" s="166" t="s">
        <v>1389</v>
      </c>
      <c r="N206" s="113"/>
      <c r="O206" s="32">
        <v>157.0</v>
      </c>
    </row>
    <row r="207">
      <c r="A207" s="165" t="s">
        <v>1390</v>
      </c>
      <c r="B207" s="130" t="s">
        <v>1391</v>
      </c>
      <c r="C207" s="22">
        <v>1.6E8</v>
      </c>
      <c r="D207" s="26">
        <v>2013.0</v>
      </c>
      <c r="E207" s="26" t="s">
        <v>2194</v>
      </c>
      <c r="F207" s="130" t="s">
        <v>2153</v>
      </c>
      <c r="G207" s="130" t="s">
        <v>23</v>
      </c>
      <c r="H207" s="130" t="s">
        <v>29</v>
      </c>
      <c r="I207" s="26">
        <v>5.0</v>
      </c>
      <c r="J207" s="513">
        <v>1.6E8</v>
      </c>
      <c r="K207" s="28"/>
      <c r="L207" s="34" t="s">
        <v>1394</v>
      </c>
      <c r="M207" s="106" t="s">
        <v>1395</v>
      </c>
      <c r="N207" s="113"/>
      <c r="O207" s="32">
        <v>156.0</v>
      </c>
    </row>
    <row r="208">
      <c r="A208" s="114" t="s">
        <v>1396</v>
      </c>
      <c r="B208" s="28"/>
      <c r="C208" s="22">
        <v>344579.0</v>
      </c>
      <c r="D208" s="26">
        <v>2013.0</v>
      </c>
      <c r="E208" s="26" t="s">
        <v>2430</v>
      </c>
      <c r="F208" s="130" t="s">
        <v>2514</v>
      </c>
      <c r="G208" s="26" t="s">
        <v>1034</v>
      </c>
      <c r="H208" s="130" t="s">
        <v>29</v>
      </c>
      <c r="I208" s="26">
        <v>4.0</v>
      </c>
      <c r="J208" s="515"/>
      <c r="K208" s="53"/>
      <c r="L208" s="34" t="s">
        <v>1398</v>
      </c>
      <c r="M208" s="135" t="s">
        <v>1399</v>
      </c>
      <c r="N208" s="136"/>
      <c r="O208" s="32">
        <v>155.0</v>
      </c>
    </row>
    <row r="209">
      <c r="A209" s="168" t="s">
        <v>1400</v>
      </c>
      <c r="B209" s="169"/>
      <c r="C209" s="170">
        <v>150000.0</v>
      </c>
      <c r="D209" s="173">
        <v>2013.0</v>
      </c>
      <c r="E209" s="173" t="s">
        <v>2462</v>
      </c>
      <c r="F209" s="175" t="s">
        <v>2153</v>
      </c>
      <c r="G209" s="459" t="s">
        <v>142</v>
      </c>
      <c r="H209" s="175" t="s">
        <v>29</v>
      </c>
      <c r="I209" s="173">
        <v>2.0</v>
      </c>
      <c r="J209" s="519"/>
      <c r="K209" s="177"/>
      <c r="L209" s="169" t="s">
        <v>1110</v>
      </c>
      <c r="M209" s="178" t="s">
        <v>1402</v>
      </c>
      <c r="N209" s="179"/>
      <c r="O209" s="32">
        <v>154.0</v>
      </c>
    </row>
    <row r="210">
      <c r="A210" s="165" t="s">
        <v>1403</v>
      </c>
      <c r="B210" s="130" t="s">
        <v>1404</v>
      </c>
      <c r="C210" s="22">
        <v>4.0E7</v>
      </c>
      <c r="D210" s="26">
        <v>2013.0</v>
      </c>
      <c r="E210" s="111" t="s">
        <v>2253</v>
      </c>
      <c r="F210" s="130" t="s">
        <v>28</v>
      </c>
      <c r="G210" s="130" t="s">
        <v>23</v>
      </c>
      <c r="H210" s="28"/>
      <c r="I210" s="130">
        <v>1.0</v>
      </c>
      <c r="J210" s="515"/>
      <c r="K210" s="28"/>
      <c r="L210" s="105" t="s">
        <v>1406</v>
      </c>
      <c r="M210" s="166" t="s">
        <v>1407</v>
      </c>
      <c r="N210" s="106" t="s">
        <v>1408</v>
      </c>
      <c r="O210" s="32">
        <v>153.0</v>
      </c>
    </row>
    <row r="211">
      <c r="A211" s="165" t="s">
        <v>1409</v>
      </c>
      <c r="B211" s="130" t="s">
        <v>1410</v>
      </c>
      <c r="C211" s="119">
        <f>0.01*50000000</f>
        <v>500000</v>
      </c>
      <c r="D211" s="26">
        <v>2013.0</v>
      </c>
      <c r="E211" s="26" t="s">
        <v>2420</v>
      </c>
      <c r="F211" s="130" t="s">
        <v>28</v>
      </c>
      <c r="G211" s="130" t="s">
        <v>23</v>
      </c>
      <c r="H211" s="28"/>
      <c r="I211" s="130">
        <v>1.0</v>
      </c>
      <c r="J211" s="515"/>
      <c r="K211" s="28"/>
      <c r="L211" s="105" t="s">
        <v>1412</v>
      </c>
      <c r="M211" s="166" t="s">
        <v>1413</v>
      </c>
      <c r="N211" s="166" t="s">
        <v>1414</v>
      </c>
      <c r="O211" s="32">
        <v>152.0</v>
      </c>
    </row>
    <row r="212">
      <c r="A212" s="165" t="s">
        <v>1415</v>
      </c>
      <c r="B212" s="130" t="s">
        <v>1416</v>
      </c>
      <c r="C212" s="22">
        <v>5.0E7</v>
      </c>
      <c r="D212" s="26">
        <v>2013.0</v>
      </c>
      <c r="E212" s="26" t="s">
        <v>2243</v>
      </c>
      <c r="F212" s="130" t="s">
        <v>28</v>
      </c>
      <c r="G212" s="130" t="s">
        <v>23</v>
      </c>
      <c r="H212" s="28"/>
      <c r="I212" s="26">
        <v>1.0</v>
      </c>
      <c r="J212" s="515"/>
      <c r="K212" s="28"/>
      <c r="L212" s="34" t="s">
        <v>1418</v>
      </c>
      <c r="M212" s="116" t="s">
        <v>1419</v>
      </c>
      <c r="N212" s="166" t="s">
        <v>1420</v>
      </c>
      <c r="O212" s="32">
        <v>151.0</v>
      </c>
    </row>
    <row r="213">
      <c r="A213" s="20" t="s">
        <v>996</v>
      </c>
      <c r="B213" s="26"/>
      <c r="C213" s="22">
        <v>1.0E9</v>
      </c>
      <c r="D213" s="26">
        <v>2013.0</v>
      </c>
      <c r="E213" s="26" t="s">
        <v>2178</v>
      </c>
      <c r="F213" s="26" t="s">
        <v>28</v>
      </c>
      <c r="G213" s="26" t="s">
        <v>23</v>
      </c>
      <c r="H213" s="28"/>
      <c r="I213" s="26">
        <v>2.0</v>
      </c>
      <c r="J213" s="22">
        <v>3.0E9</v>
      </c>
      <c r="K213" s="28"/>
      <c r="L213" s="34" t="s">
        <v>1423</v>
      </c>
      <c r="M213" s="106" t="s">
        <v>1424</v>
      </c>
      <c r="N213" s="466" t="s">
        <v>1425</v>
      </c>
      <c r="O213" s="32">
        <v>150.0</v>
      </c>
    </row>
    <row r="214">
      <c r="A214" s="165" t="s">
        <v>1426</v>
      </c>
      <c r="B214" s="28"/>
      <c r="C214" s="22">
        <v>4600000.0</v>
      </c>
      <c r="D214" s="26">
        <v>2013.0</v>
      </c>
      <c r="E214" s="111" t="s">
        <v>2320</v>
      </c>
      <c r="F214" s="130" t="s">
        <v>71</v>
      </c>
      <c r="G214" s="130" t="s">
        <v>23</v>
      </c>
      <c r="H214" s="28"/>
      <c r="I214" s="26">
        <v>2.0</v>
      </c>
      <c r="J214" s="515"/>
      <c r="K214" s="28"/>
      <c r="L214" s="34" t="s">
        <v>905</v>
      </c>
      <c r="M214" s="106" t="s">
        <v>1428</v>
      </c>
      <c r="N214" s="113"/>
      <c r="O214" s="32">
        <v>149.0</v>
      </c>
    </row>
    <row r="215">
      <c r="A215" s="20" t="s">
        <v>1429</v>
      </c>
      <c r="B215" s="28"/>
      <c r="C215" s="22">
        <v>74000.0</v>
      </c>
      <c r="D215" s="26">
        <v>2013.0</v>
      </c>
      <c r="E215" s="26" t="s">
        <v>2487</v>
      </c>
      <c r="F215" s="26" t="s">
        <v>2060</v>
      </c>
      <c r="G215" s="26" t="s">
        <v>23</v>
      </c>
      <c r="H215" s="28"/>
      <c r="I215" s="26">
        <v>2.0</v>
      </c>
      <c r="J215" s="515"/>
      <c r="K215" s="28"/>
      <c r="L215" s="105" t="s">
        <v>1429</v>
      </c>
      <c r="M215" s="106" t="s">
        <v>1431</v>
      </c>
      <c r="N215" s="113"/>
      <c r="O215" s="32">
        <v>148.0</v>
      </c>
    </row>
    <row r="216">
      <c r="A216" s="165" t="s">
        <v>1432</v>
      </c>
      <c r="B216" s="28"/>
      <c r="C216" s="22">
        <v>110000.0</v>
      </c>
      <c r="D216" s="26">
        <v>2013.0</v>
      </c>
      <c r="E216" s="26" t="s">
        <v>2473</v>
      </c>
      <c r="F216" s="130" t="s">
        <v>2125</v>
      </c>
      <c r="G216" s="130" t="s">
        <v>23</v>
      </c>
      <c r="H216" s="28"/>
      <c r="I216" s="26">
        <v>3.0</v>
      </c>
      <c r="J216" s="515"/>
      <c r="K216" s="28"/>
      <c r="L216" s="105" t="s">
        <v>1434</v>
      </c>
      <c r="M216" s="106" t="s">
        <v>1435</v>
      </c>
      <c r="N216" s="113"/>
      <c r="O216" s="32">
        <v>147.0</v>
      </c>
    </row>
    <row r="217">
      <c r="A217" s="165" t="s">
        <v>407</v>
      </c>
      <c r="B217" s="28"/>
      <c r="C217" s="22">
        <v>250000.0</v>
      </c>
      <c r="D217" s="26">
        <v>2013.0</v>
      </c>
      <c r="E217" s="26" t="s">
        <v>2442</v>
      </c>
      <c r="F217" s="130" t="s">
        <v>28</v>
      </c>
      <c r="G217" s="26" t="s">
        <v>23</v>
      </c>
      <c r="H217" s="28"/>
      <c r="I217" s="130">
        <v>1.0</v>
      </c>
      <c r="J217" s="515"/>
      <c r="K217" s="28"/>
      <c r="L217" s="105" t="s">
        <v>1088</v>
      </c>
      <c r="M217" s="106" t="s">
        <v>1437</v>
      </c>
      <c r="N217" s="113"/>
      <c r="O217" s="32">
        <v>146.0</v>
      </c>
    </row>
    <row r="218">
      <c r="A218" s="165" t="s">
        <v>1438</v>
      </c>
      <c r="B218" s="28"/>
      <c r="C218" s="22">
        <v>100000.0</v>
      </c>
      <c r="D218" s="26">
        <v>2013.0</v>
      </c>
      <c r="E218" s="26" t="s">
        <v>2479</v>
      </c>
      <c r="F218" s="130" t="s">
        <v>2514</v>
      </c>
      <c r="G218" s="26" t="s">
        <v>1034</v>
      </c>
      <c r="H218" s="28"/>
      <c r="I218" s="26">
        <v>4.0</v>
      </c>
      <c r="J218" s="515"/>
      <c r="K218" s="28"/>
      <c r="L218" s="34" t="s">
        <v>1440</v>
      </c>
      <c r="M218" s="106" t="s">
        <v>1441</v>
      </c>
      <c r="N218" s="113"/>
      <c r="O218" s="32">
        <v>145.0</v>
      </c>
    </row>
    <row r="219">
      <c r="A219" s="165" t="s">
        <v>1442</v>
      </c>
      <c r="B219" s="130"/>
      <c r="C219" s="22">
        <v>100000.0</v>
      </c>
      <c r="D219" s="26">
        <v>2013.0</v>
      </c>
      <c r="E219" s="26" t="s">
        <v>2480</v>
      </c>
      <c r="F219" s="130" t="s">
        <v>64</v>
      </c>
      <c r="G219" s="26" t="s">
        <v>1034</v>
      </c>
      <c r="H219" s="28"/>
      <c r="I219" s="26">
        <v>2.0</v>
      </c>
      <c r="J219" s="515"/>
      <c r="K219" s="28"/>
      <c r="L219" s="34" t="s">
        <v>1026</v>
      </c>
      <c r="M219" s="106" t="s">
        <v>1444</v>
      </c>
      <c r="N219" s="113"/>
      <c r="O219" s="32">
        <v>144.0</v>
      </c>
    </row>
    <row r="220">
      <c r="A220" s="165" t="s">
        <v>1445</v>
      </c>
      <c r="B220" s="53"/>
      <c r="C220" s="22">
        <v>4000000.0</v>
      </c>
      <c r="D220" s="26">
        <v>2013.0</v>
      </c>
      <c r="E220" s="26" t="s">
        <v>2329</v>
      </c>
      <c r="F220" s="130" t="s">
        <v>2514</v>
      </c>
      <c r="G220" s="26" t="s">
        <v>1034</v>
      </c>
      <c r="H220" s="130" t="s">
        <v>29</v>
      </c>
      <c r="I220" s="26">
        <v>2.0</v>
      </c>
      <c r="J220" s="515"/>
      <c r="K220" s="28"/>
      <c r="L220" s="53" t="s">
        <v>1318</v>
      </c>
      <c r="M220" s="166" t="s">
        <v>1447</v>
      </c>
      <c r="N220" s="109"/>
      <c r="O220" s="32">
        <v>143.0</v>
      </c>
    </row>
    <row r="221">
      <c r="A221" s="165" t="s">
        <v>1448</v>
      </c>
      <c r="B221" s="111" t="s">
        <v>1449</v>
      </c>
      <c r="C221" s="22"/>
      <c r="D221" s="26">
        <v>2013.0</v>
      </c>
      <c r="E221" s="34" t="s">
        <v>2448</v>
      </c>
      <c r="F221" s="130" t="s">
        <v>28</v>
      </c>
      <c r="G221" s="130" t="s">
        <v>23</v>
      </c>
      <c r="H221" s="28"/>
      <c r="I221" s="26">
        <v>2.0</v>
      </c>
      <c r="J221" s="515"/>
      <c r="K221" s="28"/>
      <c r="L221" s="53" t="s">
        <v>1448</v>
      </c>
      <c r="M221" s="166" t="s">
        <v>1451</v>
      </c>
      <c r="N221" s="113"/>
      <c r="O221" s="32">
        <v>142.0</v>
      </c>
    </row>
    <row r="222">
      <c r="A222" s="114" t="s">
        <v>1452</v>
      </c>
      <c r="B222" s="28"/>
      <c r="C222" s="22">
        <v>275000.0</v>
      </c>
      <c r="D222" s="26">
        <v>2013.0</v>
      </c>
      <c r="E222" s="26" t="s">
        <v>2438</v>
      </c>
      <c r="F222" s="26" t="s">
        <v>1227</v>
      </c>
      <c r="G222" s="130" t="s">
        <v>23</v>
      </c>
      <c r="H222" s="28"/>
      <c r="I222" s="130">
        <v>1.0</v>
      </c>
      <c r="J222" s="515"/>
      <c r="K222" s="28"/>
      <c r="L222" s="53" t="s">
        <v>325</v>
      </c>
      <c r="M222" s="166" t="s">
        <v>1454</v>
      </c>
      <c r="N222" s="19"/>
      <c r="O222" s="32">
        <v>141.0</v>
      </c>
    </row>
    <row r="223">
      <c r="A223" s="165" t="s">
        <v>1455</v>
      </c>
      <c r="B223" s="111" t="s">
        <v>1456</v>
      </c>
      <c r="C223" s="22">
        <v>500000.0</v>
      </c>
      <c r="D223" s="26">
        <v>2013.0</v>
      </c>
      <c r="E223" s="26" t="s">
        <v>2421</v>
      </c>
      <c r="F223" s="130" t="s">
        <v>2153</v>
      </c>
      <c r="G223" s="130" t="s">
        <v>23</v>
      </c>
      <c r="H223" s="130" t="s">
        <v>29</v>
      </c>
      <c r="I223" s="130">
        <v>1.0</v>
      </c>
      <c r="J223" s="515"/>
      <c r="K223" s="28"/>
      <c r="L223" s="53" t="s">
        <v>286</v>
      </c>
      <c r="M223" s="106" t="s">
        <v>1458</v>
      </c>
      <c r="N223" s="113"/>
      <c r="O223" s="32">
        <v>140.0</v>
      </c>
    </row>
    <row r="224">
      <c r="A224" s="114" t="s">
        <v>1459</v>
      </c>
      <c r="B224" s="115" t="s">
        <v>1460</v>
      </c>
      <c r="C224" s="22">
        <v>5.8E7</v>
      </c>
      <c r="D224" s="26">
        <v>2013.0</v>
      </c>
      <c r="E224" s="34" t="s">
        <v>2240</v>
      </c>
      <c r="F224" s="115" t="s">
        <v>236</v>
      </c>
      <c r="G224" s="115" t="s">
        <v>23</v>
      </c>
      <c r="H224" s="53"/>
      <c r="I224" s="26">
        <v>2.0</v>
      </c>
      <c r="J224" s="515"/>
      <c r="K224" s="53"/>
      <c r="L224" s="34" t="s">
        <v>905</v>
      </c>
      <c r="M224" s="106" t="s">
        <v>1462</v>
      </c>
      <c r="N224" s="19"/>
      <c r="O224" s="32">
        <v>139.0</v>
      </c>
    </row>
    <row r="225">
      <c r="A225" s="165" t="s">
        <v>1463</v>
      </c>
      <c r="B225" s="130" t="s">
        <v>1464</v>
      </c>
      <c r="C225" s="22">
        <v>2000000.0</v>
      </c>
      <c r="D225" s="26">
        <v>2013.0</v>
      </c>
      <c r="E225" s="26" t="s">
        <v>2365</v>
      </c>
      <c r="F225" s="26" t="s">
        <v>1227</v>
      </c>
      <c r="G225" s="130" t="s">
        <v>23</v>
      </c>
      <c r="H225" s="130" t="s">
        <v>29</v>
      </c>
      <c r="I225" s="26">
        <v>3.0</v>
      </c>
      <c r="J225" s="515"/>
      <c r="K225" s="28"/>
      <c r="L225" s="105" t="s">
        <v>247</v>
      </c>
      <c r="M225" s="106" t="s">
        <v>1466</v>
      </c>
      <c r="N225" s="113"/>
      <c r="O225" s="32">
        <v>138.0</v>
      </c>
    </row>
    <row r="226">
      <c r="A226" s="114" t="s">
        <v>631</v>
      </c>
      <c r="B226" s="115" t="s">
        <v>1467</v>
      </c>
      <c r="C226" s="22">
        <v>4000000.0</v>
      </c>
      <c r="D226" s="26">
        <v>2013.0</v>
      </c>
      <c r="E226" s="34" t="s">
        <v>2330</v>
      </c>
      <c r="F226" s="115" t="s">
        <v>236</v>
      </c>
      <c r="G226" s="115" t="s">
        <v>23</v>
      </c>
      <c r="H226" s="57"/>
      <c r="I226" s="26">
        <v>2.0</v>
      </c>
      <c r="J226" s="515"/>
      <c r="K226" s="53"/>
      <c r="L226" s="34" t="s">
        <v>571</v>
      </c>
      <c r="M226" s="135" t="s">
        <v>1469</v>
      </c>
      <c r="N226" s="19"/>
      <c r="O226" s="32">
        <v>137.0</v>
      </c>
    </row>
    <row r="227">
      <c r="A227" s="20" t="s">
        <v>1470</v>
      </c>
      <c r="B227" s="26"/>
      <c r="C227" s="22">
        <v>1500000.0</v>
      </c>
      <c r="D227" s="26">
        <v>2013.0</v>
      </c>
      <c r="E227" s="34" t="s">
        <v>2378</v>
      </c>
      <c r="F227" s="26" t="s">
        <v>64</v>
      </c>
      <c r="G227" s="26" t="s">
        <v>59</v>
      </c>
      <c r="H227" s="26" t="s">
        <v>29</v>
      </c>
      <c r="I227" s="26">
        <v>5.0</v>
      </c>
      <c r="J227" s="515"/>
      <c r="K227" s="28"/>
      <c r="L227" s="53" t="s">
        <v>591</v>
      </c>
      <c r="M227" s="106" t="s">
        <v>1472</v>
      </c>
      <c r="N227" s="113"/>
      <c r="O227" s="32">
        <v>136.0</v>
      </c>
    </row>
    <row r="228">
      <c r="A228" s="114" t="s">
        <v>588</v>
      </c>
      <c r="B228" s="53"/>
      <c r="C228" s="22">
        <v>6000000.0</v>
      </c>
      <c r="D228" s="26">
        <v>2013.0</v>
      </c>
      <c r="E228" s="34" t="s">
        <v>2309</v>
      </c>
      <c r="F228" s="130" t="s">
        <v>28</v>
      </c>
      <c r="G228" s="419" t="s">
        <v>142</v>
      </c>
      <c r="H228" s="53"/>
      <c r="I228" s="130">
        <v>1.0</v>
      </c>
      <c r="J228" s="515"/>
      <c r="K228" s="53"/>
      <c r="L228" s="53" t="s">
        <v>588</v>
      </c>
      <c r="M228" s="135" t="s">
        <v>1474</v>
      </c>
      <c r="N228" s="19"/>
      <c r="O228" s="32">
        <v>135.0</v>
      </c>
    </row>
    <row r="229">
      <c r="A229" s="165" t="s">
        <v>1475</v>
      </c>
      <c r="B229" s="130" t="s">
        <v>1476</v>
      </c>
      <c r="C229" s="22">
        <v>5.0E7</v>
      </c>
      <c r="D229" s="26">
        <v>2013.0</v>
      </c>
      <c r="E229" s="26" t="s">
        <v>2244</v>
      </c>
      <c r="F229" s="130" t="s">
        <v>28</v>
      </c>
      <c r="G229" s="130" t="s">
        <v>23</v>
      </c>
      <c r="H229" s="28"/>
      <c r="I229" s="130">
        <v>1.0</v>
      </c>
      <c r="J229" s="515"/>
      <c r="K229" s="28"/>
      <c r="L229" s="105" t="s">
        <v>1478</v>
      </c>
      <c r="M229" s="106" t="s">
        <v>1479</v>
      </c>
      <c r="N229" s="166" t="s">
        <v>1480</v>
      </c>
      <c r="O229" s="32">
        <v>134.0</v>
      </c>
    </row>
    <row r="230">
      <c r="A230" s="165" t="s">
        <v>1481</v>
      </c>
      <c r="B230" s="130" t="s">
        <v>1482</v>
      </c>
      <c r="C230" s="22">
        <v>125000.0</v>
      </c>
      <c r="D230" s="26">
        <v>2013.0</v>
      </c>
      <c r="E230" s="26" t="s">
        <v>2467</v>
      </c>
      <c r="F230" s="26" t="s">
        <v>2060</v>
      </c>
      <c r="G230" s="130" t="s">
        <v>23</v>
      </c>
      <c r="H230" s="28"/>
      <c r="I230" s="26">
        <v>2.0</v>
      </c>
      <c r="J230" s="515"/>
      <c r="K230" s="28"/>
      <c r="L230" s="105" t="s">
        <v>1434</v>
      </c>
      <c r="M230" s="106" t="s">
        <v>1484</v>
      </c>
      <c r="N230" s="109"/>
      <c r="O230" s="32">
        <v>133.0</v>
      </c>
    </row>
    <row r="231">
      <c r="A231" s="165" t="s">
        <v>1485</v>
      </c>
      <c r="B231" s="28"/>
      <c r="C231" s="22">
        <v>2.2E7</v>
      </c>
      <c r="D231" s="26">
        <v>2013.0</v>
      </c>
      <c r="E231" s="26" t="s">
        <v>2270</v>
      </c>
      <c r="F231" s="130" t="s">
        <v>1227</v>
      </c>
      <c r="G231" s="130" t="s">
        <v>23</v>
      </c>
      <c r="H231" s="28"/>
      <c r="I231" s="130">
        <v>1.0</v>
      </c>
      <c r="J231" s="515"/>
      <c r="K231" s="28"/>
      <c r="L231" s="53" t="s">
        <v>286</v>
      </c>
      <c r="M231" s="106" t="s">
        <v>1487</v>
      </c>
      <c r="N231" s="113"/>
      <c r="O231" s="32">
        <v>132.0</v>
      </c>
    </row>
    <row r="232">
      <c r="A232" s="165" t="s">
        <v>1488</v>
      </c>
      <c r="B232" s="130" t="s">
        <v>1489</v>
      </c>
      <c r="C232" s="22">
        <v>1000000.0</v>
      </c>
      <c r="D232" s="26">
        <v>2013.0</v>
      </c>
      <c r="E232" s="26" t="s">
        <v>2393</v>
      </c>
      <c r="F232" s="130" t="s">
        <v>28</v>
      </c>
      <c r="G232" s="130" t="s">
        <v>23</v>
      </c>
      <c r="H232" s="28"/>
      <c r="I232" s="130">
        <v>1.0</v>
      </c>
      <c r="J232" s="515"/>
      <c r="K232" s="28"/>
      <c r="L232" s="53" t="s">
        <v>247</v>
      </c>
      <c r="M232" s="106" t="s">
        <v>1491</v>
      </c>
      <c r="N232" s="113"/>
      <c r="O232" s="32">
        <v>131.0</v>
      </c>
    </row>
    <row r="233">
      <c r="A233" s="165" t="s">
        <v>1492</v>
      </c>
      <c r="B233" s="28"/>
      <c r="C233" s="22">
        <v>170000.0</v>
      </c>
      <c r="D233" s="26">
        <v>2013.0</v>
      </c>
      <c r="E233" s="26" t="s">
        <v>2455</v>
      </c>
      <c r="F233" s="130" t="s">
        <v>129</v>
      </c>
      <c r="G233" s="419" t="s">
        <v>142</v>
      </c>
      <c r="H233" s="130" t="s">
        <v>29</v>
      </c>
      <c r="I233" s="26">
        <v>2.0</v>
      </c>
      <c r="J233" s="515"/>
      <c r="K233" s="28"/>
      <c r="L233" s="105" t="s">
        <v>1494</v>
      </c>
      <c r="M233" s="106" t="s">
        <v>1495</v>
      </c>
      <c r="N233" s="166" t="s">
        <v>1496</v>
      </c>
      <c r="O233" s="32">
        <v>130.0</v>
      </c>
    </row>
    <row r="234">
      <c r="A234" s="165" t="s">
        <v>1497</v>
      </c>
      <c r="B234" s="130" t="s">
        <v>1498</v>
      </c>
      <c r="C234" s="22">
        <v>160000.0</v>
      </c>
      <c r="D234" s="26">
        <v>2013.0</v>
      </c>
      <c r="E234" s="26" t="s">
        <v>2457</v>
      </c>
      <c r="F234" s="130" t="s">
        <v>64</v>
      </c>
      <c r="G234" s="130" t="s">
        <v>23</v>
      </c>
      <c r="H234" s="28"/>
      <c r="I234" s="26">
        <v>2.0</v>
      </c>
      <c r="J234" s="515"/>
      <c r="K234" s="28"/>
      <c r="L234" s="34" t="s">
        <v>1500</v>
      </c>
      <c r="M234" s="106" t="s">
        <v>1501</v>
      </c>
      <c r="N234" s="166" t="s">
        <v>1502</v>
      </c>
      <c r="O234" s="32">
        <v>129.0</v>
      </c>
    </row>
    <row r="235">
      <c r="A235" s="181" t="s">
        <v>1503</v>
      </c>
      <c r="B235" s="28"/>
      <c r="C235" s="22">
        <v>860000.0</v>
      </c>
      <c r="D235" s="26">
        <v>2013.0</v>
      </c>
      <c r="E235" s="462" t="s">
        <v>2401</v>
      </c>
      <c r="F235" s="130" t="s">
        <v>28</v>
      </c>
      <c r="G235" s="130" t="s">
        <v>23</v>
      </c>
      <c r="H235" s="28"/>
      <c r="I235" s="130">
        <v>1.0</v>
      </c>
      <c r="J235" s="515"/>
      <c r="K235" s="28"/>
      <c r="L235" s="53" t="s">
        <v>410</v>
      </c>
      <c r="M235" s="106" t="s">
        <v>1505</v>
      </c>
      <c r="N235" s="113"/>
      <c r="O235" s="32">
        <v>128.0</v>
      </c>
    </row>
    <row r="236">
      <c r="A236" s="114" t="s">
        <v>1506</v>
      </c>
      <c r="B236" s="115" t="s">
        <v>1507</v>
      </c>
      <c r="C236" s="22">
        <v>2.0E8</v>
      </c>
      <c r="D236" s="26">
        <v>2013.0</v>
      </c>
      <c r="E236" s="34" t="s">
        <v>2191</v>
      </c>
      <c r="F236" s="130" t="s">
        <v>2153</v>
      </c>
      <c r="G236" s="130" t="s">
        <v>59</v>
      </c>
      <c r="H236" s="28"/>
      <c r="I236" s="26">
        <v>2.0</v>
      </c>
      <c r="J236" s="513">
        <v>2.0E8</v>
      </c>
      <c r="K236" s="28"/>
      <c r="L236" s="34" t="s">
        <v>1509</v>
      </c>
      <c r="M236" s="106" t="s">
        <v>1510</v>
      </c>
      <c r="N236" s="106" t="s">
        <v>1511</v>
      </c>
      <c r="O236" s="32">
        <v>127.0</v>
      </c>
    </row>
    <row r="237">
      <c r="A237" s="114" t="s">
        <v>1512</v>
      </c>
      <c r="B237" s="53"/>
      <c r="C237" s="22">
        <v>2000000.0</v>
      </c>
      <c r="D237" s="26">
        <v>2013.0</v>
      </c>
      <c r="E237" s="34" t="s">
        <v>2366</v>
      </c>
      <c r="F237" s="115" t="s">
        <v>129</v>
      </c>
      <c r="G237" s="115" t="s">
        <v>59</v>
      </c>
      <c r="H237" s="115" t="s">
        <v>29</v>
      </c>
      <c r="I237" s="26">
        <v>3.0</v>
      </c>
      <c r="J237" s="515"/>
      <c r="K237" s="53"/>
      <c r="L237" s="120" t="s">
        <v>1382</v>
      </c>
      <c r="M237" s="135" t="s">
        <v>1514</v>
      </c>
      <c r="N237" s="19"/>
      <c r="O237" s="32">
        <v>126.0</v>
      </c>
    </row>
    <row r="238">
      <c r="A238" s="114" t="s">
        <v>1515</v>
      </c>
      <c r="B238" s="53"/>
      <c r="C238" s="22">
        <v>3.8E7</v>
      </c>
      <c r="D238" s="26">
        <v>2013.0</v>
      </c>
      <c r="E238" s="34" t="s">
        <v>2215</v>
      </c>
      <c r="F238" s="115" t="s">
        <v>50</v>
      </c>
      <c r="G238" s="115" t="s">
        <v>23</v>
      </c>
      <c r="H238" s="115" t="s">
        <v>29</v>
      </c>
      <c r="I238" s="26">
        <v>5.0</v>
      </c>
      <c r="J238" s="513">
        <v>3.6E7</v>
      </c>
      <c r="K238" s="53"/>
      <c r="L238" s="53" t="s">
        <v>1515</v>
      </c>
      <c r="M238" s="135" t="s">
        <v>1517</v>
      </c>
      <c r="N238" s="136"/>
      <c r="O238" s="32">
        <v>125.0</v>
      </c>
    </row>
    <row r="239">
      <c r="A239" s="114" t="s">
        <v>1518</v>
      </c>
      <c r="B239" s="53"/>
      <c r="C239" s="22">
        <v>1000000.0</v>
      </c>
      <c r="D239" s="26">
        <v>2013.0</v>
      </c>
      <c r="E239" s="34" t="s">
        <v>2394</v>
      </c>
      <c r="F239" s="115" t="s">
        <v>50</v>
      </c>
      <c r="G239" s="115" t="s">
        <v>23</v>
      </c>
      <c r="H239" s="53"/>
      <c r="I239" s="26">
        <v>3.0</v>
      </c>
      <c r="J239" s="515"/>
      <c r="K239" s="53"/>
      <c r="L239" s="34" t="s">
        <v>1520</v>
      </c>
      <c r="M239" s="135" t="s">
        <v>1521</v>
      </c>
      <c r="N239" s="116" t="s">
        <v>1522</v>
      </c>
      <c r="O239" s="32">
        <v>124.0</v>
      </c>
    </row>
    <row r="240">
      <c r="A240" s="181" t="s">
        <v>1523</v>
      </c>
      <c r="B240" s="28"/>
      <c r="C240" s="22">
        <v>4000000.0</v>
      </c>
      <c r="D240" s="26">
        <v>2013.0</v>
      </c>
      <c r="E240" s="26" t="s">
        <v>2331</v>
      </c>
      <c r="F240" s="130" t="s">
        <v>28</v>
      </c>
      <c r="G240" s="115" t="s">
        <v>23</v>
      </c>
      <c r="H240" s="130" t="s">
        <v>29</v>
      </c>
      <c r="I240" s="26">
        <v>2.0</v>
      </c>
      <c r="J240" s="515"/>
      <c r="K240" s="28"/>
      <c r="L240" s="120" t="s">
        <v>702</v>
      </c>
      <c r="M240" s="106" t="s">
        <v>1525</v>
      </c>
      <c r="N240" s="113"/>
      <c r="O240" s="32">
        <v>123.0</v>
      </c>
    </row>
    <row r="241">
      <c r="A241" s="165" t="s">
        <v>1526</v>
      </c>
      <c r="B241" s="28"/>
      <c r="C241" s="22">
        <v>7.0E7</v>
      </c>
      <c r="D241" s="26">
        <v>2013.0</v>
      </c>
      <c r="E241" s="26" t="s">
        <v>2238</v>
      </c>
      <c r="F241" s="130" t="s">
        <v>43</v>
      </c>
      <c r="G241" s="130" t="s">
        <v>23</v>
      </c>
      <c r="H241" s="130" t="s">
        <v>29</v>
      </c>
      <c r="I241" s="26">
        <v>3.0</v>
      </c>
      <c r="J241" s="515"/>
      <c r="K241" s="28"/>
      <c r="L241" s="34" t="s">
        <v>1528</v>
      </c>
      <c r="M241" s="106" t="s">
        <v>1529</v>
      </c>
      <c r="N241" s="432"/>
      <c r="O241" s="32">
        <v>122.0</v>
      </c>
    </row>
    <row r="242">
      <c r="A242" s="165" t="s">
        <v>1530</v>
      </c>
      <c r="B242" s="28"/>
      <c r="C242" s="22">
        <v>6000000.0</v>
      </c>
      <c r="D242" s="26">
        <v>2012.0</v>
      </c>
      <c r="E242" s="26" t="s">
        <v>2310</v>
      </c>
      <c r="F242" s="130" t="s">
        <v>28</v>
      </c>
      <c r="G242" s="130" t="s">
        <v>23</v>
      </c>
      <c r="H242" s="28"/>
      <c r="I242" s="130">
        <v>1.0</v>
      </c>
      <c r="J242" s="515"/>
      <c r="K242" s="28"/>
      <c r="L242" s="105" t="s">
        <v>571</v>
      </c>
      <c r="M242" s="106" t="s">
        <v>1532</v>
      </c>
      <c r="N242" s="113"/>
      <c r="O242" s="32">
        <v>121.0</v>
      </c>
    </row>
    <row r="243">
      <c r="A243" s="165" t="s">
        <v>1533</v>
      </c>
      <c r="B243" s="130" t="s">
        <v>1534</v>
      </c>
      <c r="C243" s="22">
        <v>1500000.0</v>
      </c>
      <c r="D243" s="26">
        <v>2012.0</v>
      </c>
      <c r="E243" s="26" t="s">
        <v>2379</v>
      </c>
      <c r="F243" s="130" t="s">
        <v>2153</v>
      </c>
      <c r="G243" s="130" t="s">
        <v>23</v>
      </c>
      <c r="H243" s="28"/>
      <c r="I243" s="26">
        <v>3.0</v>
      </c>
      <c r="J243" s="515"/>
      <c r="K243" s="28"/>
      <c r="L243" s="34" t="s">
        <v>710</v>
      </c>
      <c r="M243" s="106" t="s">
        <v>1536</v>
      </c>
      <c r="N243" s="113"/>
      <c r="O243" s="32">
        <v>120.0</v>
      </c>
    </row>
    <row r="244">
      <c r="A244" s="114" t="s">
        <v>1537</v>
      </c>
      <c r="B244" s="115" t="s">
        <v>1538</v>
      </c>
      <c r="C244" s="22">
        <v>228000.0</v>
      </c>
      <c r="D244" s="26">
        <v>2012.0</v>
      </c>
      <c r="E244" s="26" t="s">
        <v>2444</v>
      </c>
      <c r="F244" s="130" t="s">
        <v>2514</v>
      </c>
      <c r="G244" s="130" t="s">
        <v>59</v>
      </c>
      <c r="H244" s="28"/>
      <c r="I244" s="26">
        <v>4.0</v>
      </c>
      <c r="J244" s="515"/>
      <c r="K244" s="53"/>
      <c r="L244" s="34" t="s">
        <v>1540</v>
      </c>
      <c r="M244" s="135" t="s">
        <v>1541</v>
      </c>
      <c r="N244" s="136"/>
      <c r="O244" s="32">
        <v>119.0</v>
      </c>
    </row>
    <row r="245">
      <c r="A245" s="165" t="s">
        <v>1542</v>
      </c>
      <c r="B245" s="130" t="s">
        <v>1543</v>
      </c>
      <c r="C245" s="22">
        <v>3000000.0</v>
      </c>
      <c r="D245" s="26">
        <v>2012.0</v>
      </c>
      <c r="E245" s="26" t="s">
        <v>2347</v>
      </c>
      <c r="F245" s="130" t="s">
        <v>2153</v>
      </c>
      <c r="G245" s="130" t="s">
        <v>23</v>
      </c>
      <c r="H245" s="130" t="s">
        <v>29</v>
      </c>
      <c r="I245" s="26">
        <v>5.0</v>
      </c>
      <c r="J245" s="515"/>
      <c r="K245" s="28"/>
      <c r="L245" s="53" t="s">
        <v>608</v>
      </c>
      <c r="M245" s="106" t="s">
        <v>1545</v>
      </c>
      <c r="N245" s="113"/>
      <c r="O245" s="32">
        <v>118.0</v>
      </c>
    </row>
    <row r="246">
      <c r="A246" s="165" t="s">
        <v>1546</v>
      </c>
      <c r="B246" s="28"/>
      <c r="C246" s="22">
        <v>800000.0</v>
      </c>
      <c r="D246" s="26">
        <v>2012.0</v>
      </c>
      <c r="E246" s="26" t="s">
        <v>2402</v>
      </c>
      <c r="F246" s="130" t="s">
        <v>64</v>
      </c>
      <c r="G246" s="26" t="s">
        <v>1034</v>
      </c>
      <c r="H246" s="28"/>
      <c r="I246" s="26">
        <v>2.0</v>
      </c>
      <c r="J246" s="515"/>
      <c r="K246" s="28"/>
      <c r="L246" s="105" t="s">
        <v>591</v>
      </c>
      <c r="M246" s="106" t="s">
        <v>1548</v>
      </c>
      <c r="N246" s="432"/>
      <c r="O246" s="32">
        <v>117.0</v>
      </c>
    </row>
    <row r="247">
      <c r="A247" s="114" t="s">
        <v>1549</v>
      </c>
      <c r="B247" s="130" t="s">
        <v>1550</v>
      </c>
      <c r="C247" s="22">
        <v>315000.0</v>
      </c>
      <c r="D247" s="26">
        <v>2012.0</v>
      </c>
      <c r="E247" s="26" t="s">
        <v>2431</v>
      </c>
      <c r="F247" s="130" t="s">
        <v>2514</v>
      </c>
      <c r="G247" s="26" t="s">
        <v>1034</v>
      </c>
      <c r="H247" s="28"/>
      <c r="I247" s="26">
        <v>4.0</v>
      </c>
      <c r="J247" s="515"/>
      <c r="K247" s="53"/>
      <c r="L247" s="34" t="s">
        <v>1552</v>
      </c>
      <c r="M247" s="135" t="s">
        <v>1553</v>
      </c>
      <c r="N247" s="19"/>
      <c r="O247" s="32">
        <v>116.0</v>
      </c>
    </row>
    <row r="248">
      <c r="A248" s="165" t="s">
        <v>1554</v>
      </c>
      <c r="B248" s="53"/>
      <c r="C248" s="22">
        <v>6500000.0</v>
      </c>
      <c r="D248" s="26">
        <v>2012.0</v>
      </c>
      <c r="E248" s="26" t="s">
        <v>2305</v>
      </c>
      <c r="F248" s="115" t="s">
        <v>64</v>
      </c>
      <c r="G248" s="419" t="s">
        <v>142</v>
      </c>
      <c r="H248" s="28"/>
      <c r="I248" s="26">
        <v>2.0</v>
      </c>
      <c r="J248" s="515"/>
      <c r="K248" s="28"/>
      <c r="L248" s="53" t="s">
        <v>1556</v>
      </c>
      <c r="M248" s="106" t="s">
        <v>1557</v>
      </c>
      <c r="N248" s="113"/>
      <c r="O248" s="32">
        <v>115.0</v>
      </c>
    </row>
    <row r="249">
      <c r="A249" s="165" t="s">
        <v>1558</v>
      </c>
      <c r="B249" s="130" t="s">
        <v>1559</v>
      </c>
      <c r="C249" s="22">
        <v>780000.0</v>
      </c>
      <c r="D249" s="26">
        <v>2012.0</v>
      </c>
      <c r="E249" s="26" t="s">
        <v>2406</v>
      </c>
      <c r="F249" s="130" t="s">
        <v>2520</v>
      </c>
      <c r="G249" s="130" t="s">
        <v>23</v>
      </c>
      <c r="H249" s="130" t="s">
        <v>29</v>
      </c>
      <c r="I249" s="225" t="s">
        <v>1562</v>
      </c>
      <c r="J249" s="515"/>
      <c r="K249" s="28"/>
      <c r="L249" s="105" t="s">
        <v>286</v>
      </c>
      <c r="M249" s="106" t="s">
        <v>1563</v>
      </c>
      <c r="N249" s="113"/>
      <c r="O249" s="32">
        <v>114.0</v>
      </c>
    </row>
    <row r="250">
      <c r="A250" s="114" t="s">
        <v>1564</v>
      </c>
      <c r="B250" s="115" t="s">
        <v>1565</v>
      </c>
      <c r="C250" s="22">
        <v>1.4E7</v>
      </c>
      <c r="D250" s="26">
        <v>2012.0</v>
      </c>
      <c r="E250" s="34" t="s">
        <v>2283</v>
      </c>
      <c r="F250" s="115" t="s">
        <v>236</v>
      </c>
      <c r="G250" s="115" t="s">
        <v>23</v>
      </c>
      <c r="H250" s="53"/>
      <c r="I250" s="26">
        <v>2.0</v>
      </c>
      <c r="J250" s="515"/>
      <c r="K250" s="53"/>
      <c r="L250" s="34" t="s">
        <v>278</v>
      </c>
      <c r="M250" s="135" t="s">
        <v>1567</v>
      </c>
      <c r="N250" s="19"/>
      <c r="O250" s="32">
        <v>113.0</v>
      </c>
    </row>
    <row r="251">
      <c r="A251" s="165" t="s">
        <v>1568</v>
      </c>
      <c r="B251" s="28"/>
      <c r="C251" s="22">
        <v>1800000.0</v>
      </c>
      <c r="D251" s="26">
        <v>2012.0</v>
      </c>
      <c r="E251" s="26" t="s">
        <v>2369</v>
      </c>
      <c r="F251" s="130" t="s">
        <v>2125</v>
      </c>
      <c r="G251" s="130" t="s">
        <v>59</v>
      </c>
      <c r="H251" s="28"/>
      <c r="I251" s="26">
        <v>2.0</v>
      </c>
      <c r="J251" s="515"/>
      <c r="K251" s="28"/>
      <c r="L251" s="419" t="s">
        <v>1026</v>
      </c>
      <c r="M251" s="474" t="s">
        <v>1570</v>
      </c>
      <c r="N251" s="113"/>
      <c r="O251" s="32">
        <v>112.0</v>
      </c>
    </row>
    <row r="252">
      <c r="A252" s="114" t="s">
        <v>1571</v>
      </c>
      <c r="B252" s="130" t="s">
        <v>1572</v>
      </c>
      <c r="C252" s="22">
        <v>102153.0</v>
      </c>
      <c r="D252" s="26">
        <v>2012.0</v>
      </c>
      <c r="E252" s="26" t="s">
        <v>2475</v>
      </c>
      <c r="F252" s="130" t="s">
        <v>2514</v>
      </c>
      <c r="G252" s="26" t="s">
        <v>1034</v>
      </c>
      <c r="H252" s="28"/>
      <c r="I252" s="26">
        <v>2.0</v>
      </c>
      <c r="J252" s="515"/>
      <c r="K252" s="28"/>
      <c r="L252" s="34" t="s">
        <v>1574</v>
      </c>
      <c r="M252" s="135" t="s">
        <v>1575</v>
      </c>
      <c r="N252" s="136"/>
      <c r="O252" s="32">
        <v>111.0</v>
      </c>
    </row>
    <row r="253">
      <c r="A253" s="165" t="s">
        <v>1576</v>
      </c>
      <c r="B253" s="28"/>
      <c r="C253" s="22">
        <v>2.4E7</v>
      </c>
      <c r="D253" s="26">
        <v>2012.0</v>
      </c>
      <c r="E253" s="111" t="s">
        <v>2269</v>
      </c>
      <c r="F253" s="130" t="s">
        <v>28</v>
      </c>
      <c r="G253" s="130" t="s">
        <v>23</v>
      </c>
      <c r="H253" s="28"/>
      <c r="I253" s="26">
        <v>2.0</v>
      </c>
      <c r="J253" s="515"/>
      <c r="K253" s="28"/>
      <c r="L253" s="53" t="s">
        <v>278</v>
      </c>
      <c r="M253" s="106" t="s">
        <v>1578</v>
      </c>
      <c r="N253" s="113"/>
      <c r="O253" s="32">
        <v>110.0</v>
      </c>
    </row>
    <row r="254">
      <c r="A254" s="114" t="s">
        <v>1579</v>
      </c>
      <c r="B254" s="115" t="s">
        <v>1580</v>
      </c>
      <c r="C254" s="22">
        <v>420000.0</v>
      </c>
      <c r="D254" s="26">
        <v>2012.0</v>
      </c>
      <c r="E254" s="34" t="s">
        <v>2423</v>
      </c>
      <c r="F254" s="115" t="s">
        <v>28</v>
      </c>
      <c r="G254" s="26" t="s">
        <v>23</v>
      </c>
      <c r="H254" s="154" t="s">
        <v>29</v>
      </c>
      <c r="I254" s="26">
        <v>1.0</v>
      </c>
      <c r="J254" s="515"/>
      <c r="K254" s="53"/>
      <c r="L254" s="53" t="s">
        <v>998</v>
      </c>
      <c r="M254" s="135" t="s">
        <v>1582</v>
      </c>
      <c r="N254" s="19"/>
      <c r="O254" s="32">
        <v>109.0</v>
      </c>
    </row>
    <row r="255">
      <c r="A255" s="114" t="s">
        <v>1583</v>
      </c>
      <c r="B255" s="115" t="s">
        <v>1584</v>
      </c>
      <c r="C255" s="22">
        <v>8700000.0</v>
      </c>
      <c r="D255" s="26">
        <v>2012.0</v>
      </c>
      <c r="E255" s="34" t="s">
        <v>2297</v>
      </c>
      <c r="F255" s="130" t="s">
        <v>129</v>
      </c>
      <c r="G255" s="115" t="s">
        <v>23</v>
      </c>
      <c r="H255" s="53"/>
      <c r="I255" s="26">
        <v>2.0</v>
      </c>
      <c r="J255" s="515"/>
      <c r="K255" s="53"/>
      <c r="L255" s="34" t="s">
        <v>1586</v>
      </c>
      <c r="M255" s="135" t="s">
        <v>1587</v>
      </c>
      <c r="N255" s="116" t="s">
        <v>1588</v>
      </c>
      <c r="O255" s="32">
        <v>108.0</v>
      </c>
    </row>
    <row r="256">
      <c r="A256" s="165" t="s">
        <v>1589</v>
      </c>
      <c r="B256" s="28"/>
      <c r="C256" s="22">
        <v>450000.0</v>
      </c>
      <c r="D256" s="26">
        <v>2012.0</v>
      </c>
      <c r="E256" s="26" t="s">
        <v>2422</v>
      </c>
      <c r="F256" s="130" t="s">
        <v>1227</v>
      </c>
      <c r="G256" s="130" t="s">
        <v>23</v>
      </c>
      <c r="H256" s="28"/>
      <c r="I256" s="130">
        <v>1.0</v>
      </c>
      <c r="J256" s="515"/>
      <c r="K256" s="28"/>
      <c r="L256" s="53" t="s">
        <v>152</v>
      </c>
      <c r="M256" s="106" t="s">
        <v>1591</v>
      </c>
      <c r="N256" s="109"/>
      <c r="O256" s="32">
        <v>107.0</v>
      </c>
    </row>
    <row r="257">
      <c r="A257" s="44" t="s">
        <v>1592</v>
      </c>
      <c r="B257" s="26" t="s">
        <v>1593</v>
      </c>
      <c r="C257" s="22">
        <v>4.35E7</v>
      </c>
      <c r="D257" s="26">
        <v>2012.0</v>
      </c>
      <c r="E257" s="26" t="s">
        <v>2250</v>
      </c>
      <c r="F257" s="26" t="s">
        <v>28</v>
      </c>
      <c r="G257" s="26" t="s">
        <v>23</v>
      </c>
      <c r="H257" s="28"/>
      <c r="I257" s="26">
        <v>1.0</v>
      </c>
      <c r="J257" s="515"/>
      <c r="K257" s="28"/>
      <c r="L257" s="53" t="s">
        <v>608</v>
      </c>
      <c r="M257" s="106" t="s">
        <v>1595</v>
      </c>
      <c r="N257" s="106" t="s">
        <v>1596</v>
      </c>
      <c r="O257" s="32">
        <v>106.0</v>
      </c>
    </row>
    <row r="258">
      <c r="A258" s="114" t="s">
        <v>1597</v>
      </c>
      <c r="B258" s="53"/>
      <c r="C258" s="22">
        <v>8000000.0</v>
      </c>
      <c r="D258" s="26">
        <v>2012.0</v>
      </c>
      <c r="E258" s="34" t="s">
        <v>2301</v>
      </c>
      <c r="F258" s="130" t="s">
        <v>28</v>
      </c>
      <c r="G258" s="26" t="s">
        <v>23</v>
      </c>
      <c r="H258" s="53"/>
      <c r="I258" s="26">
        <v>1.0</v>
      </c>
      <c r="J258" s="515"/>
      <c r="K258" s="53"/>
      <c r="L258" s="53" t="s">
        <v>1599</v>
      </c>
      <c r="M258" s="135" t="s">
        <v>1600</v>
      </c>
      <c r="N258" s="136"/>
      <c r="O258" s="32">
        <v>105.0</v>
      </c>
    </row>
    <row r="259">
      <c r="A259" s="165" t="s">
        <v>1601</v>
      </c>
      <c r="B259" s="28"/>
      <c r="C259" s="22">
        <v>8000000.0</v>
      </c>
      <c r="D259" s="26">
        <v>2012.0</v>
      </c>
      <c r="E259" s="26" t="s">
        <v>2302</v>
      </c>
      <c r="F259" s="130" t="s">
        <v>28</v>
      </c>
      <c r="G259" s="130" t="s">
        <v>23</v>
      </c>
      <c r="H259" s="28"/>
      <c r="I259" s="130">
        <v>1.0</v>
      </c>
      <c r="J259" s="515"/>
      <c r="K259" s="28"/>
      <c r="L259" s="53" t="s">
        <v>278</v>
      </c>
      <c r="M259" s="106" t="s">
        <v>1603</v>
      </c>
      <c r="N259" s="113"/>
      <c r="O259" s="32">
        <v>104.0</v>
      </c>
    </row>
    <row r="260">
      <c r="A260" s="181" t="s">
        <v>1604</v>
      </c>
      <c r="B260" s="130" t="s">
        <v>1605</v>
      </c>
      <c r="C260" s="22">
        <v>163792.0</v>
      </c>
      <c r="D260" s="26">
        <v>2012.0</v>
      </c>
      <c r="E260" s="26" t="s">
        <v>2456</v>
      </c>
      <c r="F260" s="130" t="s">
        <v>1607</v>
      </c>
      <c r="G260" s="26" t="s">
        <v>23</v>
      </c>
      <c r="H260" s="28"/>
      <c r="I260" s="26">
        <v>1.0</v>
      </c>
      <c r="J260" s="515"/>
      <c r="K260" s="28"/>
      <c r="L260" s="53" t="s">
        <v>1608</v>
      </c>
      <c r="M260" s="106" t="s">
        <v>1609</v>
      </c>
      <c r="N260" s="113"/>
      <c r="O260" s="32">
        <v>103.0</v>
      </c>
    </row>
    <row r="261">
      <c r="A261" s="114" t="s">
        <v>1610</v>
      </c>
      <c r="B261" s="53"/>
      <c r="C261" s="22">
        <v>1.2367232E7</v>
      </c>
      <c r="D261" s="26">
        <v>2012.0</v>
      </c>
      <c r="E261" s="34" t="s">
        <v>2286</v>
      </c>
      <c r="F261" s="130" t="s">
        <v>1612</v>
      </c>
      <c r="G261" s="419" t="s">
        <v>142</v>
      </c>
      <c r="H261" s="115" t="s">
        <v>29</v>
      </c>
      <c r="I261" s="26">
        <v>2.0</v>
      </c>
      <c r="J261" s="515"/>
      <c r="K261" s="53"/>
      <c r="L261" s="53" t="s">
        <v>1613</v>
      </c>
      <c r="M261" s="135" t="s">
        <v>1614</v>
      </c>
      <c r="N261" s="116" t="s">
        <v>1615</v>
      </c>
      <c r="O261" s="32">
        <v>102.0</v>
      </c>
    </row>
    <row r="262">
      <c r="A262" s="165" t="s">
        <v>1616</v>
      </c>
      <c r="B262" s="53"/>
      <c r="C262" s="22">
        <v>9000000.0</v>
      </c>
      <c r="D262" s="26">
        <v>2012.0</v>
      </c>
      <c r="E262" s="26" t="s">
        <v>2296</v>
      </c>
      <c r="F262" s="130" t="s">
        <v>64</v>
      </c>
      <c r="G262" s="130" t="s">
        <v>23</v>
      </c>
      <c r="H262" s="28"/>
      <c r="I262" s="26">
        <v>2.0</v>
      </c>
      <c r="J262" s="515"/>
      <c r="K262" s="28"/>
      <c r="L262" s="53" t="s">
        <v>410</v>
      </c>
      <c r="M262" s="106" t="s">
        <v>1618</v>
      </c>
      <c r="N262" s="113"/>
      <c r="O262" s="32">
        <v>101.0</v>
      </c>
    </row>
    <row r="263">
      <c r="A263" s="20" t="s">
        <v>1619</v>
      </c>
      <c r="B263" s="138"/>
      <c r="C263" s="22">
        <v>3600000.0</v>
      </c>
      <c r="D263" s="26">
        <v>2012.0</v>
      </c>
      <c r="E263" s="26" t="s">
        <v>2338</v>
      </c>
      <c r="F263" s="26" t="s">
        <v>64</v>
      </c>
      <c r="G263" s="26" t="s">
        <v>23</v>
      </c>
      <c r="H263" s="28"/>
      <c r="I263" s="26">
        <v>1.0</v>
      </c>
      <c r="J263" s="515"/>
      <c r="K263" s="28"/>
      <c r="L263" s="53" t="s">
        <v>1621</v>
      </c>
      <c r="M263" s="106" t="s">
        <v>1622</v>
      </c>
      <c r="N263" s="113"/>
      <c r="O263" s="32">
        <v>100.0</v>
      </c>
    </row>
    <row r="264">
      <c r="A264" s="20" t="s">
        <v>214</v>
      </c>
      <c r="B264" s="28"/>
      <c r="C264" s="22">
        <v>6.87E7</v>
      </c>
      <c r="D264" s="26">
        <v>2012.0</v>
      </c>
      <c r="E264" s="26" t="s">
        <v>2212</v>
      </c>
      <c r="F264" s="26" t="s">
        <v>28</v>
      </c>
      <c r="G264" s="26" t="s">
        <v>23</v>
      </c>
      <c r="H264" s="28"/>
      <c r="I264" s="26">
        <v>1.0</v>
      </c>
      <c r="J264" s="513">
        <v>6.87E7</v>
      </c>
      <c r="K264" s="28"/>
      <c r="L264" s="53" t="s">
        <v>1625</v>
      </c>
      <c r="M264" s="106" t="s">
        <v>1626</v>
      </c>
      <c r="N264" s="113"/>
      <c r="O264" s="32">
        <v>99.0</v>
      </c>
    </row>
    <row r="265">
      <c r="A265" s="114" t="s">
        <v>1627</v>
      </c>
      <c r="B265" s="130" t="s">
        <v>1628</v>
      </c>
      <c r="C265" s="22">
        <v>1700000.0</v>
      </c>
      <c r="D265" s="26">
        <v>2011.0</v>
      </c>
      <c r="E265" s="26" t="s">
        <v>2371</v>
      </c>
      <c r="F265" s="130" t="s">
        <v>2514</v>
      </c>
      <c r="G265" s="26" t="s">
        <v>1034</v>
      </c>
      <c r="H265" s="28"/>
      <c r="I265" s="26">
        <v>4.0</v>
      </c>
      <c r="J265" s="515"/>
      <c r="K265" s="53"/>
      <c r="L265" s="34" t="s">
        <v>1630</v>
      </c>
      <c r="M265" s="135" t="s">
        <v>1631</v>
      </c>
      <c r="N265" s="19"/>
      <c r="O265" s="32">
        <v>98.0</v>
      </c>
    </row>
    <row r="266">
      <c r="A266" s="114" t="s">
        <v>1632</v>
      </c>
      <c r="B266" s="28"/>
      <c r="C266" s="22">
        <v>231400.0</v>
      </c>
      <c r="D266" s="26">
        <v>2011.0</v>
      </c>
      <c r="E266" s="111" t="s">
        <v>2443</v>
      </c>
      <c r="F266" s="130" t="s">
        <v>2514</v>
      </c>
      <c r="G266" s="130" t="s">
        <v>23</v>
      </c>
      <c r="H266" s="130" t="s">
        <v>29</v>
      </c>
      <c r="I266" s="26">
        <v>2.0</v>
      </c>
      <c r="J266" s="515"/>
      <c r="K266" s="53"/>
      <c r="L266" s="34" t="s">
        <v>1634</v>
      </c>
      <c r="M266" s="135" t="s">
        <v>1635</v>
      </c>
      <c r="N266" s="136"/>
      <c r="O266" s="32">
        <v>97.0</v>
      </c>
    </row>
    <row r="267">
      <c r="A267" s="165" t="s">
        <v>1636</v>
      </c>
      <c r="B267" s="28"/>
      <c r="C267" s="22">
        <v>800000.0</v>
      </c>
      <c r="D267" s="26">
        <v>2011.0</v>
      </c>
      <c r="E267" s="26" t="s">
        <v>2403</v>
      </c>
      <c r="F267" s="130" t="s">
        <v>2514</v>
      </c>
      <c r="G267" s="26" t="s">
        <v>1034</v>
      </c>
      <c r="H267" s="28"/>
      <c r="I267" s="26">
        <v>5.0</v>
      </c>
      <c r="J267" s="515"/>
      <c r="K267" s="28"/>
      <c r="L267" s="105" t="s">
        <v>1638</v>
      </c>
      <c r="M267" s="106" t="s">
        <v>1639</v>
      </c>
      <c r="N267" s="113"/>
      <c r="O267" s="32">
        <v>96.0</v>
      </c>
    </row>
    <row r="268">
      <c r="A268" s="165" t="s">
        <v>1640</v>
      </c>
      <c r="B268" s="130" t="s">
        <v>1641</v>
      </c>
      <c r="C268" s="22">
        <v>2300000.0</v>
      </c>
      <c r="D268" s="26">
        <v>2011.0</v>
      </c>
      <c r="E268" s="26" t="s">
        <v>2358</v>
      </c>
      <c r="F268" s="130" t="s">
        <v>28</v>
      </c>
      <c r="G268" s="130" t="s">
        <v>23</v>
      </c>
      <c r="H268" s="28"/>
      <c r="I268" s="26">
        <v>3.0</v>
      </c>
      <c r="J268" s="515"/>
      <c r="K268" s="28"/>
      <c r="L268" s="34" t="s">
        <v>1643</v>
      </c>
      <c r="M268" s="106" t="s">
        <v>1644</v>
      </c>
      <c r="N268" s="113"/>
      <c r="O268" s="32">
        <v>95.0</v>
      </c>
    </row>
    <row r="269">
      <c r="A269" s="114" t="s">
        <v>1645</v>
      </c>
      <c r="B269" s="28"/>
      <c r="C269" s="22">
        <v>156000.0</v>
      </c>
      <c r="D269" s="26">
        <v>2011.0</v>
      </c>
      <c r="E269" s="26" t="s">
        <v>2461</v>
      </c>
      <c r="F269" s="130" t="s">
        <v>2514</v>
      </c>
      <c r="G269" s="130" t="s">
        <v>23</v>
      </c>
      <c r="H269" s="28"/>
      <c r="I269" s="26">
        <v>4.0</v>
      </c>
      <c r="J269" s="515"/>
      <c r="K269" s="28"/>
      <c r="L269" s="34" t="s">
        <v>1647</v>
      </c>
      <c r="M269" s="135" t="s">
        <v>1648</v>
      </c>
      <c r="N269" s="136"/>
      <c r="O269" s="32">
        <v>94.0</v>
      </c>
    </row>
    <row r="270">
      <c r="A270" s="165" t="s">
        <v>1649</v>
      </c>
      <c r="B270" s="28"/>
      <c r="C270" s="22">
        <v>43000.0</v>
      </c>
      <c r="D270" s="26">
        <v>2011.0</v>
      </c>
      <c r="E270" s="26" t="s">
        <v>2495</v>
      </c>
      <c r="F270" s="130" t="s">
        <v>2060</v>
      </c>
      <c r="G270" s="419" t="s">
        <v>142</v>
      </c>
      <c r="H270" s="28"/>
      <c r="I270" s="26">
        <v>2.0</v>
      </c>
      <c r="J270" s="515"/>
      <c r="K270" s="28"/>
      <c r="L270" s="34" t="s">
        <v>918</v>
      </c>
      <c r="M270" s="106" t="s">
        <v>1651</v>
      </c>
      <c r="N270" s="113"/>
      <c r="O270" s="32">
        <v>93.0</v>
      </c>
    </row>
    <row r="271">
      <c r="A271" s="165" t="s">
        <v>1652</v>
      </c>
      <c r="B271" s="28"/>
      <c r="C271" s="22">
        <v>34000.0</v>
      </c>
      <c r="D271" s="26">
        <v>2011.0</v>
      </c>
      <c r="E271" s="26" t="s">
        <v>2500</v>
      </c>
      <c r="F271" s="130" t="s">
        <v>2153</v>
      </c>
      <c r="G271" s="26" t="s">
        <v>1034</v>
      </c>
      <c r="H271" s="130" t="s">
        <v>29</v>
      </c>
      <c r="I271" s="26">
        <v>3.0</v>
      </c>
      <c r="J271" s="515"/>
      <c r="K271" s="28"/>
      <c r="L271" s="34" t="s">
        <v>829</v>
      </c>
      <c r="M271" s="106" t="s">
        <v>1654</v>
      </c>
      <c r="N271" s="113"/>
      <c r="O271" s="32">
        <v>92.0</v>
      </c>
    </row>
    <row r="272">
      <c r="A272" s="165" t="s">
        <v>1655</v>
      </c>
      <c r="B272" s="28"/>
      <c r="C272" s="22">
        <v>3500000.0</v>
      </c>
      <c r="D272" s="26">
        <v>2011.0</v>
      </c>
      <c r="E272" s="26" t="s">
        <v>2339</v>
      </c>
      <c r="F272" s="130" t="s">
        <v>64</v>
      </c>
      <c r="G272" s="419" t="s">
        <v>142</v>
      </c>
      <c r="H272" s="28"/>
      <c r="I272" s="26">
        <v>2.0</v>
      </c>
      <c r="J272" s="515"/>
      <c r="K272" s="28"/>
      <c r="L272" s="34" t="s">
        <v>1657</v>
      </c>
      <c r="M272" s="106" t="s">
        <v>1658</v>
      </c>
      <c r="N272" s="113"/>
      <c r="O272" s="32">
        <v>91.0</v>
      </c>
    </row>
    <row r="273">
      <c r="A273" s="20" t="s">
        <v>1659</v>
      </c>
      <c r="B273" s="26" t="s">
        <v>1660</v>
      </c>
      <c r="C273" s="22">
        <v>3000000.0</v>
      </c>
      <c r="D273" s="26">
        <v>2011.0</v>
      </c>
      <c r="E273" s="26" t="s">
        <v>2348</v>
      </c>
      <c r="F273" s="26" t="s">
        <v>28</v>
      </c>
      <c r="G273" s="26" t="s">
        <v>23</v>
      </c>
      <c r="H273" s="28"/>
      <c r="I273" s="26">
        <v>1.0</v>
      </c>
      <c r="J273" s="515"/>
      <c r="K273" s="110"/>
      <c r="L273" s="34" t="s">
        <v>507</v>
      </c>
      <c r="M273" s="106" t="s">
        <v>1662</v>
      </c>
      <c r="N273" s="113"/>
      <c r="O273" s="32">
        <v>90.0</v>
      </c>
    </row>
    <row r="274">
      <c r="A274" s="165" t="s">
        <v>1663</v>
      </c>
      <c r="B274" s="28"/>
      <c r="C274" s="22">
        <v>7.7E7</v>
      </c>
      <c r="D274" s="26">
        <v>2011.0</v>
      </c>
      <c r="E274" s="26" t="s">
        <v>2236</v>
      </c>
      <c r="F274" s="130" t="s">
        <v>236</v>
      </c>
      <c r="G274" s="130" t="s">
        <v>23</v>
      </c>
      <c r="H274" s="130" t="s">
        <v>29</v>
      </c>
      <c r="I274" s="130">
        <v>1.0</v>
      </c>
      <c r="J274" s="515"/>
      <c r="K274" s="28"/>
      <c r="L274" s="34" t="s">
        <v>1665</v>
      </c>
      <c r="M274" s="106" t="s">
        <v>1666</v>
      </c>
      <c r="N274" s="113"/>
      <c r="O274" s="32">
        <v>89.0</v>
      </c>
    </row>
    <row r="275">
      <c r="A275" s="165" t="s">
        <v>1667</v>
      </c>
      <c r="B275" s="28"/>
      <c r="C275" s="22">
        <v>123461.0</v>
      </c>
      <c r="D275" s="26">
        <v>2011.0</v>
      </c>
      <c r="E275" s="26" t="s">
        <v>2469</v>
      </c>
      <c r="F275" s="130" t="s">
        <v>64</v>
      </c>
      <c r="G275" s="26" t="s">
        <v>23</v>
      </c>
      <c r="H275" s="28"/>
      <c r="I275" s="26">
        <v>3.0</v>
      </c>
      <c r="J275" s="515"/>
      <c r="K275" s="28"/>
      <c r="L275" s="53" t="s">
        <v>1608</v>
      </c>
      <c r="M275" s="106" t="s">
        <v>1669</v>
      </c>
      <c r="N275" s="113"/>
      <c r="O275" s="32">
        <v>88.0</v>
      </c>
    </row>
    <row r="276">
      <c r="A276" s="114" t="s">
        <v>1670</v>
      </c>
      <c r="B276" s="28"/>
      <c r="C276" s="22">
        <v>73000.0</v>
      </c>
      <c r="D276" s="26">
        <v>2011.0</v>
      </c>
      <c r="E276" s="184" t="s">
        <v>2488</v>
      </c>
      <c r="F276" s="26" t="s">
        <v>2060</v>
      </c>
      <c r="G276" s="130" t="s">
        <v>23</v>
      </c>
      <c r="H276" s="28"/>
      <c r="I276" s="26">
        <v>2.0</v>
      </c>
      <c r="J276" s="515"/>
      <c r="K276" s="28"/>
      <c r="L276" s="34" t="s">
        <v>571</v>
      </c>
      <c r="M276" s="106" t="s">
        <v>1672</v>
      </c>
      <c r="N276" s="113"/>
      <c r="O276" s="32">
        <v>87.0</v>
      </c>
    </row>
    <row r="277">
      <c r="A277" s="165" t="s">
        <v>1673</v>
      </c>
      <c r="B277" s="26" t="s">
        <v>1674</v>
      </c>
      <c r="C277" s="22">
        <v>935000.0</v>
      </c>
      <c r="D277" s="26">
        <v>2011.0</v>
      </c>
      <c r="E277" s="26" t="s">
        <v>2398</v>
      </c>
      <c r="F277" s="130" t="s">
        <v>1676</v>
      </c>
      <c r="G277" s="26" t="s">
        <v>23</v>
      </c>
      <c r="H277" s="28"/>
      <c r="I277" s="225" t="s">
        <v>1677</v>
      </c>
      <c r="J277" s="515"/>
      <c r="K277" s="28"/>
      <c r="L277" s="105" t="s">
        <v>688</v>
      </c>
      <c r="M277" s="106" t="s">
        <v>1678</v>
      </c>
      <c r="N277" s="113"/>
      <c r="O277" s="32">
        <v>86.0</v>
      </c>
    </row>
    <row r="278">
      <c r="A278" s="20" t="s">
        <v>1679</v>
      </c>
      <c r="B278" s="28"/>
      <c r="C278" s="22">
        <v>1.0E7</v>
      </c>
      <c r="D278" s="26">
        <v>2011.0</v>
      </c>
      <c r="E278" s="26" t="s">
        <v>2294</v>
      </c>
      <c r="F278" s="130" t="s">
        <v>28</v>
      </c>
      <c r="G278" s="130" t="s">
        <v>23</v>
      </c>
      <c r="H278" s="28"/>
      <c r="I278" s="130">
        <v>1.0</v>
      </c>
      <c r="J278" s="515"/>
      <c r="K278" s="28"/>
      <c r="L278" s="105" t="s">
        <v>1681</v>
      </c>
      <c r="M278" s="106" t="s">
        <v>1682</v>
      </c>
      <c r="N278" s="113"/>
      <c r="O278" s="32">
        <v>85.0</v>
      </c>
    </row>
    <row r="279">
      <c r="A279" s="114" t="s">
        <v>1683</v>
      </c>
      <c r="B279" s="28"/>
      <c r="C279" s="22">
        <v>300000.0</v>
      </c>
      <c r="D279" s="26">
        <v>2011.0</v>
      </c>
      <c r="E279" s="26" t="s">
        <v>2436</v>
      </c>
      <c r="F279" s="130" t="s">
        <v>2514</v>
      </c>
      <c r="G279" s="130" t="s">
        <v>23</v>
      </c>
      <c r="H279" s="28"/>
      <c r="I279" s="26">
        <v>2.0</v>
      </c>
      <c r="J279" s="515"/>
      <c r="K279" s="28"/>
      <c r="L279" s="105" t="s">
        <v>1026</v>
      </c>
      <c r="M279" s="106" t="s">
        <v>1685</v>
      </c>
      <c r="N279" s="113"/>
      <c r="O279" s="32">
        <v>84.0</v>
      </c>
    </row>
    <row r="280">
      <c r="A280" s="185" t="s">
        <v>1686</v>
      </c>
      <c r="B280" s="130" t="s">
        <v>1687</v>
      </c>
      <c r="C280" s="22">
        <v>62000.0</v>
      </c>
      <c r="D280" s="26">
        <v>2011.0</v>
      </c>
      <c r="E280" s="26" t="s">
        <v>2490</v>
      </c>
      <c r="F280" s="130" t="s">
        <v>28</v>
      </c>
      <c r="G280" s="130" t="s">
        <v>23</v>
      </c>
      <c r="H280" s="28"/>
      <c r="I280" s="130">
        <v>1.0</v>
      </c>
      <c r="J280" s="515"/>
      <c r="K280" s="28"/>
      <c r="L280" s="120" t="s">
        <v>629</v>
      </c>
      <c r="M280" s="135" t="s">
        <v>1689</v>
      </c>
      <c r="N280" s="113"/>
      <c r="O280" s="32">
        <v>83.0</v>
      </c>
    </row>
    <row r="281">
      <c r="A281" s="165" t="s">
        <v>1690</v>
      </c>
      <c r="B281" s="130" t="s">
        <v>1691</v>
      </c>
      <c r="C281" s="22">
        <v>200000.0</v>
      </c>
      <c r="D281" s="26">
        <v>2011.0</v>
      </c>
      <c r="E281" s="26" t="s">
        <v>2449</v>
      </c>
      <c r="F281" s="130" t="s">
        <v>236</v>
      </c>
      <c r="G281" s="130" t="s">
        <v>23</v>
      </c>
      <c r="H281" s="28"/>
      <c r="I281" s="130">
        <v>1.0</v>
      </c>
      <c r="J281" s="515"/>
      <c r="K281" s="28"/>
      <c r="L281" s="53" t="s">
        <v>1608</v>
      </c>
      <c r="M281" s="106" t="s">
        <v>1693</v>
      </c>
      <c r="N281" s="113"/>
      <c r="O281" s="32">
        <v>82.0</v>
      </c>
    </row>
    <row r="282">
      <c r="A282" s="165" t="s">
        <v>1694</v>
      </c>
      <c r="B282" s="28"/>
      <c r="C282" s="22">
        <v>1290755.0</v>
      </c>
      <c r="D282" s="26">
        <v>2011.0</v>
      </c>
      <c r="E282" s="26" t="s">
        <v>2385</v>
      </c>
      <c r="F282" s="130" t="s">
        <v>236</v>
      </c>
      <c r="G282" s="130" t="s">
        <v>23</v>
      </c>
      <c r="H282" s="28"/>
      <c r="I282" s="26">
        <v>2.0</v>
      </c>
      <c r="J282" s="515"/>
      <c r="K282" s="28"/>
      <c r="L282" s="34" t="s">
        <v>571</v>
      </c>
      <c r="M282" s="106" t="s">
        <v>1696</v>
      </c>
      <c r="N282" s="113"/>
      <c r="O282" s="32">
        <v>81.0</v>
      </c>
    </row>
    <row r="283">
      <c r="A283" s="165" t="s">
        <v>1400</v>
      </c>
      <c r="B283" s="28"/>
      <c r="C283" s="22">
        <v>210000.0</v>
      </c>
      <c r="D283" s="26">
        <v>2011.0</v>
      </c>
      <c r="E283" s="26" t="s">
        <v>2445</v>
      </c>
      <c r="F283" s="130" t="s">
        <v>2153</v>
      </c>
      <c r="G283" s="130" t="s">
        <v>23</v>
      </c>
      <c r="H283" s="28"/>
      <c r="I283" s="26">
        <v>3.0</v>
      </c>
      <c r="J283" s="515"/>
      <c r="K283" s="28"/>
      <c r="L283" s="34" t="s">
        <v>1608</v>
      </c>
      <c r="M283" s="106" t="s">
        <v>1698</v>
      </c>
      <c r="N283" s="113"/>
      <c r="O283" s="32">
        <v>80.0</v>
      </c>
    </row>
    <row r="284">
      <c r="A284" s="165" t="s">
        <v>1334</v>
      </c>
      <c r="B284" s="28"/>
      <c r="C284" s="22">
        <v>1000000.0</v>
      </c>
      <c r="D284" s="26">
        <v>2011.0</v>
      </c>
      <c r="E284" s="26" t="s">
        <v>2395</v>
      </c>
      <c r="F284" s="130" t="s">
        <v>28</v>
      </c>
      <c r="G284" s="130" t="s">
        <v>23</v>
      </c>
      <c r="H284" s="130" t="s">
        <v>29</v>
      </c>
      <c r="I284" s="130">
        <v>1.0</v>
      </c>
      <c r="J284" s="515"/>
      <c r="K284" s="28"/>
      <c r="L284" s="34" t="s">
        <v>1665</v>
      </c>
      <c r="M284" s="106" t="s">
        <v>1700</v>
      </c>
      <c r="N284" s="113"/>
      <c r="O284" s="32">
        <v>79.0</v>
      </c>
    </row>
    <row r="285">
      <c r="A285" s="114" t="s">
        <v>1701</v>
      </c>
      <c r="B285" s="28"/>
      <c r="C285" s="22">
        <v>175350.0</v>
      </c>
      <c r="D285" s="26">
        <v>2011.0</v>
      </c>
      <c r="E285" s="26" t="s">
        <v>2454</v>
      </c>
      <c r="F285" s="130" t="s">
        <v>2514</v>
      </c>
      <c r="G285" s="130" t="s">
        <v>51</v>
      </c>
      <c r="H285" s="28"/>
      <c r="I285" s="26">
        <v>2.0</v>
      </c>
      <c r="J285" s="515"/>
      <c r="K285" s="28"/>
      <c r="L285" s="105" t="s">
        <v>1026</v>
      </c>
      <c r="M285" s="106" t="s">
        <v>1703</v>
      </c>
      <c r="N285" s="136"/>
      <c r="O285" s="32">
        <v>78.0</v>
      </c>
    </row>
    <row r="286">
      <c r="A286" s="165" t="s">
        <v>710</v>
      </c>
      <c r="B286" s="28"/>
      <c r="C286" s="22">
        <v>1270000.0</v>
      </c>
      <c r="D286" s="26">
        <v>2011.0</v>
      </c>
      <c r="E286" s="26" t="s">
        <v>2386</v>
      </c>
      <c r="F286" s="130" t="s">
        <v>2007</v>
      </c>
      <c r="G286" s="130" t="s">
        <v>23</v>
      </c>
      <c r="H286" s="28"/>
      <c r="I286" s="26">
        <v>2.0</v>
      </c>
      <c r="J286" s="515"/>
      <c r="K286" s="28"/>
      <c r="L286" s="34" t="s">
        <v>629</v>
      </c>
      <c r="M286" s="106" t="s">
        <v>1705</v>
      </c>
      <c r="N286" s="113"/>
      <c r="O286" s="32">
        <v>77.0</v>
      </c>
    </row>
    <row r="287">
      <c r="A287" s="165" t="s">
        <v>1706</v>
      </c>
      <c r="B287" s="115" t="s">
        <v>1707</v>
      </c>
      <c r="C287" s="22">
        <v>1900000.0</v>
      </c>
      <c r="D287" s="26">
        <v>2011.0</v>
      </c>
      <c r="E287" s="26" t="s">
        <v>2368</v>
      </c>
      <c r="F287" s="130" t="s">
        <v>2514</v>
      </c>
      <c r="G287" s="26" t="s">
        <v>1034</v>
      </c>
      <c r="H287" s="28"/>
      <c r="I287" s="225" t="s">
        <v>1677</v>
      </c>
      <c r="J287" s="515"/>
      <c r="K287" s="28"/>
      <c r="L287" s="34" t="s">
        <v>1709</v>
      </c>
      <c r="M287" s="106" t="s">
        <v>1710</v>
      </c>
      <c r="N287" s="109"/>
      <c r="O287" s="32">
        <v>76.0</v>
      </c>
    </row>
    <row r="288">
      <c r="A288" s="114" t="s">
        <v>1711</v>
      </c>
      <c r="B288" s="130" t="s">
        <v>1712</v>
      </c>
      <c r="C288" s="22">
        <v>514330.0</v>
      </c>
      <c r="D288" s="26">
        <v>2011.0</v>
      </c>
      <c r="E288" s="111" t="s">
        <v>2416</v>
      </c>
      <c r="F288" s="130" t="s">
        <v>2514</v>
      </c>
      <c r="G288" s="26" t="s">
        <v>1034</v>
      </c>
      <c r="H288" s="28"/>
      <c r="I288" s="26">
        <v>4.0</v>
      </c>
      <c r="J288" s="515"/>
      <c r="K288" s="53"/>
      <c r="L288" s="34" t="s">
        <v>1714</v>
      </c>
      <c r="M288" s="135" t="s">
        <v>1715</v>
      </c>
      <c r="N288" s="136"/>
      <c r="O288" s="32">
        <v>75.0</v>
      </c>
    </row>
    <row r="289">
      <c r="A289" s="114" t="s">
        <v>1716</v>
      </c>
      <c r="B289" s="28"/>
      <c r="C289" s="22">
        <v>400000.0</v>
      </c>
      <c r="D289" s="26">
        <v>2011.0</v>
      </c>
      <c r="E289" s="26" t="s">
        <v>2426</v>
      </c>
      <c r="F289" s="130" t="s">
        <v>2514</v>
      </c>
      <c r="G289" s="26" t="s">
        <v>1034</v>
      </c>
      <c r="H289" s="28"/>
      <c r="I289" s="26">
        <v>4.0</v>
      </c>
      <c r="J289" s="515"/>
      <c r="K289" s="53"/>
      <c r="L289" s="34" t="s">
        <v>1718</v>
      </c>
      <c r="M289" s="135" t="s">
        <v>1719</v>
      </c>
      <c r="N289" s="136"/>
      <c r="O289" s="32">
        <v>74.0</v>
      </c>
    </row>
    <row r="290">
      <c r="A290" s="165" t="s">
        <v>1720</v>
      </c>
      <c r="B290" s="130" t="s">
        <v>1721</v>
      </c>
      <c r="C290" s="22">
        <v>8600000.0</v>
      </c>
      <c r="D290" s="26">
        <v>2011.0</v>
      </c>
      <c r="E290" s="26" t="s">
        <v>2299</v>
      </c>
      <c r="F290" s="130" t="s">
        <v>2514</v>
      </c>
      <c r="G290" s="26" t="s">
        <v>1034</v>
      </c>
      <c r="H290" s="130" t="s">
        <v>29</v>
      </c>
      <c r="I290" s="26">
        <v>4.0</v>
      </c>
      <c r="J290" s="515"/>
      <c r="K290" s="28"/>
      <c r="L290" s="105" t="s">
        <v>1723</v>
      </c>
      <c r="M290" s="106" t="s">
        <v>1724</v>
      </c>
      <c r="N290" s="113"/>
      <c r="O290" s="32">
        <v>73.0</v>
      </c>
    </row>
    <row r="291">
      <c r="A291" s="114" t="s">
        <v>1725</v>
      </c>
      <c r="B291" s="28"/>
      <c r="C291" s="22">
        <v>180000.0</v>
      </c>
      <c r="D291" s="26">
        <v>2011.0</v>
      </c>
      <c r="E291" s="26" t="s">
        <v>2453</v>
      </c>
      <c r="F291" s="130" t="s">
        <v>64</v>
      </c>
      <c r="G291" s="130" t="s">
        <v>23</v>
      </c>
      <c r="H291" s="28"/>
      <c r="I291" s="130">
        <v>1.0</v>
      </c>
      <c r="J291" s="515"/>
      <c r="K291" s="28"/>
      <c r="L291" s="53" t="s">
        <v>1613</v>
      </c>
      <c r="M291" s="106" t="s">
        <v>1727</v>
      </c>
      <c r="N291" s="113"/>
      <c r="O291" s="32">
        <v>72.0</v>
      </c>
    </row>
    <row r="292">
      <c r="A292" s="165" t="s">
        <v>1728</v>
      </c>
      <c r="B292" s="28"/>
      <c r="C292" s="22">
        <v>2.46E7</v>
      </c>
      <c r="D292" s="26">
        <v>2011.0</v>
      </c>
      <c r="E292" s="26" t="s">
        <v>2268</v>
      </c>
      <c r="F292" s="130" t="s">
        <v>236</v>
      </c>
      <c r="G292" s="130" t="s">
        <v>23</v>
      </c>
      <c r="H292" s="28"/>
      <c r="I292" s="26">
        <v>3.0</v>
      </c>
      <c r="J292" s="515"/>
      <c r="K292" s="28"/>
      <c r="L292" s="34" t="s">
        <v>1224</v>
      </c>
      <c r="M292" s="106" t="s">
        <v>1730</v>
      </c>
      <c r="N292" s="113"/>
      <c r="O292" s="32">
        <v>71.0</v>
      </c>
    </row>
    <row r="293">
      <c r="A293" s="165" t="s">
        <v>1731</v>
      </c>
      <c r="B293" s="53"/>
      <c r="C293" s="22">
        <v>283000.0</v>
      </c>
      <c r="D293" s="26">
        <v>2011.0</v>
      </c>
      <c r="E293" s="26" t="s">
        <v>2437</v>
      </c>
      <c r="F293" s="130" t="s">
        <v>43</v>
      </c>
      <c r="G293" s="26" t="s">
        <v>23</v>
      </c>
      <c r="H293" s="130" t="s">
        <v>29</v>
      </c>
      <c r="I293" s="26">
        <v>2.0</v>
      </c>
      <c r="J293" s="515"/>
      <c r="K293" s="28"/>
      <c r="L293" s="34" t="s">
        <v>1733</v>
      </c>
      <c r="M293" s="106" t="s">
        <v>1734</v>
      </c>
      <c r="N293" s="113"/>
      <c r="O293" s="32">
        <v>70.0</v>
      </c>
    </row>
    <row r="294">
      <c r="A294" s="165" t="s">
        <v>1735</v>
      </c>
      <c r="B294" s="130" t="s">
        <v>1736</v>
      </c>
      <c r="C294" s="22">
        <v>210000.0</v>
      </c>
      <c r="D294" s="26">
        <v>2011.0</v>
      </c>
      <c r="E294" s="26" t="s">
        <v>2446</v>
      </c>
      <c r="F294" s="130" t="s">
        <v>64</v>
      </c>
      <c r="G294" s="26" t="s">
        <v>23</v>
      </c>
      <c r="H294" s="130" t="s">
        <v>29</v>
      </c>
      <c r="I294" s="26">
        <v>5.0</v>
      </c>
      <c r="J294" s="515"/>
      <c r="K294" s="28"/>
      <c r="L294" s="105" t="s">
        <v>918</v>
      </c>
      <c r="M294" s="106" t="s">
        <v>1738</v>
      </c>
      <c r="N294" s="113"/>
      <c r="O294" s="32">
        <v>69.0</v>
      </c>
    </row>
    <row r="295">
      <c r="A295" s="165" t="s">
        <v>1739</v>
      </c>
      <c r="B295" s="28"/>
      <c r="C295" s="22">
        <v>1000000.0</v>
      </c>
      <c r="D295" s="26">
        <v>2011.0</v>
      </c>
      <c r="E295" s="26" t="s">
        <v>2396</v>
      </c>
      <c r="F295" s="130" t="s">
        <v>64</v>
      </c>
      <c r="G295" s="26" t="s">
        <v>23</v>
      </c>
      <c r="H295" s="28"/>
      <c r="I295" s="26">
        <v>2.0</v>
      </c>
      <c r="J295" s="515"/>
      <c r="K295" s="28"/>
      <c r="L295" s="34" t="s">
        <v>1026</v>
      </c>
      <c r="M295" s="106" t="s">
        <v>1741</v>
      </c>
      <c r="N295" s="113"/>
      <c r="O295" s="32">
        <v>68.0</v>
      </c>
    </row>
    <row r="296">
      <c r="A296" s="165" t="s">
        <v>1742</v>
      </c>
      <c r="B296" s="419" t="s">
        <v>1743</v>
      </c>
      <c r="C296" s="22">
        <v>3.5E7</v>
      </c>
      <c r="D296" s="26">
        <v>2011.0</v>
      </c>
      <c r="E296" s="26" t="s">
        <v>2257</v>
      </c>
      <c r="F296" s="130" t="s">
        <v>28</v>
      </c>
      <c r="G296" s="130" t="s">
        <v>23</v>
      </c>
      <c r="H296" s="28"/>
      <c r="I296" s="26">
        <v>3.0</v>
      </c>
      <c r="J296" s="515"/>
      <c r="K296" s="28"/>
      <c r="L296" s="53" t="s">
        <v>1745</v>
      </c>
      <c r="M296" s="106" t="s">
        <v>1746</v>
      </c>
      <c r="N296" s="113"/>
      <c r="O296" s="32">
        <v>67.0</v>
      </c>
    </row>
    <row r="297">
      <c r="A297" s="165" t="s">
        <v>1747</v>
      </c>
      <c r="B297" s="130" t="s">
        <v>1748</v>
      </c>
      <c r="C297" s="22">
        <v>200000.0</v>
      </c>
      <c r="D297" s="26">
        <v>2011.0</v>
      </c>
      <c r="E297" s="26" t="s">
        <v>1749</v>
      </c>
      <c r="F297" s="130" t="s">
        <v>43</v>
      </c>
      <c r="G297" s="130" t="s">
        <v>23</v>
      </c>
      <c r="H297" s="28"/>
      <c r="I297" s="26">
        <v>3.0</v>
      </c>
      <c r="J297" s="515"/>
      <c r="K297" s="28"/>
      <c r="L297" s="105" t="s">
        <v>918</v>
      </c>
      <c r="M297" s="106" t="s">
        <v>1750</v>
      </c>
      <c r="N297" s="113"/>
      <c r="O297" s="32">
        <v>66.0</v>
      </c>
    </row>
    <row r="298">
      <c r="A298" s="165" t="s">
        <v>1751</v>
      </c>
      <c r="B298" s="419" t="s">
        <v>1752</v>
      </c>
      <c r="C298" s="22">
        <v>1.32E7</v>
      </c>
      <c r="D298" s="26">
        <v>2011.0</v>
      </c>
      <c r="E298" s="26" t="s">
        <v>2284</v>
      </c>
      <c r="F298" s="130" t="s">
        <v>28</v>
      </c>
      <c r="G298" s="130" t="s">
        <v>23</v>
      </c>
      <c r="H298" s="28"/>
      <c r="I298" s="26">
        <v>2.0</v>
      </c>
      <c r="J298" s="515"/>
      <c r="K298" s="28"/>
      <c r="L298" s="34" t="s">
        <v>286</v>
      </c>
      <c r="M298" s="106" t="s">
        <v>1754</v>
      </c>
      <c r="N298" s="113"/>
      <c r="O298" s="32">
        <v>65.0</v>
      </c>
    </row>
    <row r="299">
      <c r="A299" s="114" t="s">
        <v>1755</v>
      </c>
      <c r="B299" s="130" t="s">
        <v>1756</v>
      </c>
      <c r="C299" s="22">
        <v>1600000.0</v>
      </c>
      <c r="D299" s="26">
        <v>2011.0</v>
      </c>
      <c r="E299" s="26" t="s">
        <v>2374</v>
      </c>
      <c r="F299" s="130" t="s">
        <v>2514</v>
      </c>
      <c r="G299" s="26" t="s">
        <v>1034</v>
      </c>
      <c r="H299" s="28"/>
      <c r="I299" s="26">
        <v>4.0</v>
      </c>
      <c r="J299" s="515"/>
      <c r="K299" s="53"/>
      <c r="L299" s="34" t="s">
        <v>1758</v>
      </c>
      <c r="M299" s="135" t="s">
        <v>1759</v>
      </c>
      <c r="N299" s="136"/>
      <c r="O299" s="32">
        <v>64.0</v>
      </c>
    </row>
    <row r="300">
      <c r="A300" s="114" t="s">
        <v>1760</v>
      </c>
      <c r="B300" s="28"/>
      <c r="C300" s="22">
        <v>4243434.0</v>
      </c>
      <c r="D300" s="26">
        <v>2011.0</v>
      </c>
      <c r="E300" s="26" t="s">
        <v>2323</v>
      </c>
      <c r="F300" s="130" t="s">
        <v>2514</v>
      </c>
      <c r="G300" s="26" t="s">
        <v>1034</v>
      </c>
      <c r="H300" s="28"/>
      <c r="I300" s="26">
        <v>2.0</v>
      </c>
      <c r="J300" s="515"/>
      <c r="K300" s="53"/>
      <c r="L300" s="105" t="s">
        <v>1106</v>
      </c>
      <c r="M300" s="135" t="s">
        <v>1762</v>
      </c>
      <c r="N300" s="136"/>
      <c r="O300" s="32">
        <v>63.0</v>
      </c>
    </row>
    <row r="301">
      <c r="A301" s="165" t="s">
        <v>1763</v>
      </c>
      <c r="B301" s="130" t="s">
        <v>1764</v>
      </c>
      <c r="C301" s="22">
        <v>4901432.0</v>
      </c>
      <c r="D301" s="26">
        <v>2011.0</v>
      </c>
      <c r="E301" s="26" t="s">
        <v>2319</v>
      </c>
      <c r="F301" s="130" t="s">
        <v>2521</v>
      </c>
      <c r="G301" s="26" t="s">
        <v>1034</v>
      </c>
      <c r="H301" s="28"/>
      <c r="I301" s="26">
        <v>4.0</v>
      </c>
      <c r="J301" s="515"/>
      <c r="K301" s="28"/>
      <c r="L301" s="34" t="s">
        <v>286</v>
      </c>
      <c r="M301" s="106" t="s">
        <v>1767</v>
      </c>
      <c r="N301" s="113"/>
      <c r="O301" s="32">
        <v>62.0</v>
      </c>
    </row>
    <row r="302">
      <c r="A302" s="114" t="s">
        <v>1768</v>
      </c>
      <c r="B302" s="28"/>
      <c r="C302" s="22">
        <v>1220000.0</v>
      </c>
      <c r="D302" s="26">
        <v>2010.0</v>
      </c>
      <c r="E302" s="26" t="s">
        <v>2387</v>
      </c>
      <c r="F302" s="130" t="s">
        <v>2514</v>
      </c>
      <c r="G302" s="26" t="s">
        <v>1034</v>
      </c>
      <c r="H302" s="28"/>
      <c r="I302" s="225" t="s">
        <v>1770</v>
      </c>
      <c r="J302" s="515"/>
      <c r="K302" s="53"/>
      <c r="L302" s="34" t="s">
        <v>1771</v>
      </c>
      <c r="M302" s="135" t="s">
        <v>1772</v>
      </c>
      <c r="N302" s="432"/>
      <c r="O302" s="32">
        <v>61.0</v>
      </c>
    </row>
    <row r="303">
      <c r="A303" s="165" t="s">
        <v>1773</v>
      </c>
      <c r="B303" s="130" t="s">
        <v>1774</v>
      </c>
      <c r="C303" s="22">
        <v>1023209.0</v>
      </c>
      <c r="D303" s="26">
        <v>2010.0</v>
      </c>
      <c r="E303" s="26" t="s">
        <v>2391</v>
      </c>
      <c r="F303" s="130" t="s">
        <v>2514</v>
      </c>
      <c r="G303" s="26" t="s">
        <v>1034</v>
      </c>
      <c r="H303" s="130" t="s">
        <v>29</v>
      </c>
      <c r="I303" s="26">
        <v>2.0</v>
      </c>
      <c r="J303" s="515"/>
      <c r="K303" s="28"/>
      <c r="L303" s="34" t="s">
        <v>1026</v>
      </c>
      <c r="M303" s="106" t="s">
        <v>1776</v>
      </c>
      <c r="N303" s="109"/>
      <c r="O303" s="32">
        <v>60.0</v>
      </c>
    </row>
    <row r="304">
      <c r="A304" s="165" t="s">
        <v>1777</v>
      </c>
      <c r="B304" s="115" t="s">
        <v>1778</v>
      </c>
      <c r="C304" s="22">
        <v>260000.0</v>
      </c>
      <c r="D304" s="26">
        <v>2010.0</v>
      </c>
      <c r="E304" s="34" t="s">
        <v>2441</v>
      </c>
      <c r="F304" s="130" t="s">
        <v>1676</v>
      </c>
      <c r="G304" s="130" t="s">
        <v>59</v>
      </c>
      <c r="H304" s="130" t="s">
        <v>29</v>
      </c>
      <c r="I304" s="26">
        <v>5.0</v>
      </c>
      <c r="J304" s="515"/>
      <c r="K304" s="28"/>
      <c r="L304" s="53" t="s">
        <v>507</v>
      </c>
      <c r="M304" s="106" t="s">
        <v>1780</v>
      </c>
      <c r="N304" s="113"/>
      <c r="O304" s="32">
        <v>59.0</v>
      </c>
    </row>
    <row r="305">
      <c r="A305" s="181" t="s">
        <v>1781</v>
      </c>
      <c r="B305" s="130" t="s">
        <v>1782</v>
      </c>
      <c r="C305" s="22">
        <v>1500000.0</v>
      </c>
      <c r="D305" s="26">
        <v>2010.0</v>
      </c>
      <c r="E305" s="26" t="s">
        <v>2380</v>
      </c>
      <c r="F305" s="130" t="s">
        <v>28</v>
      </c>
      <c r="G305" s="130" t="s">
        <v>23</v>
      </c>
      <c r="H305" s="28"/>
      <c r="I305" s="26">
        <v>2.0</v>
      </c>
      <c r="J305" s="515"/>
      <c r="K305" s="28"/>
      <c r="L305" s="53" t="s">
        <v>507</v>
      </c>
      <c r="M305" s="106" t="s">
        <v>1784</v>
      </c>
      <c r="N305" s="166" t="s">
        <v>1785</v>
      </c>
      <c r="O305" s="32">
        <v>58.0</v>
      </c>
    </row>
    <row r="306">
      <c r="A306" s="114" t="s">
        <v>1786</v>
      </c>
      <c r="B306" s="130" t="s">
        <v>1787</v>
      </c>
      <c r="C306" s="22">
        <v>398000.0</v>
      </c>
      <c r="D306" s="26">
        <v>2010.0</v>
      </c>
      <c r="E306" s="26" t="s">
        <v>2427</v>
      </c>
      <c r="F306" s="130" t="s">
        <v>2514</v>
      </c>
      <c r="G306" s="26" t="s">
        <v>1034</v>
      </c>
      <c r="H306" s="28"/>
      <c r="I306" s="26">
        <v>4.0</v>
      </c>
      <c r="J306" s="515"/>
      <c r="K306" s="53"/>
      <c r="L306" s="53" t="s">
        <v>1026</v>
      </c>
      <c r="M306" s="135" t="s">
        <v>1789</v>
      </c>
      <c r="N306" s="19"/>
      <c r="O306" s="32">
        <v>57.0</v>
      </c>
    </row>
    <row r="307">
      <c r="A307" s="165" t="s">
        <v>1790</v>
      </c>
      <c r="B307" s="28"/>
      <c r="C307" s="22">
        <v>760000.0</v>
      </c>
      <c r="D307" s="26">
        <v>2010.0</v>
      </c>
      <c r="E307" s="26" t="s">
        <v>2407</v>
      </c>
      <c r="F307" s="130" t="s">
        <v>2060</v>
      </c>
      <c r="G307" s="130" t="s">
        <v>23</v>
      </c>
      <c r="H307" s="28"/>
      <c r="I307" s="26">
        <v>2.0</v>
      </c>
      <c r="J307" s="515"/>
      <c r="K307" s="28"/>
      <c r="L307" s="105" t="s">
        <v>1792</v>
      </c>
      <c r="M307" s="106" t="s">
        <v>1793</v>
      </c>
      <c r="N307" s="113"/>
      <c r="O307" s="32">
        <v>56.0</v>
      </c>
    </row>
    <row r="308">
      <c r="A308" s="114" t="s">
        <v>1794</v>
      </c>
      <c r="B308" s="130" t="s">
        <v>1795</v>
      </c>
      <c r="C308" s="22">
        <v>180111.0</v>
      </c>
      <c r="D308" s="26">
        <v>2010.0</v>
      </c>
      <c r="E308" s="26" t="s">
        <v>2452</v>
      </c>
      <c r="F308" s="130" t="s">
        <v>2514</v>
      </c>
      <c r="G308" s="26" t="s">
        <v>1034</v>
      </c>
      <c r="H308" s="28"/>
      <c r="I308" s="26">
        <v>4.0</v>
      </c>
      <c r="J308" s="515"/>
      <c r="K308" s="53"/>
      <c r="L308" s="34" t="s">
        <v>1797</v>
      </c>
      <c r="M308" s="135" t="s">
        <v>1798</v>
      </c>
      <c r="N308" s="136"/>
      <c r="O308" s="32">
        <v>55.0</v>
      </c>
    </row>
    <row r="309">
      <c r="A309" s="114" t="s">
        <v>1799</v>
      </c>
      <c r="B309" s="115" t="s">
        <v>1800</v>
      </c>
      <c r="C309" s="22">
        <v>105470.0</v>
      </c>
      <c r="D309" s="26">
        <v>2010.0</v>
      </c>
      <c r="E309" s="26" t="s">
        <v>2474</v>
      </c>
      <c r="F309" s="130" t="s">
        <v>2514</v>
      </c>
      <c r="G309" s="26" t="s">
        <v>1034</v>
      </c>
      <c r="H309" s="28"/>
      <c r="I309" s="26">
        <v>2.0</v>
      </c>
      <c r="J309" s="515"/>
      <c r="K309" s="28"/>
      <c r="L309" s="34" t="s">
        <v>1026</v>
      </c>
      <c r="M309" s="135" t="s">
        <v>1802</v>
      </c>
      <c r="N309" s="136"/>
      <c r="O309" s="32">
        <v>54.0</v>
      </c>
    </row>
    <row r="310">
      <c r="A310" s="165" t="s">
        <v>244</v>
      </c>
      <c r="B310" s="130" t="s">
        <v>1803</v>
      </c>
      <c r="C310" s="22">
        <v>114000.0</v>
      </c>
      <c r="D310" s="26">
        <v>2010.0</v>
      </c>
      <c r="E310" s="26" t="s">
        <v>2470</v>
      </c>
      <c r="F310" s="130" t="s">
        <v>129</v>
      </c>
      <c r="G310" s="130" t="s">
        <v>23</v>
      </c>
      <c r="H310" s="130" t="s">
        <v>29</v>
      </c>
      <c r="I310" s="130">
        <v>1.0</v>
      </c>
      <c r="J310" s="515"/>
      <c r="K310" s="28"/>
      <c r="L310" s="53" t="s">
        <v>507</v>
      </c>
      <c r="M310" s="106" t="s">
        <v>1805</v>
      </c>
      <c r="N310" s="113"/>
      <c r="O310" s="32">
        <v>53.0</v>
      </c>
    </row>
    <row r="311">
      <c r="A311" s="114" t="s">
        <v>1806</v>
      </c>
      <c r="B311" s="28"/>
      <c r="C311" s="22">
        <v>130495.0</v>
      </c>
      <c r="D311" s="26">
        <v>2010.0</v>
      </c>
      <c r="E311" s="26" t="s">
        <v>2465</v>
      </c>
      <c r="F311" s="130" t="s">
        <v>2514</v>
      </c>
      <c r="G311" s="26" t="s">
        <v>1034</v>
      </c>
      <c r="H311" s="28"/>
      <c r="I311" s="26">
        <v>4.0</v>
      </c>
      <c r="J311" s="515"/>
      <c r="K311" s="28"/>
      <c r="L311" s="34" t="s">
        <v>1808</v>
      </c>
      <c r="M311" s="135" t="s">
        <v>1809</v>
      </c>
      <c r="N311" s="136"/>
      <c r="O311" s="32">
        <v>52.0</v>
      </c>
    </row>
    <row r="312">
      <c r="A312" s="165" t="s">
        <v>1810</v>
      </c>
      <c r="B312" s="130" t="s">
        <v>1811</v>
      </c>
      <c r="C312" s="22">
        <v>3300000.0</v>
      </c>
      <c r="D312" s="26">
        <v>2010.0</v>
      </c>
      <c r="E312" s="26" t="s">
        <v>2341</v>
      </c>
      <c r="F312" s="130" t="s">
        <v>2153</v>
      </c>
      <c r="G312" s="26" t="s">
        <v>1034</v>
      </c>
      <c r="H312" s="130" t="s">
        <v>29</v>
      </c>
      <c r="I312" s="26">
        <v>2.0</v>
      </c>
      <c r="J312" s="515"/>
      <c r="K312" s="28"/>
      <c r="L312" s="105" t="s">
        <v>1813</v>
      </c>
      <c r="M312" s="135" t="s">
        <v>1814</v>
      </c>
      <c r="N312" s="113"/>
      <c r="O312" s="32">
        <v>51.0</v>
      </c>
    </row>
    <row r="313">
      <c r="A313" s="165" t="s">
        <v>1815</v>
      </c>
      <c r="B313" s="28"/>
      <c r="C313" s="22">
        <v>400000.0</v>
      </c>
      <c r="D313" s="26">
        <v>2010.0</v>
      </c>
      <c r="E313" s="26" t="s">
        <v>1816</v>
      </c>
      <c r="F313" s="130" t="s">
        <v>2153</v>
      </c>
      <c r="G313" s="130" t="s">
        <v>23</v>
      </c>
      <c r="H313" s="28"/>
      <c r="I313" s="26">
        <v>3.0</v>
      </c>
      <c r="J313" s="515"/>
      <c r="K313" s="28"/>
      <c r="L313" s="34" t="s">
        <v>1817</v>
      </c>
      <c r="M313" s="106" t="s">
        <v>1818</v>
      </c>
      <c r="N313" s="113"/>
      <c r="O313" s="32">
        <v>50.0</v>
      </c>
    </row>
    <row r="314">
      <c r="A314" s="165" t="s">
        <v>1819</v>
      </c>
      <c r="B314" s="28"/>
      <c r="C314" s="22">
        <v>392000.0</v>
      </c>
      <c r="D314" s="26">
        <v>2010.0</v>
      </c>
      <c r="E314" s="111" t="s">
        <v>2428</v>
      </c>
      <c r="F314" s="130" t="s">
        <v>64</v>
      </c>
      <c r="G314" s="130" t="s">
        <v>59</v>
      </c>
      <c r="H314" s="28"/>
      <c r="I314" s="26">
        <v>2.0</v>
      </c>
      <c r="J314" s="515"/>
      <c r="K314" s="28"/>
      <c r="L314" s="53" t="s">
        <v>278</v>
      </c>
      <c r="M314" s="106" t="s">
        <v>1821</v>
      </c>
      <c r="N314" s="113"/>
      <c r="O314" s="32">
        <v>49.0</v>
      </c>
    </row>
    <row r="315">
      <c r="A315" s="165" t="s">
        <v>1822</v>
      </c>
      <c r="B315" s="130" t="s">
        <v>1823</v>
      </c>
      <c r="C315" s="22">
        <v>1.3E8</v>
      </c>
      <c r="D315" s="26">
        <v>2009.0</v>
      </c>
      <c r="E315" s="26" t="s">
        <v>2199</v>
      </c>
      <c r="F315" s="130" t="s">
        <v>2153</v>
      </c>
      <c r="G315" s="130" t="s">
        <v>23</v>
      </c>
      <c r="H315" s="130" t="s">
        <v>29</v>
      </c>
      <c r="I315" s="26">
        <v>3.0</v>
      </c>
      <c r="J315" s="513">
        <v>1.3E8</v>
      </c>
      <c r="K315" s="28"/>
      <c r="L315" s="105" t="s">
        <v>1826</v>
      </c>
      <c r="M315" s="106" t="s">
        <v>1827</v>
      </c>
      <c r="N315" s="109"/>
      <c r="O315" s="32">
        <v>48.0</v>
      </c>
    </row>
    <row r="316" ht="17.25" customHeight="1">
      <c r="A316" s="165" t="s">
        <v>1828</v>
      </c>
      <c r="B316" s="28"/>
      <c r="C316" s="22">
        <v>131000.0</v>
      </c>
      <c r="D316" s="26">
        <v>2009.0</v>
      </c>
      <c r="E316" s="26" t="s">
        <v>2464</v>
      </c>
      <c r="F316" s="130" t="s">
        <v>1676</v>
      </c>
      <c r="G316" s="26" t="s">
        <v>1034</v>
      </c>
      <c r="H316" s="130" t="s">
        <v>29</v>
      </c>
      <c r="I316" s="26">
        <v>2.0</v>
      </c>
      <c r="J316" s="515"/>
      <c r="K316" s="28"/>
      <c r="L316" s="105" t="s">
        <v>1088</v>
      </c>
      <c r="M316" s="106" t="s">
        <v>1830</v>
      </c>
      <c r="N316" s="113"/>
      <c r="O316" s="32">
        <v>47.0</v>
      </c>
    </row>
    <row r="317">
      <c r="A317" s="165" t="s">
        <v>1831</v>
      </c>
      <c r="B317" s="130" t="s">
        <v>1832</v>
      </c>
      <c r="C317" s="22">
        <v>3.2E7</v>
      </c>
      <c r="D317" s="26">
        <v>2009.0</v>
      </c>
      <c r="E317" s="26" t="s">
        <v>2260</v>
      </c>
      <c r="F317" s="130" t="s">
        <v>1834</v>
      </c>
      <c r="G317" s="130" t="s">
        <v>23</v>
      </c>
      <c r="H317" s="130" t="s">
        <v>29</v>
      </c>
      <c r="I317" s="26">
        <v>1.0</v>
      </c>
      <c r="J317" s="515"/>
      <c r="K317" s="28"/>
      <c r="L317" s="120" t="s">
        <v>34</v>
      </c>
      <c r="M317" s="106" t="s">
        <v>1835</v>
      </c>
      <c r="N317" s="113"/>
      <c r="O317" s="32">
        <v>46.0</v>
      </c>
    </row>
    <row r="318">
      <c r="A318" s="165" t="s">
        <v>1836</v>
      </c>
      <c r="B318" s="130" t="s">
        <v>1837</v>
      </c>
      <c r="C318" s="22">
        <v>5000000.0</v>
      </c>
      <c r="D318" s="26">
        <v>2009.0</v>
      </c>
      <c r="E318" s="26" t="s">
        <v>2318</v>
      </c>
      <c r="F318" s="130" t="s">
        <v>2153</v>
      </c>
      <c r="G318" s="130" t="s">
        <v>23</v>
      </c>
      <c r="H318" s="130" t="s">
        <v>29</v>
      </c>
      <c r="I318" s="130">
        <v>1.0</v>
      </c>
      <c r="J318" s="515"/>
      <c r="K318" s="28"/>
      <c r="L318" s="120" t="s">
        <v>1839</v>
      </c>
      <c r="M318" s="106" t="s">
        <v>1840</v>
      </c>
      <c r="N318" s="113"/>
      <c r="O318" s="32">
        <v>45.0</v>
      </c>
    </row>
    <row r="319">
      <c r="A319" s="165" t="s">
        <v>1841</v>
      </c>
      <c r="B319" s="130" t="s">
        <v>1842</v>
      </c>
      <c r="C319" s="22">
        <v>573000.0</v>
      </c>
      <c r="D319" s="26">
        <v>2009.0</v>
      </c>
      <c r="E319" s="26" t="s">
        <v>2412</v>
      </c>
      <c r="F319" s="26" t="s">
        <v>28</v>
      </c>
      <c r="G319" s="130" t="s">
        <v>23</v>
      </c>
      <c r="H319" s="28"/>
      <c r="I319" s="26">
        <v>3.0</v>
      </c>
      <c r="J319" s="515"/>
      <c r="K319" s="28"/>
      <c r="L319" s="34" t="s">
        <v>710</v>
      </c>
      <c r="M319" s="106" t="s">
        <v>1844</v>
      </c>
      <c r="N319" s="432"/>
      <c r="O319" s="32">
        <v>44.0</v>
      </c>
    </row>
    <row r="320">
      <c r="A320" s="165" t="s">
        <v>1845</v>
      </c>
      <c r="B320" s="28"/>
      <c r="C320" s="22">
        <v>531400.0</v>
      </c>
      <c r="D320" s="26">
        <v>2009.0</v>
      </c>
      <c r="E320" s="26" t="s">
        <v>2415</v>
      </c>
      <c r="F320" s="130" t="s">
        <v>2514</v>
      </c>
      <c r="G320" s="130" t="s">
        <v>23</v>
      </c>
      <c r="H320" s="130" t="s">
        <v>29</v>
      </c>
      <c r="I320" s="26">
        <v>2.0</v>
      </c>
      <c r="J320" s="515"/>
      <c r="K320" s="28"/>
      <c r="L320" s="34" t="s">
        <v>1847</v>
      </c>
      <c r="M320" s="106" t="s">
        <v>1848</v>
      </c>
      <c r="N320" s="113"/>
      <c r="O320" s="32">
        <v>43.0</v>
      </c>
    </row>
    <row r="321">
      <c r="A321" s="165" t="s">
        <v>1849</v>
      </c>
      <c r="B321" s="130" t="s">
        <v>1850</v>
      </c>
      <c r="C321" s="22">
        <v>160000.0</v>
      </c>
      <c r="D321" s="26">
        <v>2009.0</v>
      </c>
      <c r="E321" s="26" t="s">
        <v>2458</v>
      </c>
      <c r="F321" s="130" t="s">
        <v>2060</v>
      </c>
      <c r="G321" s="130" t="s">
        <v>23</v>
      </c>
      <c r="H321" s="28"/>
      <c r="I321" s="26">
        <v>3.0</v>
      </c>
      <c r="J321" s="515"/>
      <c r="K321" s="28"/>
      <c r="L321" s="105" t="s">
        <v>1599</v>
      </c>
      <c r="M321" s="106" t="s">
        <v>1852</v>
      </c>
      <c r="N321" s="113"/>
      <c r="O321" s="32">
        <v>42.0</v>
      </c>
    </row>
    <row r="322">
      <c r="A322" s="165" t="s">
        <v>1853</v>
      </c>
      <c r="B322" s="130" t="s">
        <v>1854</v>
      </c>
      <c r="C322" s="22">
        <v>1500000.0</v>
      </c>
      <c r="D322" s="26">
        <v>2009.0</v>
      </c>
      <c r="E322" s="26" t="s">
        <v>2381</v>
      </c>
      <c r="F322" s="130" t="s">
        <v>2514</v>
      </c>
      <c r="G322" s="26" t="s">
        <v>1034</v>
      </c>
      <c r="H322" s="130" t="s">
        <v>29</v>
      </c>
      <c r="I322" s="26">
        <v>4.0</v>
      </c>
      <c r="J322" s="515"/>
      <c r="K322" s="28"/>
      <c r="L322" s="120" t="s">
        <v>1839</v>
      </c>
      <c r="M322" s="106" t="s">
        <v>1856</v>
      </c>
      <c r="N322" s="113"/>
      <c r="O322" s="32">
        <v>41.0</v>
      </c>
    </row>
    <row r="323">
      <c r="A323" s="165" t="s">
        <v>1777</v>
      </c>
      <c r="B323" s="28"/>
      <c r="C323" s="22">
        <v>7.6E7</v>
      </c>
      <c r="D323" s="26">
        <v>2009.0</v>
      </c>
      <c r="E323" s="26" t="s">
        <v>2237</v>
      </c>
      <c r="F323" s="130" t="s">
        <v>1676</v>
      </c>
      <c r="G323" s="26" t="s">
        <v>1034</v>
      </c>
      <c r="H323" s="130" t="s">
        <v>29</v>
      </c>
      <c r="I323" s="26">
        <v>2.0</v>
      </c>
      <c r="J323" s="515"/>
      <c r="K323" s="28"/>
      <c r="L323" s="105" t="s">
        <v>410</v>
      </c>
      <c r="M323" s="106" t="s">
        <v>1858</v>
      </c>
      <c r="N323" s="113"/>
      <c r="O323" s="32">
        <v>40.0</v>
      </c>
    </row>
    <row r="324">
      <c r="A324" s="165" t="s">
        <v>1859</v>
      </c>
      <c r="B324" s="28"/>
      <c r="C324" s="22">
        <v>1000000.0</v>
      </c>
      <c r="D324" s="26">
        <v>2008.0</v>
      </c>
      <c r="E324" s="26" t="s">
        <v>2397</v>
      </c>
      <c r="F324" s="130" t="s">
        <v>2153</v>
      </c>
      <c r="G324" s="130" t="s">
        <v>59</v>
      </c>
      <c r="H324" s="130" t="s">
        <v>29</v>
      </c>
      <c r="I324" s="26">
        <v>3.0</v>
      </c>
      <c r="J324" s="515"/>
      <c r="K324" s="28"/>
      <c r="L324" s="34" t="s">
        <v>1224</v>
      </c>
      <c r="M324" s="106" t="s">
        <v>1861</v>
      </c>
      <c r="N324" s="432"/>
      <c r="O324" s="32">
        <v>39.0</v>
      </c>
    </row>
    <row r="325">
      <c r="A325" s="165" t="s">
        <v>1862</v>
      </c>
      <c r="B325" s="130" t="s">
        <v>1863</v>
      </c>
      <c r="C325" s="22">
        <v>4200000.0</v>
      </c>
      <c r="D325" s="26">
        <v>2008.0</v>
      </c>
      <c r="E325" s="34" t="s">
        <v>2325</v>
      </c>
      <c r="F325" s="130" t="s">
        <v>43</v>
      </c>
      <c r="G325" s="130" t="s">
        <v>23</v>
      </c>
      <c r="H325" s="28"/>
      <c r="I325" s="26">
        <v>3.0</v>
      </c>
      <c r="J325" s="515"/>
      <c r="K325" s="28"/>
      <c r="L325" s="34" t="s">
        <v>1865</v>
      </c>
      <c r="M325" s="106" t="s">
        <v>1866</v>
      </c>
      <c r="N325" s="113"/>
      <c r="O325" s="32">
        <v>38.0</v>
      </c>
    </row>
    <row r="326">
      <c r="A326" s="165" t="s">
        <v>1867</v>
      </c>
      <c r="B326" s="28"/>
      <c r="C326" s="22">
        <v>2100000.0</v>
      </c>
      <c r="D326" s="26">
        <v>2008.0</v>
      </c>
      <c r="E326" s="26" t="s">
        <v>2361</v>
      </c>
      <c r="F326" s="130" t="s">
        <v>2060</v>
      </c>
      <c r="G326" s="26" t="s">
        <v>1034</v>
      </c>
      <c r="H326" s="28"/>
      <c r="I326" s="26">
        <v>3.0</v>
      </c>
      <c r="J326" s="515"/>
      <c r="K326" s="28"/>
      <c r="L326" s="105" t="s">
        <v>1869</v>
      </c>
      <c r="M326" s="106" t="s">
        <v>1870</v>
      </c>
      <c r="N326" s="113"/>
      <c r="O326" s="32">
        <v>37.0</v>
      </c>
    </row>
    <row r="327">
      <c r="A327" s="165" t="s">
        <v>1871</v>
      </c>
      <c r="B327" s="130" t="s">
        <v>1872</v>
      </c>
      <c r="C327" s="22">
        <v>4500000.0</v>
      </c>
      <c r="D327" s="26">
        <v>2008.0</v>
      </c>
      <c r="E327" s="26" t="s">
        <v>2322</v>
      </c>
      <c r="F327" s="130" t="s">
        <v>2153</v>
      </c>
      <c r="G327" s="26" t="s">
        <v>1034</v>
      </c>
      <c r="H327" s="28"/>
      <c r="I327" s="130">
        <v>1.0</v>
      </c>
      <c r="J327" s="515"/>
      <c r="K327" s="28"/>
      <c r="L327" s="105" t="s">
        <v>286</v>
      </c>
      <c r="M327" s="106" t="s">
        <v>1874</v>
      </c>
      <c r="N327" s="113"/>
      <c r="O327" s="32">
        <v>36.0</v>
      </c>
    </row>
    <row r="328">
      <c r="A328" s="165" t="s">
        <v>1875</v>
      </c>
      <c r="B328" s="130" t="s">
        <v>1876</v>
      </c>
      <c r="C328" s="22">
        <v>2500000.0</v>
      </c>
      <c r="D328" s="26">
        <v>2008.0</v>
      </c>
      <c r="E328" s="111" t="s">
        <v>2353</v>
      </c>
      <c r="F328" s="130" t="s">
        <v>2153</v>
      </c>
      <c r="G328" s="130" t="s">
        <v>59</v>
      </c>
      <c r="H328" s="28"/>
      <c r="I328" s="26">
        <v>2.0</v>
      </c>
      <c r="J328" s="515"/>
      <c r="K328" s="28"/>
      <c r="L328" s="34" t="s">
        <v>1878</v>
      </c>
      <c r="M328" s="106" t="s">
        <v>1879</v>
      </c>
      <c r="N328" s="113"/>
      <c r="O328" s="32">
        <v>35.0</v>
      </c>
    </row>
    <row r="329">
      <c r="A329" s="165" t="s">
        <v>1880</v>
      </c>
      <c r="B329" s="28"/>
      <c r="C329" s="22">
        <v>84000.0</v>
      </c>
      <c r="D329" s="26">
        <v>2008.0</v>
      </c>
      <c r="E329" s="111" t="s">
        <v>2484</v>
      </c>
      <c r="F329" s="130" t="s">
        <v>64</v>
      </c>
      <c r="G329" s="26" t="s">
        <v>1034</v>
      </c>
      <c r="H329" s="28"/>
      <c r="I329" s="26">
        <v>2.0</v>
      </c>
      <c r="J329" s="515"/>
      <c r="K329" s="28"/>
      <c r="L329" s="53" t="s">
        <v>1882</v>
      </c>
      <c r="M329" s="106" t="s">
        <v>1883</v>
      </c>
      <c r="N329" s="113"/>
      <c r="O329" s="32">
        <v>34.0</v>
      </c>
    </row>
    <row r="330">
      <c r="A330" s="165" t="s">
        <v>1884</v>
      </c>
      <c r="B330" s="130" t="s">
        <v>1885</v>
      </c>
      <c r="C330" s="22">
        <v>1500000.0</v>
      </c>
      <c r="D330" s="26">
        <v>2008.0</v>
      </c>
      <c r="E330" s="26" t="s">
        <v>2382</v>
      </c>
      <c r="F330" s="130" t="s">
        <v>2153</v>
      </c>
      <c r="G330" s="130" t="s">
        <v>23</v>
      </c>
      <c r="H330" s="28"/>
      <c r="I330" s="225" t="s">
        <v>1562</v>
      </c>
      <c r="J330" s="515"/>
      <c r="K330" s="28"/>
      <c r="L330" s="120" t="s">
        <v>227</v>
      </c>
      <c r="M330" s="106" t="s">
        <v>1887</v>
      </c>
      <c r="N330" s="113"/>
      <c r="O330" s="32">
        <v>33.0</v>
      </c>
    </row>
    <row r="331">
      <c r="A331" s="159" t="s">
        <v>1888</v>
      </c>
      <c r="B331" s="115" t="s">
        <v>1889</v>
      </c>
      <c r="C331" s="22">
        <v>1.8E7</v>
      </c>
      <c r="D331" s="26">
        <v>2008.0</v>
      </c>
      <c r="E331" s="34" t="s">
        <v>2275</v>
      </c>
      <c r="F331" s="115" t="s">
        <v>28</v>
      </c>
      <c r="G331" s="115" t="s">
        <v>23</v>
      </c>
      <c r="H331" s="53"/>
      <c r="I331" s="26">
        <v>3.0</v>
      </c>
      <c r="J331" s="515"/>
      <c r="K331" s="53"/>
      <c r="L331" s="34" t="s">
        <v>1826</v>
      </c>
      <c r="M331" s="135" t="s">
        <v>1891</v>
      </c>
      <c r="N331" s="19"/>
      <c r="O331" s="32">
        <v>32.0</v>
      </c>
    </row>
    <row r="332">
      <c r="A332" s="165" t="s">
        <v>1892</v>
      </c>
      <c r="B332" s="130" t="s">
        <v>1893</v>
      </c>
      <c r="C332" s="22">
        <v>1.11E7</v>
      </c>
      <c r="D332" s="26">
        <v>2008.0</v>
      </c>
      <c r="E332" s="26" t="s">
        <v>2288</v>
      </c>
      <c r="F332" s="130" t="s">
        <v>2125</v>
      </c>
      <c r="G332" s="130" t="s">
        <v>59</v>
      </c>
      <c r="H332" s="28"/>
      <c r="I332" s="26">
        <v>2.0</v>
      </c>
      <c r="J332" s="515"/>
      <c r="K332" s="28"/>
      <c r="L332" s="34" t="s">
        <v>1895</v>
      </c>
      <c r="M332" s="106" t="s">
        <v>1896</v>
      </c>
      <c r="N332" s="432"/>
      <c r="O332" s="32">
        <v>31.0</v>
      </c>
    </row>
    <row r="333">
      <c r="A333" s="165" t="s">
        <v>244</v>
      </c>
      <c r="B333" s="28"/>
      <c r="C333" s="22">
        <v>113000.0</v>
      </c>
      <c r="D333" s="26">
        <v>2008.0</v>
      </c>
      <c r="E333" s="26" t="s">
        <v>2471</v>
      </c>
      <c r="F333" s="130" t="s">
        <v>129</v>
      </c>
      <c r="G333" s="26" t="s">
        <v>1034</v>
      </c>
      <c r="H333" s="130" t="s">
        <v>29</v>
      </c>
      <c r="I333" s="130">
        <v>1.0</v>
      </c>
      <c r="J333" s="515"/>
      <c r="K333" s="28"/>
      <c r="L333" s="105" t="s">
        <v>1865</v>
      </c>
      <c r="M333" s="106" t="s">
        <v>1898</v>
      </c>
      <c r="N333" s="113"/>
      <c r="O333" s="32">
        <v>30.0</v>
      </c>
    </row>
    <row r="334">
      <c r="A334" s="165" t="s">
        <v>149</v>
      </c>
      <c r="B334" s="28"/>
      <c r="C334" s="22">
        <v>72000.0</v>
      </c>
      <c r="D334" s="26">
        <v>2008.0</v>
      </c>
      <c r="E334" s="26" t="s">
        <v>2489</v>
      </c>
      <c r="F334" s="130" t="s">
        <v>2060</v>
      </c>
      <c r="G334" s="26" t="s">
        <v>1034</v>
      </c>
      <c r="H334" s="28"/>
      <c r="I334" s="26">
        <v>2.0</v>
      </c>
      <c r="J334" s="515"/>
      <c r="K334" s="28"/>
      <c r="L334" s="105" t="s">
        <v>1900</v>
      </c>
      <c r="M334" s="106" t="s">
        <v>1901</v>
      </c>
      <c r="N334" s="432"/>
      <c r="O334" s="32">
        <v>29.0</v>
      </c>
    </row>
    <row r="335">
      <c r="A335" s="165" t="s">
        <v>1902</v>
      </c>
      <c r="B335" s="130" t="s">
        <v>1903</v>
      </c>
      <c r="C335" s="22">
        <v>2200000.0</v>
      </c>
      <c r="D335" s="26">
        <v>2008.0</v>
      </c>
      <c r="E335" s="26" t="s">
        <v>2360</v>
      </c>
      <c r="F335" s="130" t="s">
        <v>2060</v>
      </c>
      <c r="G335" s="26" t="s">
        <v>1034</v>
      </c>
      <c r="H335" s="130" t="s">
        <v>29</v>
      </c>
      <c r="I335" s="26">
        <v>4.0</v>
      </c>
      <c r="J335" s="515"/>
      <c r="K335" s="28"/>
      <c r="L335" s="34" t="s">
        <v>1905</v>
      </c>
      <c r="M335" s="106" t="s">
        <v>1906</v>
      </c>
      <c r="N335" s="113"/>
      <c r="O335" s="32">
        <v>28.0</v>
      </c>
    </row>
    <row r="336">
      <c r="A336" s="165" t="s">
        <v>1907</v>
      </c>
      <c r="B336" s="28"/>
      <c r="C336" s="22">
        <v>6000000.0</v>
      </c>
      <c r="D336" s="26">
        <v>2008.0</v>
      </c>
      <c r="E336" s="26" t="s">
        <v>2311</v>
      </c>
      <c r="F336" s="130" t="s">
        <v>64</v>
      </c>
      <c r="G336" s="26" t="s">
        <v>23</v>
      </c>
      <c r="H336" s="28"/>
      <c r="I336" s="130">
        <v>1.0</v>
      </c>
      <c r="J336" s="515"/>
      <c r="K336" s="28"/>
      <c r="L336" s="120" t="s">
        <v>905</v>
      </c>
      <c r="M336" s="106" t="s">
        <v>1909</v>
      </c>
      <c r="N336" s="166" t="s">
        <v>1910</v>
      </c>
      <c r="O336" s="32">
        <v>27.0</v>
      </c>
    </row>
    <row r="337">
      <c r="A337" s="165" t="s">
        <v>1911</v>
      </c>
      <c r="B337" s="28"/>
      <c r="C337" s="22">
        <v>89000.0</v>
      </c>
      <c r="D337" s="26">
        <v>2008.0</v>
      </c>
      <c r="E337" s="26" t="s">
        <v>2483</v>
      </c>
      <c r="F337" s="130" t="s">
        <v>64</v>
      </c>
      <c r="G337" s="130" t="s">
        <v>59</v>
      </c>
      <c r="H337" s="28"/>
      <c r="I337" s="26">
        <v>2.0</v>
      </c>
      <c r="J337" s="515"/>
      <c r="K337" s="28"/>
      <c r="L337" s="105" t="s">
        <v>1913</v>
      </c>
      <c r="M337" s="106" t="s">
        <v>1914</v>
      </c>
      <c r="N337" s="113"/>
      <c r="O337" s="32">
        <v>26.0</v>
      </c>
    </row>
    <row r="338">
      <c r="A338" s="165" t="s">
        <v>1915</v>
      </c>
      <c r="B338" s="28"/>
      <c r="C338" s="22">
        <v>97000.0</v>
      </c>
      <c r="D338" s="26">
        <v>2008.0</v>
      </c>
      <c r="E338" s="26" t="s">
        <v>2481</v>
      </c>
      <c r="F338" s="130" t="s">
        <v>43</v>
      </c>
      <c r="G338" s="26" t="s">
        <v>1034</v>
      </c>
      <c r="H338" s="130" t="s">
        <v>29</v>
      </c>
      <c r="I338" s="26">
        <v>2.0</v>
      </c>
      <c r="J338" s="515"/>
      <c r="K338" s="28"/>
      <c r="L338" s="53" t="s">
        <v>1917</v>
      </c>
      <c r="M338" s="106" t="s">
        <v>1918</v>
      </c>
      <c r="N338" s="432"/>
      <c r="O338" s="32">
        <v>25.0</v>
      </c>
    </row>
    <row r="339">
      <c r="A339" s="165" t="s">
        <v>1919</v>
      </c>
      <c r="B339" s="28"/>
      <c r="C339" s="22">
        <v>1700000.0</v>
      </c>
      <c r="D339" s="26">
        <v>2008.0</v>
      </c>
      <c r="E339" s="111" t="s">
        <v>2372</v>
      </c>
      <c r="F339" s="130" t="s">
        <v>64</v>
      </c>
      <c r="G339" s="26" t="s">
        <v>1034</v>
      </c>
      <c r="H339" s="130" t="s">
        <v>29</v>
      </c>
      <c r="I339" s="26">
        <v>5.0</v>
      </c>
      <c r="J339" s="515"/>
      <c r="K339" s="28"/>
      <c r="L339" s="53" t="s">
        <v>905</v>
      </c>
      <c r="M339" s="106" t="s">
        <v>1921</v>
      </c>
      <c r="N339" s="113"/>
      <c r="O339" s="32">
        <v>24.0</v>
      </c>
    </row>
    <row r="340">
      <c r="A340" s="165" t="s">
        <v>1922</v>
      </c>
      <c r="B340" s="28"/>
      <c r="C340" s="22">
        <v>1.7E7</v>
      </c>
      <c r="D340" s="26">
        <v>2008.0</v>
      </c>
      <c r="E340" s="26" t="s">
        <v>2278</v>
      </c>
      <c r="F340" s="130" t="s">
        <v>129</v>
      </c>
      <c r="G340" s="26" t="s">
        <v>1034</v>
      </c>
      <c r="H340" s="28"/>
      <c r="I340" s="130">
        <v>1.0</v>
      </c>
      <c r="J340" s="515"/>
      <c r="K340" s="28"/>
      <c r="L340" s="34" t="s">
        <v>1643</v>
      </c>
      <c r="M340" s="106" t="s">
        <v>1924</v>
      </c>
      <c r="N340" s="109"/>
      <c r="O340" s="32">
        <v>23.0</v>
      </c>
    </row>
    <row r="341">
      <c r="A341" s="165" t="s">
        <v>1925</v>
      </c>
      <c r="B341" s="28"/>
      <c r="C341" s="22">
        <v>3950000.0</v>
      </c>
      <c r="D341" s="26">
        <v>2008.0</v>
      </c>
      <c r="E341" s="26" t="s">
        <v>2333</v>
      </c>
      <c r="F341" s="130" t="s">
        <v>64</v>
      </c>
      <c r="G341" s="419" t="s">
        <v>142</v>
      </c>
      <c r="H341" s="130" t="s">
        <v>29</v>
      </c>
      <c r="I341" s="26">
        <v>2.0</v>
      </c>
      <c r="J341" s="515"/>
      <c r="K341" s="28"/>
      <c r="L341" s="53" t="s">
        <v>1917</v>
      </c>
      <c r="M341" s="106" t="s">
        <v>1927</v>
      </c>
      <c r="N341" s="113"/>
      <c r="O341" s="32">
        <v>22.0</v>
      </c>
    </row>
    <row r="342">
      <c r="A342" s="165" t="s">
        <v>1928</v>
      </c>
      <c r="B342" s="53"/>
      <c r="C342" s="22">
        <v>50500.0</v>
      </c>
      <c r="D342" s="26">
        <v>2008.0</v>
      </c>
      <c r="E342" s="26" t="s">
        <v>2492</v>
      </c>
      <c r="F342" s="130" t="s">
        <v>64</v>
      </c>
      <c r="G342" s="26" t="s">
        <v>1034</v>
      </c>
      <c r="H342" s="28"/>
      <c r="I342" s="26">
        <v>2.0</v>
      </c>
      <c r="J342" s="515"/>
      <c r="K342" s="28"/>
      <c r="L342" s="53" t="s">
        <v>905</v>
      </c>
      <c r="M342" s="106" t="s">
        <v>1930</v>
      </c>
      <c r="N342" s="113"/>
      <c r="O342" s="32">
        <v>21.0</v>
      </c>
    </row>
    <row r="343">
      <c r="A343" s="181" t="s">
        <v>1931</v>
      </c>
      <c r="B343" s="130" t="s">
        <v>1932</v>
      </c>
      <c r="C343" s="22">
        <v>1600000.0</v>
      </c>
      <c r="D343" s="26">
        <v>2007.0</v>
      </c>
      <c r="E343" s="26" t="s">
        <v>2375</v>
      </c>
      <c r="F343" s="130" t="s">
        <v>28</v>
      </c>
      <c r="G343" s="130" t="s">
        <v>23</v>
      </c>
      <c r="H343" s="130" t="s">
        <v>29</v>
      </c>
      <c r="I343" s="26">
        <v>2.0</v>
      </c>
      <c r="J343" s="515"/>
      <c r="K343" s="28"/>
      <c r="L343" s="53" t="s">
        <v>905</v>
      </c>
      <c r="M343" s="106" t="s">
        <v>1934</v>
      </c>
      <c r="N343" s="113"/>
      <c r="O343" s="32">
        <v>20.0</v>
      </c>
    </row>
    <row r="344">
      <c r="A344" s="165" t="s">
        <v>1935</v>
      </c>
      <c r="B344" s="28"/>
      <c r="C344" s="22">
        <v>3000000.0</v>
      </c>
      <c r="D344" s="26">
        <v>2007.0</v>
      </c>
      <c r="E344" s="111" t="s">
        <v>2349</v>
      </c>
      <c r="F344" s="130" t="s">
        <v>64</v>
      </c>
      <c r="G344" s="26" t="s">
        <v>1034</v>
      </c>
      <c r="H344" s="28"/>
      <c r="I344" s="26">
        <v>2.0</v>
      </c>
      <c r="J344" s="515"/>
      <c r="K344" s="28"/>
      <c r="L344" s="53" t="s">
        <v>905</v>
      </c>
      <c r="M344" s="106" t="s">
        <v>1937</v>
      </c>
      <c r="N344" s="113"/>
      <c r="O344" s="32">
        <v>19.0</v>
      </c>
    </row>
    <row r="345">
      <c r="A345" s="165" t="s">
        <v>1938</v>
      </c>
      <c r="B345" s="435"/>
      <c r="C345" s="22">
        <v>8500000.0</v>
      </c>
      <c r="D345" s="26">
        <v>2007.0</v>
      </c>
      <c r="E345" s="26" t="s">
        <v>2300</v>
      </c>
      <c r="F345" s="130" t="s">
        <v>2153</v>
      </c>
      <c r="G345" s="130" t="s">
        <v>59</v>
      </c>
      <c r="H345" s="28"/>
      <c r="I345" s="26">
        <v>3.0</v>
      </c>
      <c r="J345" s="515"/>
      <c r="K345" s="28"/>
      <c r="L345" s="53" t="s">
        <v>1940</v>
      </c>
      <c r="M345" s="106" t="s">
        <v>1941</v>
      </c>
      <c r="N345" s="113"/>
      <c r="O345" s="32">
        <v>18.0</v>
      </c>
    </row>
    <row r="346">
      <c r="A346" s="165" t="s">
        <v>1942</v>
      </c>
      <c r="B346" s="28"/>
      <c r="C346" s="22">
        <v>160000.0</v>
      </c>
      <c r="D346" s="26">
        <v>2007.0</v>
      </c>
      <c r="E346" s="111" t="s">
        <v>2459</v>
      </c>
      <c r="F346" s="130" t="s">
        <v>64</v>
      </c>
      <c r="G346" s="26" t="s">
        <v>1034</v>
      </c>
      <c r="H346" s="28"/>
      <c r="I346" s="26">
        <v>2.0</v>
      </c>
      <c r="J346" s="515"/>
      <c r="K346" s="28"/>
      <c r="L346" s="53" t="s">
        <v>1224</v>
      </c>
      <c r="M346" s="106" t="s">
        <v>1944</v>
      </c>
      <c r="N346" s="113"/>
      <c r="O346" s="32">
        <v>17.0</v>
      </c>
    </row>
    <row r="347">
      <c r="A347" s="165" t="s">
        <v>1945</v>
      </c>
      <c r="B347" s="28"/>
      <c r="C347" s="22">
        <v>800000.0</v>
      </c>
      <c r="D347" s="26">
        <v>2007.0</v>
      </c>
      <c r="E347" s="26" t="s">
        <v>2404</v>
      </c>
      <c r="F347" s="130" t="s">
        <v>43</v>
      </c>
      <c r="G347" s="26" t="s">
        <v>1034</v>
      </c>
      <c r="H347" s="28"/>
      <c r="I347" s="26">
        <v>2.0</v>
      </c>
      <c r="J347" s="515"/>
      <c r="K347" s="28"/>
      <c r="L347" s="53" t="s">
        <v>1608</v>
      </c>
      <c r="M347" s="106" t="s">
        <v>1947</v>
      </c>
      <c r="N347" s="113"/>
      <c r="O347" s="32">
        <v>16.0</v>
      </c>
    </row>
    <row r="348">
      <c r="A348" s="165" t="s">
        <v>1948</v>
      </c>
      <c r="B348" s="130" t="s">
        <v>1949</v>
      </c>
      <c r="C348" s="22">
        <v>8637405.0</v>
      </c>
      <c r="D348" s="26">
        <v>2007.0</v>
      </c>
      <c r="E348" s="26" t="s">
        <v>2298</v>
      </c>
      <c r="F348" s="130" t="s">
        <v>43</v>
      </c>
      <c r="G348" s="130" t="s">
        <v>59</v>
      </c>
      <c r="H348" s="28"/>
      <c r="I348" s="130">
        <v>1.0</v>
      </c>
      <c r="J348" s="515"/>
      <c r="K348" s="28"/>
      <c r="L348" s="34" t="s">
        <v>1951</v>
      </c>
      <c r="M348" s="106" t="s">
        <v>1952</v>
      </c>
      <c r="N348" s="113"/>
      <c r="O348" s="32">
        <v>15.0</v>
      </c>
    </row>
    <row r="349">
      <c r="A349" s="165" t="s">
        <v>1953</v>
      </c>
      <c r="B349" s="130" t="s">
        <v>1954</v>
      </c>
      <c r="C349" s="22">
        <v>9.4E7</v>
      </c>
      <c r="D349" s="26">
        <v>2007.0</v>
      </c>
      <c r="E349" s="26" t="s">
        <v>2207</v>
      </c>
      <c r="F349" s="130" t="s">
        <v>43</v>
      </c>
      <c r="G349" s="130" t="s">
        <v>23</v>
      </c>
      <c r="H349" s="28"/>
      <c r="I349" s="26">
        <v>3.0</v>
      </c>
      <c r="J349" s="513">
        <v>9.4E7</v>
      </c>
      <c r="K349" s="28"/>
      <c r="L349" s="120" t="s">
        <v>608</v>
      </c>
      <c r="M349" s="106" t="s">
        <v>1957</v>
      </c>
      <c r="N349" s="109"/>
      <c r="O349" s="32">
        <v>14.0</v>
      </c>
    </row>
    <row r="350">
      <c r="A350" s="165" t="s">
        <v>1354</v>
      </c>
      <c r="B350" s="28"/>
      <c r="C350" s="22">
        <v>2600000.0</v>
      </c>
      <c r="D350" s="26">
        <v>2007.0</v>
      </c>
      <c r="E350" s="26" t="s">
        <v>2351</v>
      </c>
      <c r="F350" s="130" t="s">
        <v>2153</v>
      </c>
      <c r="G350" s="26" t="s">
        <v>1034</v>
      </c>
      <c r="H350" s="130" t="s">
        <v>29</v>
      </c>
      <c r="I350" s="26">
        <v>3.0</v>
      </c>
      <c r="J350" s="515"/>
      <c r="K350" s="28"/>
      <c r="L350" s="105" t="s">
        <v>1608</v>
      </c>
      <c r="M350" s="106" t="s">
        <v>1959</v>
      </c>
      <c r="N350" s="113"/>
      <c r="O350" s="32">
        <v>13.0</v>
      </c>
    </row>
    <row r="351">
      <c r="A351" s="165" t="s">
        <v>1960</v>
      </c>
      <c r="B351" s="130" t="s">
        <v>1961</v>
      </c>
      <c r="C351" s="22">
        <v>2.5E7</v>
      </c>
      <c r="D351" s="26">
        <v>2007.0</v>
      </c>
      <c r="E351" s="26" t="s">
        <v>2267</v>
      </c>
      <c r="F351" s="130" t="s">
        <v>64</v>
      </c>
      <c r="G351" s="26" t="s">
        <v>1034</v>
      </c>
      <c r="H351" s="28"/>
      <c r="I351" s="130">
        <v>1.0</v>
      </c>
      <c r="J351" s="515"/>
      <c r="K351" s="28"/>
      <c r="L351" s="53" t="s">
        <v>905</v>
      </c>
      <c r="M351" s="106" t="s">
        <v>1963</v>
      </c>
      <c r="N351" s="113"/>
      <c r="O351" s="32">
        <v>12.0</v>
      </c>
    </row>
    <row r="352">
      <c r="A352" s="165" t="s">
        <v>1964</v>
      </c>
      <c r="B352" s="130" t="s">
        <v>1965</v>
      </c>
      <c r="C352" s="22">
        <v>6300000.0</v>
      </c>
      <c r="D352" s="26">
        <v>2007.0</v>
      </c>
      <c r="E352" s="26" t="s">
        <v>2307</v>
      </c>
      <c r="F352" s="130" t="s">
        <v>2153</v>
      </c>
      <c r="G352" s="130" t="s">
        <v>23</v>
      </c>
      <c r="H352" s="28"/>
      <c r="I352" s="130">
        <v>1.0</v>
      </c>
      <c r="J352" s="515"/>
      <c r="K352" s="28"/>
      <c r="L352" s="105" t="s">
        <v>1967</v>
      </c>
      <c r="M352" s="106" t="s">
        <v>1968</v>
      </c>
      <c r="N352" s="106" t="s">
        <v>1969</v>
      </c>
      <c r="O352" s="32">
        <v>11.0</v>
      </c>
    </row>
    <row r="353">
      <c r="A353" s="165" t="s">
        <v>1324</v>
      </c>
      <c r="B353" s="111" t="s">
        <v>1970</v>
      </c>
      <c r="C353" s="22">
        <v>2.0E7</v>
      </c>
      <c r="D353" s="26">
        <v>2006.0</v>
      </c>
      <c r="E353" s="26" t="s">
        <v>2274</v>
      </c>
      <c r="F353" s="130" t="s">
        <v>28</v>
      </c>
      <c r="G353" s="419" t="s">
        <v>142</v>
      </c>
      <c r="H353" s="130" t="s">
        <v>29</v>
      </c>
      <c r="I353" s="130">
        <v>1.0</v>
      </c>
      <c r="J353" s="515"/>
      <c r="K353" s="28"/>
      <c r="L353" s="120" t="s">
        <v>34</v>
      </c>
      <c r="M353" s="106" t="s">
        <v>1972</v>
      </c>
      <c r="N353" s="113"/>
      <c r="O353" s="32">
        <v>10.0</v>
      </c>
    </row>
    <row r="354">
      <c r="A354" s="165" t="s">
        <v>1973</v>
      </c>
      <c r="B354" s="28"/>
      <c r="C354" s="22">
        <v>2.65E7</v>
      </c>
      <c r="D354" s="26">
        <v>2006.0</v>
      </c>
      <c r="E354" s="26" t="s">
        <v>2265</v>
      </c>
      <c r="F354" s="130" t="s">
        <v>1975</v>
      </c>
      <c r="G354" s="26" t="s">
        <v>1034</v>
      </c>
      <c r="H354" s="28"/>
      <c r="I354" s="26">
        <v>2.0</v>
      </c>
      <c r="J354" s="515"/>
      <c r="K354" s="28"/>
      <c r="L354" s="105" t="s">
        <v>1976</v>
      </c>
      <c r="M354" s="106" t="s">
        <v>1977</v>
      </c>
      <c r="N354" s="106" t="s">
        <v>1978</v>
      </c>
      <c r="O354" s="32">
        <v>9.0</v>
      </c>
    </row>
    <row r="355">
      <c r="A355" s="165" t="s">
        <v>1979</v>
      </c>
      <c r="B355" s="130" t="s">
        <v>1980</v>
      </c>
      <c r="C355" s="22">
        <v>125000.0</v>
      </c>
      <c r="D355" s="26">
        <v>2006.0</v>
      </c>
      <c r="E355" s="34" t="s">
        <v>2468</v>
      </c>
      <c r="F355" s="130" t="s">
        <v>2153</v>
      </c>
      <c r="G355" s="130" t="s">
        <v>51</v>
      </c>
      <c r="H355" s="28"/>
      <c r="I355" s="26">
        <v>2.0</v>
      </c>
      <c r="J355" s="515"/>
      <c r="K355" s="28"/>
      <c r="L355" s="53" t="s">
        <v>829</v>
      </c>
      <c r="M355" s="106" t="s">
        <v>1982</v>
      </c>
      <c r="N355" s="113"/>
      <c r="O355" s="32">
        <v>8.0</v>
      </c>
    </row>
    <row r="356">
      <c r="A356" s="165" t="s">
        <v>1983</v>
      </c>
      <c r="B356" s="130" t="s">
        <v>1984</v>
      </c>
      <c r="C356" s="22">
        <v>4000000.0</v>
      </c>
      <c r="D356" s="26">
        <v>2006.0</v>
      </c>
      <c r="E356" s="26" t="s">
        <v>2332</v>
      </c>
      <c r="F356" s="130" t="s">
        <v>129</v>
      </c>
      <c r="G356" s="130" t="s">
        <v>23</v>
      </c>
      <c r="H356" s="130" t="s">
        <v>29</v>
      </c>
      <c r="I356" s="130">
        <v>1.0</v>
      </c>
      <c r="J356" s="515"/>
      <c r="K356" s="28"/>
      <c r="L356" s="120" t="s">
        <v>1839</v>
      </c>
      <c r="M356" s="106" t="s">
        <v>1986</v>
      </c>
      <c r="N356" s="113"/>
      <c r="O356" s="32">
        <v>7.0</v>
      </c>
    </row>
    <row r="357">
      <c r="A357" s="165" t="s">
        <v>1987</v>
      </c>
      <c r="B357" s="28"/>
      <c r="C357" s="22">
        <v>200000.0</v>
      </c>
      <c r="D357" s="26">
        <v>2006.0</v>
      </c>
      <c r="E357" s="111" t="s">
        <v>2450</v>
      </c>
      <c r="F357" s="130" t="s">
        <v>1612</v>
      </c>
      <c r="G357" s="26" t="s">
        <v>1034</v>
      </c>
      <c r="H357" s="130" t="s">
        <v>29</v>
      </c>
      <c r="I357" s="26">
        <v>2.0</v>
      </c>
      <c r="J357" s="515"/>
      <c r="K357" s="28"/>
      <c r="L357" s="34" t="s">
        <v>1224</v>
      </c>
      <c r="M357" s="106" t="s">
        <v>1989</v>
      </c>
      <c r="N357" s="113"/>
      <c r="O357" s="32">
        <v>6.0</v>
      </c>
    </row>
    <row r="358">
      <c r="A358" s="165" t="s">
        <v>1990</v>
      </c>
      <c r="B358" s="419" t="s">
        <v>1991</v>
      </c>
      <c r="C358" s="22">
        <v>200000.0</v>
      </c>
      <c r="D358" s="26">
        <v>2005.0</v>
      </c>
      <c r="E358" s="26" t="s">
        <v>2451</v>
      </c>
      <c r="F358" s="130" t="s">
        <v>2153</v>
      </c>
      <c r="G358" s="26" t="s">
        <v>1034</v>
      </c>
      <c r="H358" s="28"/>
      <c r="I358" s="26">
        <v>2.0</v>
      </c>
      <c r="J358" s="515"/>
      <c r="K358" s="28"/>
      <c r="L358" s="53" t="s">
        <v>1993</v>
      </c>
      <c r="M358" s="106" t="s">
        <v>1994</v>
      </c>
      <c r="N358" s="113"/>
      <c r="O358" s="32">
        <v>5.0</v>
      </c>
    </row>
    <row r="359">
      <c r="A359" s="165" t="s">
        <v>1400</v>
      </c>
      <c r="B359" s="28"/>
      <c r="C359" s="22">
        <v>3900000.0</v>
      </c>
      <c r="D359" s="26">
        <v>2005.0</v>
      </c>
      <c r="E359" s="26" t="s">
        <v>2335</v>
      </c>
      <c r="F359" s="130" t="s">
        <v>2153</v>
      </c>
      <c r="G359" s="26" t="s">
        <v>1034</v>
      </c>
      <c r="H359" s="130" t="s">
        <v>29</v>
      </c>
      <c r="I359" s="26">
        <v>3.0</v>
      </c>
      <c r="J359" s="515"/>
      <c r="K359" s="28"/>
      <c r="L359" s="120" t="s">
        <v>841</v>
      </c>
      <c r="M359" s="135" t="s">
        <v>1996</v>
      </c>
      <c r="N359" s="113"/>
      <c r="O359" s="32">
        <v>4.0</v>
      </c>
    </row>
    <row r="360">
      <c r="A360" s="165" t="s">
        <v>1997</v>
      </c>
      <c r="B360" s="130" t="s">
        <v>1998</v>
      </c>
      <c r="C360" s="22">
        <v>4.0E7</v>
      </c>
      <c r="D360" s="26">
        <v>2005.0</v>
      </c>
      <c r="E360" s="26" t="s">
        <v>2254</v>
      </c>
      <c r="F360" s="130" t="s">
        <v>2153</v>
      </c>
      <c r="G360" s="130" t="s">
        <v>23</v>
      </c>
      <c r="H360" s="130" t="s">
        <v>29</v>
      </c>
      <c r="I360" s="26">
        <v>3.0</v>
      </c>
      <c r="J360" s="515"/>
      <c r="K360" s="28"/>
      <c r="L360" s="34" t="s">
        <v>410</v>
      </c>
      <c r="M360" s="106" t="s">
        <v>2000</v>
      </c>
      <c r="N360" s="113"/>
      <c r="O360" s="32">
        <v>3.0</v>
      </c>
    </row>
    <row r="361">
      <c r="A361" s="165" t="s">
        <v>1324</v>
      </c>
      <c r="B361" s="111" t="s">
        <v>1970</v>
      </c>
      <c r="C361" s="22">
        <v>9.2E7</v>
      </c>
      <c r="D361" s="26">
        <v>2004.0</v>
      </c>
      <c r="E361" s="26" t="s">
        <v>2208</v>
      </c>
      <c r="F361" s="130" t="s">
        <v>28</v>
      </c>
      <c r="G361" s="26" t="s">
        <v>59</v>
      </c>
      <c r="H361" s="28"/>
      <c r="I361" s="130">
        <v>1.0</v>
      </c>
      <c r="J361" s="513">
        <v>9.2E7</v>
      </c>
      <c r="K361" s="28"/>
      <c r="L361" s="120" t="s">
        <v>1088</v>
      </c>
      <c r="M361" s="106" t="s">
        <v>2003</v>
      </c>
      <c r="N361" s="109"/>
      <c r="O361" s="32">
        <v>2.0</v>
      </c>
    </row>
    <row r="362">
      <c r="A362" s="165"/>
      <c r="B362" s="51"/>
      <c r="C362" s="22"/>
      <c r="D362" s="26"/>
      <c r="E362" s="26"/>
      <c r="F362" s="130"/>
      <c r="G362" s="26"/>
      <c r="H362" s="28"/>
      <c r="I362" s="130"/>
      <c r="J362" s="27"/>
      <c r="K362" s="28"/>
      <c r="L362" s="53"/>
      <c r="M362" s="31"/>
      <c r="N362" s="31"/>
      <c r="O362" s="32"/>
    </row>
  </sheetData>
  <hyperlinks>
    <hyperlink r:id="rId1" ref="M3"/>
    <hyperlink r:id="rId2" ref="M4"/>
    <hyperlink r:id="rId3" ref="M5"/>
    <hyperlink r:id="rId4" ref="M6"/>
    <hyperlink r:id="rId5" ref="M7"/>
    <hyperlink r:id="rId6" ref="M8"/>
    <hyperlink r:id="rId7" location="91076484d1b3" ref="M9"/>
    <hyperlink r:id="rId8" ref="M10"/>
    <hyperlink r:id="rId9" ref="M11"/>
    <hyperlink r:id="rId10" ref="M12"/>
    <hyperlink r:id="rId11" ref="M13"/>
    <hyperlink r:id="rId12" ref="M14"/>
    <hyperlink r:id="rId13" ref="M15"/>
    <hyperlink r:id="rId14" ref="M16"/>
    <hyperlink r:id="rId15" ref="M17"/>
    <hyperlink r:id="rId16" ref="M18"/>
    <hyperlink r:id="rId17" ref="M19"/>
    <hyperlink r:id="rId18" ref="M20"/>
    <hyperlink r:id="rId19" ref="M21"/>
    <hyperlink r:id="rId20" ref="M22"/>
    <hyperlink r:id="rId21" ref="M23"/>
    <hyperlink r:id="rId22" ref="M24"/>
    <hyperlink r:id="rId23" ref="M25"/>
    <hyperlink r:id="rId24" ref="M26"/>
    <hyperlink r:id="rId25" ref="M27"/>
    <hyperlink r:id="rId26" ref="M28"/>
    <hyperlink r:id="rId27" ref="N28"/>
    <hyperlink r:id="rId28" ref="M29"/>
    <hyperlink r:id="rId29" ref="M30"/>
    <hyperlink r:id="rId30" ref="N30"/>
    <hyperlink r:id="rId31" ref="M31"/>
    <hyperlink r:id="rId32" ref="M32"/>
    <hyperlink r:id="rId33" ref="M33"/>
    <hyperlink r:id="rId34" ref="M34"/>
    <hyperlink r:id="rId35" ref="M35"/>
    <hyperlink r:id="rId36" ref="M36"/>
    <hyperlink r:id="rId37" ref="M37"/>
    <hyperlink r:id="rId38" ref="M38"/>
    <hyperlink r:id="rId39" ref="M39"/>
    <hyperlink r:id="rId40" ref="M40"/>
    <hyperlink r:id="rId41" ref="M41"/>
    <hyperlink r:id="rId42" ref="M42"/>
    <hyperlink r:id="rId43" ref="M43"/>
    <hyperlink r:id="rId44" ref="M44"/>
    <hyperlink r:id="rId45" ref="M45"/>
    <hyperlink r:id="rId46" ref="M46"/>
    <hyperlink r:id="rId47" ref="A47"/>
    <hyperlink r:id="rId48" ref="M47"/>
    <hyperlink r:id="rId49" ref="M48"/>
    <hyperlink r:id="rId50" ref="M49"/>
    <hyperlink r:id="rId51" ref="M50"/>
    <hyperlink r:id="rId52" ref="M51"/>
    <hyperlink r:id="rId53" ref="M52"/>
    <hyperlink r:id="rId54" ref="M53"/>
    <hyperlink r:id="rId55" ref="M54"/>
    <hyperlink r:id="rId56" ref="M55"/>
    <hyperlink r:id="rId57" ref="M56"/>
    <hyperlink r:id="rId58" location="2a5cb36b41d2" ref="M57"/>
    <hyperlink r:id="rId59" ref="M58"/>
    <hyperlink r:id="rId60" ref="M59"/>
    <hyperlink r:id="rId61" ref="M60"/>
    <hyperlink r:id="rId62" ref="M61"/>
    <hyperlink r:id="rId63" ref="M62"/>
    <hyperlink r:id="rId64" ref="M63"/>
    <hyperlink r:id="rId65" ref="M64"/>
    <hyperlink r:id="rId66" ref="M65"/>
    <hyperlink r:id="rId67" ref="A66"/>
    <hyperlink r:id="rId68" ref="M66"/>
    <hyperlink r:id="rId69" ref="M67"/>
    <hyperlink r:id="rId70" ref="M68"/>
    <hyperlink r:id="rId71" ref="M69"/>
    <hyperlink r:id="rId72" ref="M70"/>
    <hyperlink r:id="rId73" ref="M71"/>
    <hyperlink r:id="rId74" ref="N71"/>
    <hyperlink r:id="rId75" ref="M72"/>
    <hyperlink r:id="rId76" ref="M73"/>
    <hyperlink r:id="rId77" ref="M74"/>
    <hyperlink r:id="rId78" ref="N74"/>
    <hyperlink r:id="rId79" ref="M75"/>
    <hyperlink r:id="rId80" ref="M76"/>
    <hyperlink r:id="rId81" ref="M77"/>
    <hyperlink r:id="rId82" ref="M78"/>
    <hyperlink r:id="rId83" ref="M79"/>
    <hyperlink r:id="rId84" ref="M80"/>
    <hyperlink r:id="rId85" ref="M81"/>
    <hyperlink r:id="rId86" ref="M82"/>
    <hyperlink r:id="rId87" ref="M83"/>
    <hyperlink r:id="rId88" ref="M84"/>
    <hyperlink r:id="rId89" ref="M85"/>
    <hyperlink r:id="rId90" ref="M86"/>
    <hyperlink r:id="rId91" ref="M87"/>
    <hyperlink r:id="rId92" ref="M88"/>
    <hyperlink r:id="rId93" ref="M89"/>
    <hyperlink r:id="rId94" ref="M90"/>
    <hyperlink r:id="rId95" ref="M91"/>
    <hyperlink r:id="rId96" ref="M92"/>
    <hyperlink r:id="rId97" ref="M94"/>
    <hyperlink r:id="rId98" ref="M95"/>
    <hyperlink r:id="rId99" ref="M96"/>
    <hyperlink r:id="rId100" ref="M97"/>
    <hyperlink r:id="rId101" ref="M98"/>
    <hyperlink r:id="rId102" ref="M99"/>
    <hyperlink r:id="rId103" ref="M100"/>
    <hyperlink r:id="rId104" ref="M101"/>
    <hyperlink r:id="rId105" ref="M102"/>
    <hyperlink r:id="rId106" ref="N102"/>
    <hyperlink r:id="rId107" ref="M103"/>
    <hyperlink r:id="rId108" ref="M104"/>
    <hyperlink r:id="rId109" ref="M105"/>
    <hyperlink r:id="rId110" ref="M106"/>
    <hyperlink r:id="rId111" ref="M107"/>
    <hyperlink r:id="rId112" ref="M108"/>
    <hyperlink r:id="rId113" ref="M109"/>
    <hyperlink r:id="rId114" ref="M110"/>
    <hyperlink r:id="rId115" ref="M111"/>
    <hyperlink r:id="rId116" ref="M112"/>
    <hyperlink r:id="rId117" ref="M113"/>
    <hyperlink r:id="rId118" ref="M114"/>
    <hyperlink r:id="rId119" ref="M115"/>
    <hyperlink r:id="rId120" ref="M116"/>
    <hyperlink r:id="rId121" ref="M117"/>
    <hyperlink r:id="rId122" ref="M118"/>
    <hyperlink r:id="rId123" ref="M119"/>
    <hyperlink r:id="rId124" ref="M120"/>
    <hyperlink r:id="rId125" ref="M121"/>
    <hyperlink r:id="rId126" ref="M122"/>
    <hyperlink r:id="rId127" ref="M123"/>
    <hyperlink r:id="rId128" ref="M124"/>
    <hyperlink r:id="rId129" ref="M125"/>
    <hyperlink r:id="rId130" ref="M126"/>
    <hyperlink r:id="rId131" ref="M127"/>
    <hyperlink r:id="rId132" ref="M128"/>
    <hyperlink r:id="rId133" ref="M129"/>
    <hyperlink r:id="rId134" ref="M130"/>
    <hyperlink r:id="rId135" ref="M131"/>
    <hyperlink r:id="rId136" ref="N131"/>
    <hyperlink r:id="rId137" ref="M132"/>
    <hyperlink r:id="rId138" ref="M133"/>
    <hyperlink r:id="rId139" ref="M134"/>
    <hyperlink r:id="rId140" ref="M135"/>
    <hyperlink r:id="rId141" ref="M136"/>
    <hyperlink r:id="rId142" ref="M137"/>
    <hyperlink r:id="rId143" ref="M138"/>
    <hyperlink r:id="rId144" ref="M139"/>
    <hyperlink r:id="rId145" ref="M140"/>
    <hyperlink r:id="rId146" ref="M141"/>
    <hyperlink r:id="rId147" ref="A142"/>
    <hyperlink r:id="rId148" ref="M142"/>
    <hyperlink r:id="rId149" ref="M143"/>
    <hyperlink r:id="rId150" location="260a2f727bab" ref="M144"/>
    <hyperlink r:id="rId151" ref="M145"/>
    <hyperlink r:id="rId152" ref="M146"/>
    <hyperlink r:id="rId153" ref="M147"/>
    <hyperlink r:id="rId154" ref="M148"/>
    <hyperlink r:id="rId155" ref="M149"/>
    <hyperlink r:id="rId156" ref="M150"/>
    <hyperlink r:id="rId157" ref="M151"/>
    <hyperlink r:id="rId158" ref="M152"/>
    <hyperlink r:id="rId159" ref="M153"/>
    <hyperlink r:id="rId160" ref="M154"/>
    <hyperlink r:id="rId161" ref="M155"/>
    <hyperlink r:id="rId162" ref="M156"/>
    <hyperlink r:id="rId163" ref="M157"/>
    <hyperlink r:id="rId164" ref="M158"/>
    <hyperlink r:id="rId165" location="assets_129" ref="M159"/>
    <hyperlink r:id="rId166" ref="M160"/>
    <hyperlink r:id="rId167" ref="M161"/>
    <hyperlink r:id="rId168" ref="M162"/>
    <hyperlink r:id="rId169" ref="M163"/>
    <hyperlink r:id="rId170" ref="M164"/>
    <hyperlink r:id="rId171" ref="M165"/>
    <hyperlink r:id="rId172" ref="M166"/>
    <hyperlink r:id="rId173" ref="M167"/>
    <hyperlink r:id="rId174" ref="N167"/>
    <hyperlink r:id="rId175" ref="M168"/>
    <hyperlink r:id="rId176" ref="N168"/>
    <hyperlink r:id="rId177" ref="M169"/>
    <hyperlink r:id="rId178" ref="M170"/>
    <hyperlink r:id="rId179" ref="M171"/>
    <hyperlink r:id="rId180" ref="N171"/>
    <hyperlink r:id="rId181" ref="M172"/>
    <hyperlink r:id="rId182" ref="A173"/>
    <hyperlink r:id="rId183" ref="M173"/>
    <hyperlink r:id="rId184" ref="M174"/>
    <hyperlink r:id="rId185" ref="N174"/>
    <hyperlink r:id="rId186" ref="M175"/>
    <hyperlink r:id="rId187" ref="M176"/>
    <hyperlink r:id="rId188" ref="M177"/>
    <hyperlink r:id="rId189" ref="M178"/>
    <hyperlink r:id="rId190" ref="M179"/>
    <hyperlink r:id="rId191" ref="M180"/>
    <hyperlink r:id="rId192" ref="M181"/>
    <hyperlink r:id="rId193" ref="N181"/>
    <hyperlink r:id="rId194" ref="M182"/>
    <hyperlink r:id="rId195" ref="M183"/>
    <hyperlink r:id="rId196" ref="M184"/>
    <hyperlink r:id="rId197" ref="M185"/>
    <hyperlink r:id="rId198" ref="M186"/>
    <hyperlink r:id="rId199" ref="M187"/>
    <hyperlink r:id="rId200" ref="M188"/>
    <hyperlink r:id="rId201" ref="N188"/>
    <hyperlink r:id="rId202" ref="M189"/>
    <hyperlink r:id="rId203" ref="M190"/>
    <hyperlink r:id="rId204" ref="M191"/>
    <hyperlink r:id="rId205" ref="M192"/>
    <hyperlink r:id="rId206" ref="M193"/>
    <hyperlink r:id="rId207" ref="N193"/>
    <hyperlink r:id="rId208" ref="M194"/>
    <hyperlink r:id="rId209" ref="M195"/>
    <hyperlink r:id="rId210" ref="M196"/>
    <hyperlink r:id="rId211" ref="M197"/>
    <hyperlink r:id="rId212" ref="M198"/>
    <hyperlink r:id="rId213" ref="M199"/>
    <hyperlink r:id="rId214" ref="M200"/>
    <hyperlink r:id="rId215" ref="N200"/>
    <hyperlink r:id="rId216" ref="M201"/>
    <hyperlink r:id="rId217" ref="M202"/>
    <hyperlink r:id="rId218" ref="M203"/>
    <hyperlink r:id="rId219" ref="M204"/>
    <hyperlink r:id="rId220" ref="M205"/>
    <hyperlink r:id="rId221" ref="M206"/>
    <hyperlink r:id="rId222" ref="M207"/>
    <hyperlink r:id="rId223" ref="M208"/>
    <hyperlink r:id="rId224" ref="M209"/>
    <hyperlink r:id="rId225" ref="M210"/>
    <hyperlink r:id="rId226" ref="N210"/>
    <hyperlink r:id="rId227" ref="M211"/>
    <hyperlink r:id="rId228" ref="N211"/>
    <hyperlink r:id="rId229" ref="M212"/>
    <hyperlink r:id="rId230" ref="N212"/>
    <hyperlink r:id="rId231" ref="M213"/>
    <hyperlink r:id="rId232" ref="N213"/>
    <hyperlink r:id="rId233" ref="M214"/>
    <hyperlink r:id="rId234" ref="M215"/>
    <hyperlink r:id="rId235" ref="M216"/>
    <hyperlink r:id="rId236" ref="M217"/>
    <hyperlink r:id="rId237" ref="M218"/>
    <hyperlink r:id="rId238" ref="M219"/>
    <hyperlink r:id="rId239" ref="M220"/>
    <hyperlink r:id="rId240" ref="M221"/>
    <hyperlink r:id="rId241" ref="M222"/>
    <hyperlink r:id="rId242" ref="M223"/>
    <hyperlink r:id="rId243" ref="M224"/>
    <hyperlink r:id="rId244" ref="M225"/>
    <hyperlink r:id="rId245" ref="M226"/>
    <hyperlink r:id="rId246" ref="M227"/>
    <hyperlink r:id="rId247" ref="M228"/>
    <hyperlink r:id="rId248" ref="M229"/>
    <hyperlink r:id="rId249" ref="N229"/>
    <hyperlink r:id="rId250" ref="M230"/>
    <hyperlink r:id="rId251" ref="M231"/>
    <hyperlink r:id="rId252" ref="M232"/>
    <hyperlink r:id="rId253" ref="M233"/>
    <hyperlink r:id="rId254" ref="N233"/>
    <hyperlink r:id="rId255" ref="M234"/>
    <hyperlink r:id="rId256" ref="N234"/>
    <hyperlink r:id="rId257" ref="A235"/>
    <hyperlink r:id="rId258" ref="M235"/>
    <hyperlink r:id="rId259" ref="M236"/>
    <hyperlink r:id="rId260" ref="N236"/>
    <hyperlink r:id="rId261" ref="M237"/>
    <hyperlink r:id="rId262" ref="M238"/>
    <hyperlink r:id="rId263" ref="M239"/>
    <hyperlink r:id="rId264" ref="N239"/>
    <hyperlink r:id="rId265" ref="A240"/>
    <hyperlink r:id="rId266" ref="M240"/>
    <hyperlink r:id="rId267" ref="M241"/>
    <hyperlink r:id="rId268" ref="M242"/>
    <hyperlink r:id="rId269" ref="M243"/>
    <hyperlink r:id="rId270" ref="M244"/>
    <hyperlink r:id="rId271" ref="M245"/>
    <hyperlink r:id="rId272" ref="M246"/>
    <hyperlink r:id="rId273" ref="M247"/>
    <hyperlink r:id="rId274" ref="M248"/>
    <hyperlink r:id="rId275" ref="M249"/>
    <hyperlink r:id="rId276" location="6dfbcdc355d1" ref="M250"/>
    <hyperlink r:id="rId277" ref="M251"/>
    <hyperlink r:id="rId278" ref="M252"/>
    <hyperlink r:id="rId279" ref="M253"/>
    <hyperlink r:id="rId280" ref="M254"/>
    <hyperlink r:id="rId281" ref="M255"/>
    <hyperlink r:id="rId282" ref="N255"/>
    <hyperlink r:id="rId283" ref="M256"/>
    <hyperlink r:id="rId284" ref="A257"/>
    <hyperlink r:id="rId285" ref="M257"/>
    <hyperlink r:id="rId286" ref="N257"/>
    <hyperlink r:id="rId287" ref="M258"/>
    <hyperlink r:id="rId288" ref="M259"/>
    <hyperlink r:id="rId289" ref="A260"/>
    <hyperlink r:id="rId290" ref="M260"/>
    <hyperlink r:id="rId291" ref="M261"/>
    <hyperlink r:id="rId292" ref="N261"/>
    <hyperlink r:id="rId293" ref="M262"/>
    <hyperlink r:id="rId294" ref="M263"/>
    <hyperlink r:id="rId295" ref="M264"/>
    <hyperlink r:id="rId296" ref="M265"/>
    <hyperlink r:id="rId297" ref="M266"/>
    <hyperlink r:id="rId298" ref="M267"/>
    <hyperlink r:id="rId299" ref="M268"/>
    <hyperlink r:id="rId300" ref="M269"/>
    <hyperlink r:id="rId301" ref="M270"/>
    <hyperlink r:id="rId302" ref="M271"/>
    <hyperlink r:id="rId303" ref="M272"/>
    <hyperlink r:id="rId304" ref="M273"/>
    <hyperlink r:id="rId305" ref="M274"/>
    <hyperlink r:id="rId306" ref="M275"/>
    <hyperlink r:id="rId307" ref="M276"/>
    <hyperlink r:id="rId308" ref="M277"/>
    <hyperlink r:id="rId309" ref="M278"/>
    <hyperlink r:id="rId310" ref="M279"/>
    <hyperlink r:id="rId311" ref="A280"/>
    <hyperlink r:id="rId312" ref="M280"/>
    <hyperlink r:id="rId313" ref="M281"/>
    <hyperlink r:id="rId314" ref="M282"/>
    <hyperlink r:id="rId315" ref="M283"/>
    <hyperlink r:id="rId316" ref="M284"/>
    <hyperlink r:id="rId317" ref="M285"/>
    <hyperlink r:id="rId318" ref="M286"/>
    <hyperlink r:id="rId319" ref="M287"/>
    <hyperlink r:id="rId320" ref="M288"/>
    <hyperlink r:id="rId321" ref="M289"/>
    <hyperlink r:id="rId322" ref="M290"/>
    <hyperlink r:id="rId323" ref="M291"/>
    <hyperlink r:id="rId324" ref="M292"/>
    <hyperlink r:id="rId325" ref="M293"/>
    <hyperlink r:id="rId326" location=".XAfhPhP7TUI" ref="M294"/>
    <hyperlink r:id="rId327" ref="M295"/>
    <hyperlink r:id="rId328" ref="M296"/>
    <hyperlink r:id="rId329" ref="M297"/>
    <hyperlink r:id="rId330" ref="M298"/>
    <hyperlink r:id="rId331" ref="M299"/>
    <hyperlink r:id="rId332" ref="M300"/>
    <hyperlink r:id="rId333" ref="M301"/>
    <hyperlink r:id="rId334" ref="M302"/>
    <hyperlink r:id="rId335" ref="M303"/>
    <hyperlink r:id="rId336" ref="M304"/>
    <hyperlink r:id="rId337" ref="A305"/>
    <hyperlink r:id="rId338" ref="M305"/>
    <hyperlink r:id="rId339" ref="N305"/>
    <hyperlink r:id="rId340" ref="M306"/>
    <hyperlink r:id="rId341" ref="M307"/>
    <hyperlink r:id="rId342" ref="M308"/>
    <hyperlink r:id="rId343" ref="M309"/>
    <hyperlink r:id="rId344" ref="M310"/>
    <hyperlink r:id="rId345" ref="M311"/>
    <hyperlink r:id="rId346" ref="M312"/>
    <hyperlink r:id="rId347" ref="M313"/>
    <hyperlink r:id="rId348" ref="M314"/>
    <hyperlink r:id="rId349" ref="M315"/>
    <hyperlink r:id="rId350" ref="M316"/>
    <hyperlink r:id="rId351" ref="M317"/>
    <hyperlink r:id="rId352" ref="M318"/>
    <hyperlink r:id="rId353" ref="M319"/>
    <hyperlink r:id="rId354" ref="M320"/>
    <hyperlink r:id="rId355" ref="M321"/>
    <hyperlink r:id="rId356" ref="M322"/>
    <hyperlink r:id="rId357" ref="M323"/>
    <hyperlink r:id="rId358" ref="M324"/>
    <hyperlink r:id="rId359" ref="M325"/>
    <hyperlink r:id="rId360" ref="M326"/>
    <hyperlink r:id="rId361" ref="M327"/>
    <hyperlink r:id="rId362" ref="M328"/>
    <hyperlink r:id="rId363" ref="M329"/>
    <hyperlink r:id="rId364" ref="M330"/>
    <hyperlink r:id="rId365" ref="A331"/>
    <hyperlink r:id="rId366" ref="M331"/>
    <hyperlink r:id="rId367" ref="M332"/>
    <hyperlink r:id="rId368" ref="M333"/>
    <hyperlink r:id="rId369" ref="M334"/>
    <hyperlink r:id="rId370" ref="M335"/>
    <hyperlink r:id="rId371" ref="M336"/>
    <hyperlink r:id="rId372" ref="N336"/>
    <hyperlink r:id="rId373" ref="M337"/>
    <hyperlink r:id="rId374" ref="M338"/>
    <hyperlink r:id="rId375" ref="M339"/>
    <hyperlink r:id="rId376" ref="M340"/>
    <hyperlink r:id="rId377" ref="M341"/>
    <hyperlink r:id="rId378" ref="M342"/>
    <hyperlink r:id="rId379" ref="A343"/>
    <hyperlink r:id="rId380" ref="M343"/>
    <hyperlink r:id="rId381" ref="M344"/>
    <hyperlink r:id="rId382" ref="M345"/>
    <hyperlink r:id="rId383" ref="M346"/>
    <hyperlink r:id="rId384" ref="M347"/>
    <hyperlink r:id="rId385" ref="M348"/>
    <hyperlink r:id="rId386" ref="M349"/>
    <hyperlink r:id="rId387" ref="M350"/>
    <hyperlink r:id="rId388" ref="M351"/>
    <hyperlink r:id="rId389" ref="M352"/>
    <hyperlink r:id="rId390" ref="N352"/>
    <hyperlink r:id="rId391" ref="M353"/>
    <hyperlink r:id="rId392" ref="M354"/>
    <hyperlink r:id="rId393" ref="N354"/>
    <hyperlink r:id="rId394" location=".UFcROxgUwaA" ref="M355"/>
    <hyperlink r:id="rId395" ref="M356"/>
    <hyperlink r:id="rId396" ref="M357"/>
    <hyperlink r:id="rId397" ref="M358"/>
    <hyperlink r:id="rId398" ref="M359"/>
    <hyperlink r:id="rId399" ref="M360"/>
    <hyperlink r:id="rId400" ref="M361"/>
  </hyperlinks>
  <drawing r:id="rId40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2.75"/>
  <cols>
    <col customWidth="1" min="1" max="1" width="22.63"/>
    <col customWidth="1" min="2" max="2" width="16.25"/>
    <col customWidth="1" min="3" max="3" width="14.75"/>
    <col customWidth="1" min="4" max="4" width="8.75"/>
    <col customWidth="1" min="5" max="5" width="30.25"/>
    <col customWidth="1" min="6" max="6" width="13.0"/>
    <col customWidth="1" min="7" max="7" width="14.88"/>
    <col customWidth="1" min="8" max="8" width="10.13"/>
    <col customWidth="1" min="9" max="9" width="12.13"/>
    <col customWidth="1" min="10" max="10" width="13.63"/>
    <col customWidth="1" min="11" max="11" width="2.0"/>
    <col customWidth="1" min="12" max="14" width="15.13"/>
  </cols>
  <sheetData>
    <row r="1">
      <c r="A1" s="114" t="s">
        <v>2164</v>
      </c>
      <c r="B1" s="114" t="s">
        <v>1</v>
      </c>
      <c r="C1" s="405" t="s">
        <v>2</v>
      </c>
      <c r="D1" s="20" t="s">
        <v>2505</v>
      </c>
      <c r="E1" s="114" t="s">
        <v>5</v>
      </c>
      <c r="F1" s="407" t="s">
        <v>2506</v>
      </c>
      <c r="G1" s="52" t="s">
        <v>2507</v>
      </c>
      <c r="H1" s="114" t="s">
        <v>8</v>
      </c>
      <c r="I1" s="165" t="s">
        <v>2508</v>
      </c>
      <c r="J1" s="408" t="s">
        <v>2509</v>
      </c>
      <c r="K1" s="141"/>
      <c r="L1" s="141" t="s">
        <v>11</v>
      </c>
      <c r="M1" s="409" t="s">
        <v>12</v>
      </c>
      <c r="N1" s="409" t="s">
        <v>13</v>
      </c>
    </row>
    <row r="2">
      <c r="A2" s="411"/>
      <c r="B2" s="12"/>
      <c r="C2" s="13" t="s">
        <v>16</v>
      </c>
      <c r="D2" s="412" t="s">
        <v>17</v>
      </c>
      <c r="E2" s="16"/>
      <c r="F2" s="413" t="s">
        <v>2152</v>
      </c>
      <c r="G2" s="16" t="s">
        <v>18</v>
      </c>
      <c r="H2" s="12"/>
      <c r="I2" s="414" t="s">
        <v>19</v>
      </c>
      <c r="J2" s="414" t="str">
        <f>"=IF(C3&gt;100000000,C3,"")"</f>
        <v>=IF(C3&gt;100000000,C3,")</v>
      </c>
      <c r="K2" s="12"/>
      <c r="L2" s="12"/>
      <c r="M2" s="19"/>
      <c r="N2" s="19"/>
    </row>
    <row r="3">
      <c r="A3" s="20" t="s">
        <v>2510</v>
      </c>
      <c r="B3" s="47" t="s">
        <v>2511</v>
      </c>
      <c r="C3" s="22">
        <v>4.0E7</v>
      </c>
      <c r="D3" s="26">
        <v>2020.0</v>
      </c>
      <c r="E3" s="26" t="s">
        <v>2512</v>
      </c>
      <c r="F3" s="26" t="s">
        <v>129</v>
      </c>
      <c r="G3" s="26" t="s">
        <v>51</v>
      </c>
      <c r="H3" s="28"/>
      <c r="I3" s="26">
        <v>1.0</v>
      </c>
      <c r="J3" s="27">
        <v>8.0E9</v>
      </c>
      <c r="K3" s="28"/>
      <c r="L3" s="34" t="s">
        <v>34</v>
      </c>
      <c r="M3" s="520" t="s">
        <v>2513</v>
      </c>
      <c r="N3" s="31"/>
    </row>
    <row r="4">
      <c r="A4" s="20" t="s">
        <v>631</v>
      </c>
      <c r="B4" s="51"/>
      <c r="C4" s="22">
        <v>300000.0</v>
      </c>
      <c r="D4" s="26">
        <v>2020.0</v>
      </c>
      <c r="E4" s="26" t="s">
        <v>2230</v>
      </c>
      <c r="F4" s="26" t="s">
        <v>236</v>
      </c>
      <c r="G4" s="26" t="s">
        <v>23</v>
      </c>
      <c r="H4" s="28"/>
      <c r="I4" s="26">
        <v>3.0</v>
      </c>
      <c r="J4" s="27">
        <v>300000.0</v>
      </c>
      <c r="K4" s="28"/>
      <c r="L4" s="34" t="s">
        <v>34</v>
      </c>
      <c r="M4" s="520" t="s">
        <v>634</v>
      </c>
      <c r="N4" s="31"/>
    </row>
    <row r="5">
      <c r="A5" s="20" t="s">
        <v>635</v>
      </c>
      <c r="B5" s="51"/>
      <c r="C5" s="22">
        <v>1.15E8</v>
      </c>
      <c r="D5" s="26">
        <v>2020.0</v>
      </c>
      <c r="E5" s="26" t="s">
        <v>2202</v>
      </c>
      <c r="F5" s="26" t="s">
        <v>129</v>
      </c>
      <c r="G5" s="26" t="s">
        <v>23</v>
      </c>
      <c r="H5" s="28"/>
      <c r="I5" s="26">
        <v>2.0</v>
      </c>
      <c r="J5" s="27">
        <v>1.15E8</v>
      </c>
      <c r="K5" s="28"/>
      <c r="L5" s="34" t="s">
        <v>571</v>
      </c>
      <c r="M5" s="520" t="s">
        <v>638</v>
      </c>
      <c r="N5" s="31"/>
    </row>
    <row r="6">
      <c r="A6" s="20" t="s">
        <v>639</v>
      </c>
      <c r="B6" s="51"/>
      <c r="C6" s="22">
        <v>387000.0</v>
      </c>
      <c r="D6" s="26">
        <v>2020.0</v>
      </c>
      <c r="E6" s="26" t="s">
        <v>2231</v>
      </c>
      <c r="F6" s="26" t="s">
        <v>64</v>
      </c>
      <c r="G6" s="26" t="s">
        <v>23</v>
      </c>
      <c r="H6" s="28"/>
      <c r="I6" s="26">
        <v>2.0</v>
      </c>
      <c r="J6" s="27">
        <v>287000.0</v>
      </c>
      <c r="K6" s="28"/>
      <c r="L6" s="34" t="s">
        <v>642</v>
      </c>
      <c r="M6" s="520" t="s">
        <v>643</v>
      </c>
      <c r="N6" s="31"/>
    </row>
    <row r="7">
      <c r="A7" s="52" t="s">
        <v>644</v>
      </c>
      <c r="B7" s="521" t="s">
        <v>2522</v>
      </c>
      <c r="C7" s="22">
        <v>2.2E7</v>
      </c>
      <c r="D7" s="26">
        <v>2020.0</v>
      </c>
      <c r="E7" s="26" t="s">
        <v>2218</v>
      </c>
      <c r="F7" s="26" t="s">
        <v>28</v>
      </c>
      <c r="G7" s="26" t="s">
        <v>23</v>
      </c>
      <c r="H7" s="28"/>
      <c r="I7" s="26">
        <v>2.0</v>
      </c>
      <c r="J7" s="27">
        <v>2.2E7</v>
      </c>
      <c r="K7" s="28"/>
      <c r="L7" s="34" t="s">
        <v>648</v>
      </c>
      <c r="M7" s="520" t="s">
        <v>649</v>
      </c>
      <c r="N7" s="31"/>
    </row>
    <row r="8">
      <c r="A8" s="20" t="s">
        <v>650</v>
      </c>
      <c r="B8" s="51"/>
      <c r="C8" s="22">
        <v>9000000.0</v>
      </c>
      <c r="D8" s="26">
        <v>2020.0</v>
      </c>
      <c r="E8" s="26" t="s">
        <v>2220</v>
      </c>
      <c r="F8" s="26" t="s">
        <v>22</v>
      </c>
      <c r="G8" s="26" t="s">
        <v>23</v>
      </c>
      <c r="H8" s="28"/>
      <c r="I8" s="26">
        <v>3.0</v>
      </c>
      <c r="J8" s="27">
        <v>9000000.0</v>
      </c>
      <c r="K8" s="28"/>
      <c r="L8" s="34" t="s">
        <v>147</v>
      </c>
      <c r="M8" s="520" t="s">
        <v>653</v>
      </c>
      <c r="N8" s="31"/>
    </row>
    <row r="9">
      <c r="A9" s="20" t="s">
        <v>356</v>
      </c>
      <c r="B9" s="51"/>
      <c r="C9" s="22">
        <v>2.5E8</v>
      </c>
      <c r="D9" s="26">
        <v>2020.0</v>
      </c>
      <c r="E9" s="26" t="s">
        <v>2188</v>
      </c>
      <c r="F9" s="26" t="s">
        <v>28</v>
      </c>
      <c r="G9" s="26" t="s">
        <v>51</v>
      </c>
      <c r="H9" s="28"/>
      <c r="I9" s="26">
        <v>1.0</v>
      </c>
      <c r="J9" s="27">
        <v>2.5E8</v>
      </c>
      <c r="K9" s="28"/>
      <c r="L9" s="34" t="s">
        <v>278</v>
      </c>
      <c r="M9" s="520" t="s">
        <v>656</v>
      </c>
      <c r="N9" s="31"/>
    </row>
    <row r="10">
      <c r="A10" s="20" t="s">
        <v>657</v>
      </c>
      <c r="B10" s="51"/>
      <c r="C10" s="22">
        <v>6900000.0</v>
      </c>
      <c r="D10" s="26">
        <v>2020.0</v>
      </c>
      <c r="E10" s="26" t="s">
        <v>2221</v>
      </c>
      <c r="F10" s="26" t="s">
        <v>64</v>
      </c>
      <c r="G10" s="26" t="s">
        <v>659</v>
      </c>
      <c r="H10" s="28"/>
      <c r="I10" s="26">
        <v>4.0</v>
      </c>
      <c r="J10" s="27">
        <v>6900000.0</v>
      </c>
      <c r="K10" s="28"/>
      <c r="L10" s="34" t="s">
        <v>571</v>
      </c>
      <c r="M10" s="520" t="s">
        <v>660</v>
      </c>
      <c r="N10" s="31"/>
    </row>
    <row r="11">
      <c r="A11" s="20" t="s">
        <v>661</v>
      </c>
      <c r="B11" s="51"/>
      <c r="C11" s="22">
        <v>900000.0</v>
      </c>
      <c r="D11" s="26">
        <v>2020.0</v>
      </c>
      <c r="E11" s="26" t="s">
        <v>2227</v>
      </c>
      <c r="F11" s="26" t="s">
        <v>43</v>
      </c>
      <c r="G11" s="26" t="s">
        <v>51</v>
      </c>
      <c r="H11" s="28"/>
      <c r="I11" s="26">
        <v>1.0</v>
      </c>
      <c r="J11" s="27">
        <v>900000.0</v>
      </c>
      <c r="K11" s="28"/>
      <c r="L11" s="34" t="s">
        <v>664</v>
      </c>
      <c r="M11" s="520" t="s">
        <v>665</v>
      </c>
      <c r="N11" s="31"/>
    </row>
    <row r="12">
      <c r="A12" s="20" t="s">
        <v>666</v>
      </c>
      <c r="B12" s="51"/>
      <c r="C12" s="22">
        <v>150000.0</v>
      </c>
      <c r="D12" s="26">
        <v>2020.0</v>
      </c>
      <c r="E12" s="26" t="s">
        <v>2233</v>
      </c>
      <c r="F12" s="26" t="s">
        <v>43</v>
      </c>
      <c r="G12" s="26" t="s">
        <v>23</v>
      </c>
      <c r="H12" s="28"/>
      <c r="I12" s="26">
        <v>1.0</v>
      </c>
      <c r="J12" s="27">
        <v>150000.0</v>
      </c>
      <c r="K12" s="28"/>
      <c r="L12" s="34" t="s">
        <v>669</v>
      </c>
      <c r="M12" s="520" t="s">
        <v>670</v>
      </c>
      <c r="N12" s="31"/>
    </row>
    <row r="13">
      <c r="A13" s="20" t="s">
        <v>671</v>
      </c>
      <c r="B13" s="51"/>
      <c r="C13" s="22">
        <v>600000.0</v>
      </c>
      <c r="D13" s="26">
        <v>2020.0</v>
      </c>
      <c r="E13" s="26" t="s">
        <v>2228</v>
      </c>
      <c r="F13" s="26" t="s">
        <v>43</v>
      </c>
      <c r="G13" s="26" t="s">
        <v>23</v>
      </c>
      <c r="H13" s="28"/>
      <c r="I13" s="26">
        <v>1.0</v>
      </c>
      <c r="J13" s="27">
        <v>600000.0</v>
      </c>
      <c r="K13" s="28"/>
      <c r="L13" s="34" t="s">
        <v>475</v>
      </c>
      <c r="M13" s="520" t="s">
        <v>674</v>
      </c>
      <c r="N13" s="31"/>
    </row>
    <row r="14">
      <c r="A14" s="20" t="s">
        <v>675</v>
      </c>
      <c r="B14" s="51"/>
      <c r="C14" s="22">
        <v>5200000.0</v>
      </c>
      <c r="D14" s="26">
        <v>2020.0</v>
      </c>
      <c r="E14" s="26" t="s">
        <v>2223</v>
      </c>
      <c r="F14" s="26" t="s">
        <v>43</v>
      </c>
      <c r="G14" s="26" t="s">
        <v>59</v>
      </c>
      <c r="H14" s="28"/>
      <c r="I14" s="26">
        <v>2.0</v>
      </c>
      <c r="J14" s="27">
        <v>5200000.0</v>
      </c>
      <c r="K14" s="28"/>
      <c r="L14" s="34" t="s">
        <v>678</v>
      </c>
      <c r="M14" s="520" t="s">
        <v>679</v>
      </c>
      <c r="N14" s="31"/>
    </row>
    <row r="15">
      <c r="A15" s="20" t="s">
        <v>680</v>
      </c>
      <c r="B15" s="51"/>
      <c r="C15" s="22">
        <v>500000.0</v>
      </c>
      <c r="D15" s="26">
        <v>2020.0</v>
      </c>
      <c r="E15" s="26" t="s">
        <v>2229</v>
      </c>
      <c r="F15" s="26" t="s">
        <v>2163</v>
      </c>
      <c r="G15" s="26" t="s">
        <v>23</v>
      </c>
      <c r="H15" s="28"/>
      <c r="I15" s="26">
        <v>1.0</v>
      </c>
      <c r="J15" s="27">
        <v>500000.0</v>
      </c>
      <c r="K15" s="28"/>
      <c r="L15" s="34" t="s">
        <v>683</v>
      </c>
      <c r="M15" s="522" t="s">
        <v>684</v>
      </c>
      <c r="N15" s="31"/>
    </row>
    <row r="16">
      <c r="A16" s="20" t="s">
        <v>685</v>
      </c>
      <c r="B16" s="51"/>
      <c r="C16" s="22">
        <v>6500000.0</v>
      </c>
      <c r="D16" s="26">
        <v>2020.0</v>
      </c>
      <c r="E16" s="26" t="s">
        <v>2222</v>
      </c>
      <c r="F16" s="26" t="s">
        <v>64</v>
      </c>
      <c r="G16" s="26" t="s">
        <v>51</v>
      </c>
      <c r="H16" s="28"/>
      <c r="I16" s="26">
        <v>2.0</v>
      </c>
      <c r="J16" s="27">
        <v>6500000.0</v>
      </c>
      <c r="K16" s="28"/>
      <c r="L16" s="34" t="s">
        <v>688</v>
      </c>
      <c r="M16" s="467" t="s">
        <v>689</v>
      </c>
      <c r="N16" s="31"/>
    </row>
    <row r="17">
      <c r="A17" s="20" t="s">
        <v>690</v>
      </c>
      <c r="B17" s="51"/>
      <c r="C17" s="22">
        <v>1.06E7</v>
      </c>
      <c r="D17" s="26">
        <v>2020.0</v>
      </c>
      <c r="E17" s="26" t="s">
        <v>2219</v>
      </c>
      <c r="F17" s="26" t="s">
        <v>43</v>
      </c>
      <c r="G17" s="26" t="s">
        <v>23</v>
      </c>
      <c r="H17" s="28"/>
      <c r="I17" s="26">
        <v>2.0</v>
      </c>
      <c r="J17" s="27">
        <v>1.06E7</v>
      </c>
      <c r="K17" s="28"/>
      <c r="L17" s="34" t="s">
        <v>571</v>
      </c>
      <c r="M17" s="467" t="s">
        <v>693</v>
      </c>
      <c r="N17" s="31"/>
    </row>
    <row r="18">
      <c r="A18" s="20" t="s">
        <v>694</v>
      </c>
      <c r="B18" s="51"/>
      <c r="C18" s="22">
        <v>5000000.0</v>
      </c>
      <c r="D18" s="26">
        <v>2020.0</v>
      </c>
      <c r="E18" s="26" t="s">
        <v>2224</v>
      </c>
      <c r="F18" s="26" t="s">
        <v>22</v>
      </c>
      <c r="G18" s="26" t="s">
        <v>51</v>
      </c>
      <c r="H18" s="28"/>
      <c r="I18" s="26">
        <v>2.0</v>
      </c>
      <c r="J18" s="27">
        <v>5000000.0</v>
      </c>
      <c r="K18" s="28"/>
      <c r="L18" s="34" t="s">
        <v>696</v>
      </c>
      <c r="M18" s="467" t="s">
        <v>697</v>
      </c>
      <c r="N18" s="31"/>
    </row>
    <row r="19">
      <c r="A19" s="20" t="s">
        <v>698</v>
      </c>
      <c r="B19" s="98" t="s">
        <v>699</v>
      </c>
      <c r="C19" s="22">
        <v>3.0E7</v>
      </c>
      <c r="D19" s="26">
        <v>2020.0</v>
      </c>
      <c r="E19" s="26" t="s">
        <v>2216</v>
      </c>
      <c r="F19" s="26" t="s">
        <v>43</v>
      </c>
      <c r="G19" s="26" t="s">
        <v>23</v>
      </c>
      <c r="H19" s="28"/>
      <c r="I19" s="26">
        <v>3.0</v>
      </c>
      <c r="J19" s="27">
        <v>3.0E7</v>
      </c>
      <c r="K19" s="28"/>
      <c r="L19" s="34" t="s">
        <v>702</v>
      </c>
      <c r="M19" s="520" t="s">
        <v>703</v>
      </c>
      <c r="N19" s="31"/>
    </row>
    <row r="20">
      <c r="A20" s="103" t="s">
        <v>704</v>
      </c>
      <c r="B20" s="420"/>
      <c r="C20" s="22">
        <v>4200000.0</v>
      </c>
      <c r="D20" s="26">
        <v>2020.0</v>
      </c>
      <c r="E20" s="26" t="s">
        <v>2324</v>
      </c>
      <c r="F20" s="26" t="s">
        <v>2153</v>
      </c>
      <c r="G20" s="26" t="s">
        <v>59</v>
      </c>
      <c r="H20" s="26"/>
      <c r="I20" s="26">
        <v>2.0</v>
      </c>
      <c r="J20" s="513"/>
      <c r="K20" s="28"/>
      <c r="L20" s="105" t="s">
        <v>706</v>
      </c>
      <c r="M20" s="106" t="s">
        <v>707</v>
      </c>
      <c r="N20" s="107"/>
    </row>
    <row r="21">
      <c r="A21" s="103" t="s">
        <v>708</v>
      </c>
      <c r="B21" s="420"/>
      <c r="C21" s="22">
        <v>100000.0</v>
      </c>
      <c r="D21" s="26">
        <v>2020.0</v>
      </c>
      <c r="E21" s="26" t="s">
        <v>2476</v>
      </c>
      <c r="F21" s="26" t="s">
        <v>64</v>
      </c>
      <c r="G21" s="26" t="s">
        <v>23</v>
      </c>
      <c r="H21" s="26" t="s">
        <v>29</v>
      </c>
      <c r="I21" s="26">
        <v>2.0</v>
      </c>
      <c r="J21" s="513"/>
      <c r="K21" s="28"/>
      <c r="L21" s="105" t="s">
        <v>710</v>
      </c>
      <c r="M21" s="106" t="s">
        <v>711</v>
      </c>
      <c r="N21" s="107"/>
    </row>
    <row r="22">
      <c r="A22" s="103" t="s">
        <v>712</v>
      </c>
      <c r="B22" s="420"/>
      <c r="C22" s="22">
        <v>2.0E7</v>
      </c>
      <c r="D22" s="26">
        <v>2020.0</v>
      </c>
      <c r="E22" s="26" t="s">
        <v>2272</v>
      </c>
      <c r="F22" s="26" t="s">
        <v>2514</v>
      </c>
      <c r="G22" s="26" t="s">
        <v>51</v>
      </c>
      <c r="H22" s="26"/>
      <c r="I22" s="26">
        <v>4.0</v>
      </c>
      <c r="J22" s="513"/>
      <c r="K22" s="28"/>
      <c r="L22" s="105" t="s">
        <v>571</v>
      </c>
      <c r="M22" s="106" t="s">
        <v>714</v>
      </c>
      <c r="N22" s="107"/>
    </row>
    <row r="23">
      <c r="A23" s="103" t="s">
        <v>715</v>
      </c>
      <c r="B23" s="420"/>
      <c r="C23" s="22">
        <v>200000.0</v>
      </c>
      <c r="D23" s="26">
        <v>2020.0</v>
      </c>
      <c r="E23" s="26" t="s">
        <v>2447</v>
      </c>
      <c r="F23" s="26" t="s">
        <v>2060</v>
      </c>
      <c r="G23" s="26" t="s">
        <v>23</v>
      </c>
      <c r="H23" s="26"/>
      <c r="I23" s="26">
        <v>4.0</v>
      </c>
      <c r="J23" s="513"/>
      <c r="K23" s="28"/>
      <c r="L23" s="105" t="s">
        <v>507</v>
      </c>
      <c r="M23" s="106" t="s">
        <v>717</v>
      </c>
      <c r="N23" s="107"/>
    </row>
    <row r="24">
      <c r="A24" s="103" t="s">
        <v>718</v>
      </c>
      <c r="B24" s="420"/>
      <c r="C24" s="22">
        <v>1.39E8</v>
      </c>
      <c r="D24" s="26">
        <v>2020.0</v>
      </c>
      <c r="E24" s="26" t="s">
        <v>2198</v>
      </c>
      <c r="F24" s="26" t="s">
        <v>28</v>
      </c>
      <c r="G24" s="26" t="s">
        <v>23</v>
      </c>
      <c r="H24" s="26"/>
      <c r="I24" s="26">
        <v>2.0</v>
      </c>
      <c r="J24" s="513"/>
      <c r="K24" s="28"/>
      <c r="L24" s="105" t="s">
        <v>571</v>
      </c>
      <c r="M24" s="106" t="s">
        <v>721</v>
      </c>
      <c r="N24" s="107"/>
    </row>
    <row r="25">
      <c r="A25" s="103" t="s">
        <v>2515</v>
      </c>
      <c r="B25" s="420"/>
      <c r="C25" s="22">
        <v>8.85E8</v>
      </c>
      <c r="D25" s="26">
        <v>2020.0</v>
      </c>
      <c r="E25" s="26" t="s">
        <v>2516</v>
      </c>
      <c r="F25" s="26" t="s">
        <v>2153</v>
      </c>
      <c r="G25" s="26" t="s">
        <v>51</v>
      </c>
      <c r="H25" s="26"/>
      <c r="I25" s="26">
        <v>4.0</v>
      </c>
      <c r="J25" s="513">
        <v>8.85E8</v>
      </c>
      <c r="K25" s="28"/>
      <c r="L25" s="105" t="s">
        <v>702</v>
      </c>
      <c r="M25" s="106" t="s">
        <v>2517</v>
      </c>
      <c r="N25" s="107"/>
    </row>
    <row r="26">
      <c r="A26" s="103" t="s">
        <v>722</v>
      </c>
      <c r="B26" s="420" t="s">
        <v>723</v>
      </c>
      <c r="C26" s="22">
        <v>4.9E7</v>
      </c>
      <c r="D26" s="26">
        <v>2020.0</v>
      </c>
      <c r="E26" s="26" t="s">
        <v>2246</v>
      </c>
      <c r="F26" s="26" t="s">
        <v>2007</v>
      </c>
      <c r="G26" s="26" t="s">
        <v>51</v>
      </c>
      <c r="H26" s="26" t="s">
        <v>29</v>
      </c>
      <c r="I26" s="26">
        <v>1.0</v>
      </c>
      <c r="J26" s="513"/>
      <c r="K26" s="28"/>
      <c r="L26" s="105" t="s">
        <v>725</v>
      </c>
      <c r="M26" s="106" t="s">
        <v>726</v>
      </c>
      <c r="N26" s="107"/>
    </row>
    <row r="27">
      <c r="A27" s="103" t="s">
        <v>727</v>
      </c>
      <c r="B27" s="420" t="s">
        <v>728</v>
      </c>
      <c r="C27" s="22">
        <v>2000000.0</v>
      </c>
      <c r="D27" s="26">
        <v>2020.0</v>
      </c>
      <c r="E27" s="26" t="s">
        <v>2175</v>
      </c>
      <c r="F27" s="26" t="s">
        <v>2163</v>
      </c>
      <c r="G27" s="26" t="s">
        <v>51</v>
      </c>
      <c r="H27" s="26"/>
      <c r="I27" s="26">
        <v>1.0</v>
      </c>
      <c r="J27" s="513" t="str">
        <f t="shared" ref="J27:J54" si="1">IF(C27&gt;100000000,C27,"")</f>
        <v/>
      </c>
      <c r="K27" s="28"/>
      <c r="L27" s="105" t="s">
        <v>725</v>
      </c>
      <c r="M27" s="106" t="s">
        <v>730</v>
      </c>
      <c r="N27" s="107"/>
    </row>
    <row r="28">
      <c r="A28" s="103" t="s">
        <v>378</v>
      </c>
      <c r="B28" s="420"/>
      <c r="C28" s="22">
        <v>3100000.0</v>
      </c>
      <c r="D28" s="26">
        <v>2020.0</v>
      </c>
      <c r="E28" s="26" t="s">
        <v>2172</v>
      </c>
      <c r="F28" s="26" t="s">
        <v>22</v>
      </c>
      <c r="G28" s="26" t="s">
        <v>23</v>
      </c>
      <c r="H28" s="26"/>
      <c r="I28" s="26">
        <v>2.0</v>
      </c>
      <c r="J28" s="513" t="str">
        <f t="shared" si="1"/>
        <v/>
      </c>
      <c r="K28" s="28"/>
      <c r="L28" s="105" t="s">
        <v>85</v>
      </c>
      <c r="M28" s="106" t="s">
        <v>732</v>
      </c>
      <c r="N28" s="106" t="s">
        <v>733</v>
      </c>
    </row>
    <row r="29">
      <c r="A29" s="103" t="s">
        <v>734</v>
      </c>
      <c r="B29" s="420" t="s">
        <v>735</v>
      </c>
      <c r="C29" s="22">
        <v>1800000.0</v>
      </c>
      <c r="D29" s="26">
        <v>2020.0</v>
      </c>
      <c r="E29" s="26" t="s">
        <v>2176</v>
      </c>
      <c r="F29" s="26" t="s">
        <v>28</v>
      </c>
      <c r="G29" s="26" t="s">
        <v>51</v>
      </c>
      <c r="H29" s="26" t="s">
        <v>29</v>
      </c>
      <c r="I29" s="26">
        <v>4.0</v>
      </c>
      <c r="J29" s="513" t="str">
        <f t="shared" si="1"/>
        <v/>
      </c>
      <c r="K29" s="28"/>
      <c r="L29" s="105" t="s">
        <v>325</v>
      </c>
      <c r="M29" s="106" t="s">
        <v>737</v>
      </c>
      <c r="N29" s="107"/>
    </row>
    <row r="30">
      <c r="A30" s="103" t="s">
        <v>738</v>
      </c>
      <c r="B30" s="420" t="s">
        <v>739</v>
      </c>
      <c r="C30" s="22">
        <v>2700000.0</v>
      </c>
      <c r="D30" s="26">
        <v>2020.0</v>
      </c>
      <c r="E30" s="26" t="s">
        <v>2173</v>
      </c>
      <c r="F30" s="26" t="s">
        <v>2514</v>
      </c>
      <c r="G30" s="26" t="s">
        <v>51</v>
      </c>
      <c r="H30" s="26" t="s">
        <v>29</v>
      </c>
      <c r="I30" s="26">
        <v>5.0</v>
      </c>
      <c r="J30" s="513" t="str">
        <f t="shared" si="1"/>
        <v/>
      </c>
      <c r="K30" s="28"/>
      <c r="L30" s="105" t="s">
        <v>741</v>
      </c>
      <c r="M30" s="106" t="s">
        <v>742</v>
      </c>
      <c r="N30" s="106" t="s">
        <v>743</v>
      </c>
    </row>
    <row r="31">
      <c r="A31" s="103" t="s">
        <v>744</v>
      </c>
      <c r="B31" s="420"/>
      <c r="C31" s="22">
        <v>1.62E8</v>
      </c>
      <c r="D31" s="26">
        <v>2020.0</v>
      </c>
      <c r="E31" s="26" t="s">
        <v>2168</v>
      </c>
      <c r="F31" s="26" t="s">
        <v>2163</v>
      </c>
      <c r="G31" s="26" t="s">
        <v>23</v>
      </c>
      <c r="H31" s="28"/>
      <c r="I31" s="26">
        <v>1.0</v>
      </c>
      <c r="J31" s="513">
        <f t="shared" si="1"/>
        <v>162000000</v>
      </c>
      <c r="K31" s="28"/>
      <c r="L31" s="105" t="s">
        <v>227</v>
      </c>
      <c r="M31" s="106" t="s">
        <v>747</v>
      </c>
      <c r="N31" s="109"/>
    </row>
    <row r="32">
      <c r="A32" s="103" t="s">
        <v>748</v>
      </c>
      <c r="B32" s="420"/>
      <c r="C32" s="22">
        <v>4.1E7</v>
      </c>
      <c r="D32" s="26">
        <v>2020.0</v>
      </c>
      <c r="E32" s="26" t="s">
        <v>2168</v>
      </c>
      <c r="F32" s="26" t="s">
        <v>28</v>
      </c>
      <c r="G32" s="26" t="s">
        <v>23</v>
      </c>
      <c r="H32" s="28"/>
      <c r="I32" s="26">
        <v>1.0</v>
      </c>
      <c r="J32" s="513" t="str">
        <f t="shared" si="1"/>
        <v/>
      </c>
      <c r="K32" s="28"/>
      <c r="L32" s="105" t="s">
        <v>227</v>
      </c>
      <c r="M32" s="106" t="s">
        <v>747</v>
      </c>
      <c r="N32" s="109"/>
    </row>
    <row r="33">
      <c r="A33" s="103" t="s">
        <v>749</v>
      </c>
      <c r="B33" s="420"/>
      <c r="C33" s="22">
        <v>2.8E7</v>
      </c>
      <c r="D33" s="26">
        <v>2020.0</v>
      </c>
      <c r="E33" s="26" t="s">
        <v>2168</v>
      </c>
      <c r="F33" s="26" t="s">
        <v>43</v>
      </c>
      <c r="G33" s="26" t="s">
        <v>23</v>
      </c>
      <c r="H33" s="28"/>
      <c r="I33" s="26">
        <v>1.0</v>
      </c>
      <c r="J33" s="513" t="str">
        <f t="shared" si="1"/>
        <v/>
      </c>
      <c r="K33" s="28"/>
      <c r="L33" s="105" t="s">
        <v>227</v>
      </c>
      <c r="M33" s="106" t="s">
        <v>747</v>
      </c>
      <c r="N33" s="109"/>
    </row>
    <row r="34">
      <c r="A34" s="103" t="s">
        <v>750</v>
      </c>
      <c r="B34" s="420"/>
      <c r="C34" s="22">
        <v>2.5E7</v>
      </c>
      <c r="D34" s="26">
        <v>2020.0</v>
      </c>
      <c r="E34" s="26" t="s">
        <v>2168</v>
      </c>
      <c r="F34" s="26" t="s">
        <v>2163</v>
      </c>
      <c r="G34" s="26" t="s">
        <v>23</v>
      </c>
      <c r="H34" s="28"/>
      <c r="I34" s="26">
        <v>1.0</v>
      </c>
      <c r="J34" s="513" t="str">
        <f t="shared" si="1"/>
        <v/>
      </c>
      <c r="K34" s="28"/>
      <c r="L34" s="105" t="s">
        <v>227</v>
      </c>
      <c r="M34" s="106" t="s">
        <v>747</v>
      </c>
      <c r="N34" s="109"/>
    </row>
    <row r="35">
      <c r="A35" s="103" t="s">
        <v>751</v>
      </c>
      <c r="B35" s="420"/>
      <c r="C35" s="22">
        <v>2.2E7</v>
      </c>
      <c r="D35" s="26">
        <v>2020.0</v>
      </c>
      <c r="E35" s="26" t="s">
        <v>2168</v>
      </c>
      <c r="F35" s="26" t="s">
        <v>28</v>
      </c>
      <c r="G35" s="26" t="s">
        <v>23</v>
      </c>
      <c r="H35" s="28"/>
      <c r="I35" s="26">
        <v>1.0</v>
      </c>
      <c r="J35" s="513" t="str">
        <f t="shared" si="1"/>
        <v/>
      </c>
      <c r="K35" s="28"/>
      <c r="L35" s="105" t="s">
        <v>227</v>
      </c>
      <c r="M35" s="106" t="s">
        <v>747</v>
      </c>
      <c r="N35" s="109"/>
    </row>
    <row r="36">
      <c r="A36" s="103" t="s">
        <v>752</v>
      </c>
      <c r="B36" s="420"/>
      <c r="C36" s="22">
        <v>2.0E7</v>
      </c>
      <c r="D36" s="26">
        <v>2020.0</v>
      </c>
      <c r="E36" s="26" t="s">
        <v>2168</v>
      </c>
      <c r="F36" s="26" t="s">
        <v>2163</v>
      </c>
      <c r="G36" s="26" t="s">
        <v>23</v>
      </c>
      <c r="H36" s="28"/>
      <c r="I36" s="26">
        <v>1.0</v>
      </c>
      <c r="J36" s="513" t="str">
        <f t="shared" si="1"/>
        <v/>
      </c>
      <c r="K36" s="28"/>
      <c r="L36" s="105" t="s">
        <v>227</v>
      </c>
      <c r="M36" s="106" t="s">
        <v>747</v>
      </c>
      <c r="N36" s="109"/>
    </row>
    <row r="37">
      <c r="A37" s="103" t="s">
        <v>753</v>
      </c>
      <c r="B37" s="420"/>
      <c r="C37" s="22">
        <v>1.8E7</v>
      </c>
      <c r="D37" s="26">
        <v>2020.0</v>
      </c>
      <c r="E37" s="26" t="s">
        <v>2168</v>
      </c>
      <c r="F37" s="26" t="s">
        <v>28</v>
      </c>
      <c r="G37" s="26" t="s">
        <v>23</v>
      </c>
      <c r="H37" s="28"/>
      <c r="I37" s="26">
        <v>1.0</v>
      </c>
      <c r="J37" s="513" t="str">
        <f t="shared" si="1"/>
        <v/>
      </c>
      <c r="K37" s="28"/>
      <c r="L37" s="105" t="s">
        <v>227</v>
      </c>
      <c r="M37" s="106" t="s">
        <v>747</v>
      </c>
      <c r="N37" s="109"/>
    </row>
    <row r="38">
      <c r="A38" s="103" t="s">
        <v>754</v>
      </c>
      <c r="B38" s="420"/>
      <c r="C38" s="22">
        <v>1.6E7</v>
      </c>
      <c r="D38" s="26">
        <v>2020.0</v>
      </c>
      <c r="E38" s="26" t="s">
        <v>2168</v>
      </c>
      <c r="F38" s="26" t="s">
        <v>28</v>
      </c>
      <c r="G38" s="26" t="s">
        <v>23</v>
      </c>
      <c r="H38" s="28"/>
      <c r="I38" s="26">
        <v>1.0</v>
      </c>
      <c r="J38" s="513" t="str">
        <f t="shared" si="1"/>
        <v/>
      </c>
      <c r="K38" s="28"/>
      <c r="L38" s="105" t="s">
        <v>227</v>
      </c>
      <c r="M38" s="106" t="s">
        <v>747</v>
      </c>
      <c r="N38" s="109"/>
    </row>
    <row r="39">
      <c r="A39" s="103" t="s">
        <v>755</v>
      </c>
      <c r="B39" s="420"/>
      <c r="C39" s="22">
        <v>1.1E7</v>
      </c>
      <c r="D39" s="26">
        <v>2020.0</v>
      </c>
      <c r="E39" s="26" t="s">
        <v>2168</v>
      </c>
      <c r="F39" s="26" t="s">
        <v>236</v>
      </c>
      <c r="G39" s="26" t="s">
        <v>23</v>
      </c>
      <c r="H39" s="28"/>
      <c r="I39" s="26">
        <v>1.0</v>
      </c>
      <c r="J39" s="513" t="str">
        <f t="shared" si="1"/>
        <v/>
      </c>
      <c r="K39" s="28"/>
      <c r="L39" s="105" t="s">
        <v>227</v>
      </c>
      <c r="M39" s="106" t="s">
        <v>747</v>
      </c>
      <c r="N39" s="109"/>
    </row>
    <row r="40">
      <c r="A40" s="103" t="s">
        <v>756</v>
      </c>
      <c r="B40" s="420"/>
      <c r="C40" s="22">
        <v>8000000.0</v>
      </c>
      <c r="D40" s="26">
        <v>2020.0</v>
      </c>
      <c r="E40" s="26" t="s">
        <v>2168</v>
      </c>
      <c r="F40" s="26" t="s">
        <v>28</v>
      </c>
      <c r="G40" s="26" t="s">
        <v>23</v>
      </c>
      <c r="H40" s="28"/>
      <c r="I40" s="26">
        <v>1.0</v>
      </c>
      <c r="J40" s="513" t="str">
        <f t="shared" si="1"/>
        <v/>
      </c>
      <c r="K40" s="28"/>
      <c r="L40" s="105" t="s">
        <v>227</v>
      </c>
      <c r="M40" s="106" t="s">
        <v>747</v>
      </c>
      <c r="N40" s="109"/>
    </row>
    <row r="41">
      <c r="A41" s="103" t="s">
        <v>757</v>
      </c>
      <c r="B41" s="420"/>
      <c r="C41" s="22">
        <v>6000000.0</v>
      </c>
      <c r="D41" s="26">
        <v>2020.0</v>
      </c>
      <c r="E41" s="26" t="s">
        <v>2168</v>
      </c>
      <c r="F41" s="26" t="s">
        <v>28</v>
      </c>
      <c r="G41" s="26" t="s">
        <v>23</v>
      </c>
      <c r="H41" s="28"/>
      <c r="I41" s="26">
        <v>1.0</v>
      </c>
      <c r="J41" s="513" t="str">
        <f t="shared" si="1"/>
        <v/>
      </c>
      <c r="K41" s="28"/>
      <c r="L41" s="105" t="s">
        <v>227</v>
      </c>
      <c r="M41" s="106" t="s">
        <v>747</v>
      </c>
      <c r="N41" s="109"/>
    </row>
    <row r="42">
      <c r="A42" s="103" t="s">
        <v>758</v>
      </c>
      <c r="B42" s="420"/>
      <c r="C42" s="22">
        <v>1000000.0</v>
      </c>
      <c r="D42" s="26">
        <v>2020.0</v>
      </c>
      <c r="E42" s="26" t="s">
        <v>2168</v>
      </c>
      <c r="F42" s="26" t="s">
        <v>28</v>
      </c>
      <c r="G42" s="26" t="s">
        <v>23</v>
      </c>
      <c r="H42" s="28"/>
      <c r="I42" s="26">
        <v>1.0</v>
      </c>
      <c r="J42" s="513" t="str">
        <f t="shared" si="1"/>
        <v/>
      </c>
      <c r="K42" s="28"/>
      <c r="L42" s="105" t="s">
        <v>227</v>
      </c>
      <c r="M42" s="106" t="s">
        <v>747</v>
      </c>
      <c r="N42" s="109"/>
    </row>
    <row r="43">
      <c r="A43" s="103" t="s">
        <v>759</v>
      </c>
      <c r="B43" s="420"/>
      <c r="C43" s="22">
        <v>700000.0</v>
      </c>
      <c r="D43" s="26">
        <v>2020.0</v>
      </c>
      <c r="E43" s="26" t="s">
        <v>2168</v>
      </c>
      <c r="F43" s="26" t="s">
        <v>28</v>
      </c>
      <c r="G43" s="26" t="s">
        <v>23</v>
      </c>
      <c r="H43" s="28"/>
      <c r="I43" s="26">
        <v>1.0</v>
      </c>
      <c r="J43" s="513" t="str">
        <f t="shared" si="1"/>
        <v/>
      </c>
      <c r="K43" s="28"/>
      <c r="L43" s="105" t="s">
        <v>227</v>
      </c>
      <c r="M43" s="106" t="s">
        <v>747</v>
      </c>
      <c r="N43" s="109"/>
    </row>
    <row r="44">
      <c r="A44" s="103" t="s">
        <v>760</v>
      </c>
      <c r="B44" s="420"/>
      <c r="C44" s="22">
        <v>1.8E7</v>
      </c>
      <c r="D44" s="26">
        <v>2020.0</v>
      </c>
      <c r="E44" s="26" t="s">
        <v>2166</v>
      </c>
      <c r="F44" s="26" t="s">
        <v>22</v>
      </c>
      <c r="G44" s="26" t="s">
        <v>51</v>
      </c>
      <c r="H44" s="28"/>
      <c r="I44" s="26">
        <v>1.0</v>
      </c>
      <c r="J44" s="513" t="str">
        <f t="shared" si="1"/>
        <v/>
      </c>
      <c r="K44" s="28"/>
      <c r="L44" s="105" t="s">
        <v>725</v>
      </c>
      <c r="M44" s="106" t="s">
        <v>762</v>
      </c>
      <c r="N44" s="109"/>
    </row>
    <row r="45">
      <c r="A45" s="103" t="s">
        <v>763</v>
      </c>
      <c r="B45" s="420"/>
      <c r="C45" s="22">
        <v>4.0E7</v>
      </c>
      <c r="D45" s="26">
        <v>2020.0</v>
      </c>
      <c r="E45" s="26" t="s">
        <v>2166</v>
      </c>
      <c r="F45" s="26" t="s">
        <v>28</v>
      </c>
      <c r="G45" s="26" t="s">
        <v>23</v>
      </c>
      <c r="H45" s="28"/>
      <c r="I45" s="26">
        <v>1.0</v>
      </c>
      <c r="J45" s="513" t="str">
        <f t="shared" si="1"/>
        <v/>
      </c>
      <c r="K45" s="28"/>
      <c r="L45" s="105" t="s">
        <v>725</v>
      </c>
      <c r="M45" s="106" t="s">
        <v>762</v>
      </c>
      <c r="N45" s="109"/>
    </row>
    <row r="46">
      <c r="A46" s="103" t="s">
        <v>764</v>
      </c>
      <c r="B46" s="420"/>
      <c r="C46" s="22">
        <v>5.7E7</v>
      </c>
      <c r="D46" s="26">
        <v>2020.0</v>
      </c>
      <c r="E46" s="26" t="s">
        <v>2166</v>
      </c>
      <c r="F46" s="26" t="s">
        <v>43</v>
      </c>
      <c r="G46" s="26" t="s">
        <v>23</v>
      </c>
      <c r="H46" s="28"/>
      <c r="I46" s="26">
        <v>2.0</v>
      </c>
      <c r="J46" s="513" t="str">
        <f t="shared" si="1"/>
        <v/>
      </c>
      <c r="K46" s="28"/>
      <c r="L46" s="105" t="s">
        <v>725</v>
      </c>
      <c r="M46" s="106" t="s">
        <v>765</v>
      </c>
      <c r="N46" s="109"/>
    </row>
    <row r="47">
      <c r="A47" s="103" t="s">
        <v>766</v>
      </c>
      <c r="B47" s="420"/>
      <c r="C47" s="22">
        <v>1800000.0</v>
      </c>
      <c r="D47" s="26">
        <v>2020.0</v>
      </c>
      <c r="E47" s="26" t="s">
        <v>2166</v>
      </c>
      <c r="F47" s="26" t="s">
        <v>28</v>
      </c>
      <c r="G47" s="26" t="s">
        <v>23</v>
      </c>
      <c r="H47" s="28"/>
      <c r="I47" s="26">
        <v>1.0</v>
      </c>
      <c r="J47" s="513" t="str">
        <f t="shared" si="1"/>
        <v/>
      </c>
      <c r="K47" s="28"/>
      <c r="L47" s="105" t="s">
        <v>725</v>
      </c>
      <c r="M47" s="106" t="s">
        <v>762</v>
      </c>
      <c r="N47" s="109"/>
    </row>
    <row r="48">
      <c r="A48" s="103" t="s">
        <v>767</v>
      </c>
      <c r="B48" s="420"/>
      <c r="C48" s="22">
        <v>450000.0</v>
      </c>
      <c r="D48" s="26">
        <v>2020.0</v>
      </c>
      <c r="E48" s="26" t="s">
        <v>2166</v>
      </c>
      <c r="F48" s="26" t="s">
        <v>2153</v>
      </c>
      <c r="G48" s="26" t="s">
        <v>23</v>
      </c>
      <c r="H48" s="28"/>
      <c r="I48" s="26">
        <v>1.0</v>
      </c>
      <c r="J48" s="513" t="str">
        <f t="shared" si="1"/>
        <v/>
      </c>
      <c r="K48" s="28"/>
      <c r="L48" s="105" t="s">
        <v>725</v>
      </c>
      <c r="M48" s="106" t="s">
        <v>762</v>
      </c>
      <c r="N48" s="109"/>
    </row>
    <row r="49">
      <c r="A49" s="103" t="s">
        <v>768</v>
      </c>
      <c r="B49" s="420"/>
      <c r="C49" s="22">
        <v>4000000.0</v>
      </c>
      <c r="D49" s="26">
        <v>2020.0</v>
      </c>
      <c r="E49" s="26" t="s">
        <v>2166</v>
      </c>
      <c r="F49" s="26" t="s">
        <v>236</v>
      </c>
      <c r="G49" s="26" t="s">
        <v>23</v>
      </c>
      <c r="H49" s="28"/>
      <c r="I49" s="26">
        <v>1.0</v>
      </c>
      <c r="J49" s="513" t="str">
        <f t="shared" si="1"/>
        <v/>
      </c>
      <c r="K49" s="28"/>
      <c r="L49" s="105" t="s">
        <v>725</v>
      </c>
      <c r="M49" s="106" t="s">
        <v>762</v>
      </c>
      <c r="N49" s="109"/>
    </row>
    <row r="50">
      <c r="A50" s="103" t="s">
        <v>769</v>
      </c>
      <c r="B50" s="420"/>
      <c r="C50" s="22">
        <v>5000000.0</v>
      </c>
      <c r="D50" s="26">
        <v>2020.0</v>
      </c>
      <c r="E50" s="26" t="s">
        <v>2166</v>
      </c>
      <c r="F50" s="26" t="s">
        <v>236</v>
      </c>
      <c r="G50" s="26" t="s">
        <v>23</v>
      </c>
      <c r="H50" s="28"/>
      <c r="I50" s="26">
        <v>1.0</v>
      </c>
      <c r="J50" s="513" t="str">
        <f t="shared" si="1"/>
        <v/>
      </c>
      <c r="K50" s="28"/>
      <c r="L50" s="105" t="s">
        <v>725</v>
      </c>
      <c r="M50" s="106" t="s">
        <v>762</v>
      </c>
      <c r="N50" s="109"/>
    </row>
    <row r="51">
      <c r="A51" s="103" t="s">
        <v>770</v>
      </c>
      <c r="B51" s="420"/>
      <c r="C51" s="22">
        <v>1000000.0</v>
      </c>
      <c r="D51" s="26">
        <v>2020.0</v>
      </c>
      <c r="E51" s="26" t="s">
        <v>2166</v>
      </c>
      <c r="F51" s="26" t="s">
        <v>43</v>
      </c>
      <c r="G51" s="26" t="s">
        <v>51</v>
      </c>
      <c r="H51" s="28"/>
      <c r="I51" s="26">
        <v>1.0</v>
      </c>
      <c r="J51" s="513" t="str">
        <f t="shared" si="1"/>
        <v/>
      </c>
      <c r="K51" s="28"/>
      <c r="L51" s="105" t="s">
        <v>725</v>
      </c>
      <c r="M51" s="106" t="s">
        <v>762</v>
      </c>
      <c r="N51" s="109"/>
    </row>
    <row r="52">
      <c r="A52" s="103" t="s">
        <v>771</v>
      </c>
      <c r="B52" s="420"/>
      <c r="C52" s="22">
        <v>1.48E7</v>
      </c>
      <c r="D52" s="26">
        <v>2020.0</v>
      </c>
      <c r="E52" s="26" t="s">
        <v>2169</v>
      </c>
      <c r="F52" s="26" t="s">
        <v>28</v>
      </c>
      <c r="G52" s="26" t="s">
        <v>23</v>
      </c>
      <c r="H52" s="28"/>
      <c r="I52" s="26">
        <v>2.0</v>
      </c>
      <c r="J52" s="513" t="str">
        <f t="shared" si="1"/>
        <v/>
      </c>
      <c r="K52" s="28"/>
      <c r="L52" s="105" t="s">
        <v>773</v>
      </c>
      <c r="M52" s="106" t="s">
        <v>774</v>
      </c>
      <c r="N52" s="109"/>
    </row>
    <row r="53">
      <c r="A53" s="421" t="s">
        <v>775</v>
      </c>
      <c r="B53" s="422" t="s">
        <v>776</v>
      </c>
      <c r="C53" s="423">
        <v>2400000.0</v>
      </c>
      <c r="D53" s="26">
        <v>2020.0</v>
      </c>
      <c r="E53" s="422" t="s">
        <v>2174</v>
      </c>
      <c r="F53" s="26" t="s">
        <v>50</v>
      </c>
      <c r="G53" s="425" t="s">
        <v>142</v>
      </c>
      <c r="H53" s="426"/>
      <c r="I53" s="422">
        <v>1.0</v>
      </c>
      <c r="J53" s="513" t="str">
        <f t="shared" si="1"/>
        <v/>
      </c>
      <c r="K53" s="110"/>
      <c r="L53" s="26" t="s">
        <v>571</v>
      </c>
      <c r="M53" s="465" t="s">
        <v>778</v>
      </c>
      <c r="N53" s="427"/>
    </row>
    <row r="54">
      <c r="A54" s="421" t="s">
        <v>779</v>
      </c>
      <c r="B54" s="422"/>
      <c r="C54" s="423">
        <v>7600000.0</v>
      </c>
      <c r="D54" s="26">
        <v>2020.0</v>
      </c>
      <c r="E54" s="422" t="s">
        <v>2171</v>
      </c>
      <c r="F54" s="26" t="s">
        <v>236</v>
      </c>
      <c r="G54" s="425" t="s">
        <v>23</v>
      </c>
      <c r="H54" s="426"/>
      <c r="I54" s="422">
        <v>1.0</v>
      </c>
      <c r="J54" s="513" t="str">
        <f t="shared" si="1"/>
        <v/>
      </c>
      <c r="K54" s="110"/>
      <c r="L54" s="26" t="s">
        <v>571</v>
      </c>
      <c r="M54" s="465" t="s">
        <v>781</v>
      </c>
      <c r="N54" s="427"/>
    </row>
    <row r="55">
      <c r="A55" s="52" t="s">
        <v>782</v>
      </c>
      <c r="B55" s="428"/>
      <c r="C55" s="22">
        <v>2.75265298E8</v>
      </c>
      <c r="D55" s="26">
        <v>2020.0</v>
      </c>
      <c r="E55" s="425" t="s">
        <v>2187</v>
      </c>
      <c r="F55" s="425" t="s">
        <v>28</v>
      </c>
      <c r="G55" s="425" t="s">
        <v>51</v>
      </c>
      <c r="H55" s="428"/>
      <c r="I55" s="422">
        <v>2.0</v>
      </c>
      <c r="J55" s="425">
        <v>2.75E8</v>
      </c>
      <c r="K55" s="428"/>
      <c r="L55" s="425" t="s">
        <v>85</v>
      </c>
      <c r="M55" s="467" t="s">
        <v>785</v>
      </c>
      <c r="N55" s="428"/>
    </row>
    <row r="56">
      <c r="A56" s="20" t="s">
        <v>786</v>
      </c>
      <c r="B56" s="111"/>
      <c r="C56" s="22">
        <v>5000000.0</v>
      </c>
      <c r="D56" s="26">
        <v>2020.0</v>
      </c>
      <c r="E56" s="26" t="s">
        <v>2313</v>
      </c>
      <c r="F56" s="26" t="s">
        <v>64</v>
      </c>
      <c r="G56" s="26" t="s">
        <v>23</v>
      </c>
      <c r="H56" s="28"/>
      <c r="I56" s="26">
        <v>2.0</v>
      </c>
      <c r="J56" s="27"/>
      <c r="K56" s="28"/>
      <c r="L56" s="34" t="s">
        <v>571</v>
      </c>
      <c r="M56" s="467" t="s">
        <v>788</v>
      </c>
      <c r="N56" s="31"/>
    </row>
    <row r="57">
      <c r="A57" s="20" t="s">
        <v>789</v>
      </c>
      <c r="B57" s="111"/>
      <c r="C57" s="22">
        <v>1.0E8</v>
      </c>
      <c r="D57" s="26">
        <v>2020.0</v>
      </c>
      <c r="E57" s="26" t="s">
        <v>2204</v>
      </c>
      <c r="F57" s="26" t="s">
        <v>2153</v>
      </c>
      <c r="G57" s="26" t="s">
        <v>23</v>
      </c>
      <c r="H57" s="28"/>
      <c r="I57" s="26">
        <v>3.0</v>
      </c>
      <c r="J57" s="27"/>
      <c r="K57" s="28"/>
      <c r="L57" s="34" t="s">
        <v>278</v>
      </c>
      <c r="M57" s="467" t="s">
        <v>791</v>
      </c>
      <c r="N57" s="31"/>
    </row>
    <row r="58">
      <c r="A58" s="20" t="s">
        <v>792</v>
      </c>
      <c r="B58" s="111" t="s">
        <v>793</v>
      </c>
      <c r="C58" s="22">
        <v>2.78E7</v>
      </c>
      <c r="D58" s="26">
        <v>2020.0</v>
      </c>
      <c r="E58" s="26" t="s">
        <v>2263</v>
      </c>
      <c r="F58" s="26" t="s">
        <v>50</v>
      </c>
      <c r="G58" s="26" t="s">
        <v>51</v>
      </c>
      <c r="H58" s="28"/>
      <c r="I58" s="26">
        <v>5.0</v>
      </c>
      <c r="J58" s="27"/>
      <c r="K58" s="28"/>
      <c r="L58" s="34" t="s">
        <v>507</v>
      </c>
      <c r="M58" s="467" t="s">
        <v>795</v>
      </c>
      <c r="N58" s="31"/>
    </row>
    <row r="59">
      <c r="A59" s="20" t="s">
        <v>588</v>
      </c>
      <c r="B59" s="111"/>
      <c r="C59" s="22">
        <v>4.19E8</v>
      </c>
      <c r="D59" s="26">
        <v>2020.0</v>
      </c>
      <c r="E59" s="26" t="s">
        <v>2181</v>
      </c>
      <c r="F59" s="26" t="s">
        <v>28</v>
      </c>
      <c r="G59" s="26" t="s">
        <v>51</v>
      </c>
      <c r="H59" s="28"/>
      <c r="I59" s="26">
        <v>2.0</v>
      </c>
      <c r="J59" s="27">
        <v>4.2E8</v>
      </c>
      <c r="K59" s="28"/>
      <c r="L59" s="34" t="s">
        <v>798</v>
      </c>
      <c r="M59" s="35" t="s">
        <v>799</v>
      </c>
      <c r="N59" s="31"/>
    </row>
    <row r="60">
      <c r="A60" s="20" t="s">
        <v>800</v>
      </c>
      <c r="B60" s="98" t="s">
        <v>801</v>
      </c>
      <c r="C60" s="22">
        <v>4900000.0</v>
      </c>
      <c r="D60" s="26">
        <v>2020.0</v>
      </c>
      <c r="E60" s="26" t="s">
        <v>2225</v>
      </c>
      <c r="F60" s="26" t="s">
        <v>22</v>
      </c>
      <c r="G60" s="26"/>
      <c r="H60" s="28"/>
      <c r="I60" s="26">
        <v>2.0</v>
      </c>
      <c r="J60" s="27">
        <v>4900000.0</v>
      </c>
      <c r="K60" s="28"/>
      <c r="L60" s="34" t="s">
        <v>725</v>
      </c>
      <c r="M60" s="467" t="s">
        <v>804</v>
      </c>
      <c r="N60" s="31"/>
    </row>
    <row r="61">
      <c r="A61" s="20" t="s">
        <v>805</v>
      </c>
      <c r="B61" s="98" t="s">
        <v>806</v>
      </c>
      <c r="C61" s="22">
        <v>2.6E7</v>
      </c>
      <c r="D61" s="26">
        <v>2020.0</v>
      </c>
      <c r="E61" s="26" t="s">
        <v>2217</v>
      </c>
      <c r="F61" s="26" t="s">
        <v>28</v>
      </c>
      <c r="G61" s="26" t="s">
        <v>23</v>
      </c>
      <c r="H61" s="28"/>
      <c r="I61" s="26">
        <v>3.0</v>
      </c>
      <c r="J61" s="27">
        <v>2.6E7</v>
      </c>
      <c r="K61" s="28"/>
      <c r="L61" s="34" t="s">
        <v>247</v>
      </c>
      <c r="M61" s="467" t="s">
        <v>809</v>
      </c>
      <c r="N61" s="31"/>
    </row>
    <row r="62">
      <c r="A62" s="523" t="s">
        <v>356</v>
      </c>
      <c r="B62" s="524"/>
      <c r="C62" s="525">
        <v>4.4E7</v>
      </c>
      <c r="D62" s="26">
        <v>2020.0</v>
      </c>
      <c r="E62" s="526" t="s">
        <v>2523</v>
      </c>
      <c r="F62" s="526" t="s">
        <v>50</v>
      </c>
      <c r="G62" s="526" t="s">
        <v>23</v>
      </c>
      <c r="H62" s="527"/>
      <c r="I62" s="526">
        <v>2.0</v>
      </c>
      <c r="J62" s="528">
        <v>4.4E7</v>
      </c>
      <c r="K62" s="527"/>
      <c r="L62" s="529" t="s">
        <v>591</v>
      </c>
      <c r="M62" s="530" t="s">
        <v>2524</v>
      </c>
      <c r="N62" s="531"/>
    </row>
    <row r="63">
      <c r="A63" s="20" t="s">
        <v>2518</v>
      </c>
      <c r="B63" s="51"/>
      <c r="C63" s="22">
        <v>3.0E9</v>
      </c>
      <c r="D63" s="26">
        <v>2020.0</v>
      </c>
      <c r="E63" s="26" t="s">
        <v>2519</v>
      </c>
      <c r="F63" s="26" t="s">
        <v>50</v>
      </c>
      <c r="G63" s="26" t="s">
        <v>51</v>
      </c>
      <c r="H63" s="28"/>
      <c r="I63" s="26">
        <v>2.0</v>
      </c>
      <c r="J63" s="27">
        <v>1.2E9</v>
      </c>
      <c r="K63" s="28"/>
      <c r="L63" s="34" t="s">
        <v>813</v>
      </c>
      <c r="M63" s="532" t="s">
        <v>814</v>
      </c>
      <c r="N63" s="31"/>
    </row>
    <row r="64">
      <c r="A64" s="20" t="s">
        <v>810</v>
      </c>
      <c r="B64" s="51"/>
      <c r="C64" s="22">
        <v>3.8E8</v>
      </c>
      <c r="D64" s="26">
        <v>2020.0</v>
      </c>
      <c r="E64" s="26" t="s">
        <v>2184</v>
      </c>
      <c r="F64" s="26" t="s">
        <v>50</v>
      </c>
      <c r="G64" s="26" t="s">
        <v>51</v>
      </c>
      <c r="H64" s="28"/>
      <c r="I64" s="26">
        <v>2.0</v>
      </c>
      <c r="J64" s="27">
        <v>3.8E8</v>
      </c>
      <c r="K64" s="28"/>
      <c r="L64" s="34" t="s">
        <v>813</v>
      </c>
      <c r="M64" s="532" t="s">
        <v>814</v>
      </c>
      <c r="N64" s="31"/>
    </row>
    <row r="65">
      <c r="A65" s="103" t="s">
        <v>815</v>
      </c>
      <c r="B65" s="420"/>
      <c r="C65" s="22">
        <v>300000.0</v>
      </c>
      <c r="D65" s="26">
        <v>2020.0</v>
      </c>
      <c r="E65" s="26" t="s">
        <v>2433</v>
      </c>
      <c r="F65" s="26" t="s">
        <v>2153</v>
      </c>
      <c r="G65" s="26" t="s">
        <v>23</v>
      </c>
      <c r="H65" s="26"/>
      <c r="I65" s="26">
        <v>3.0</v>
      </c>
      <c r="J65" s="513"/>
      <c r="K65" s="28"/>
      <c r="L65" s="105" t="s">
        <v>817</v>
      </c>
      <c r="M65" s="106" t="s">
        <v>818</v>
      </c>
      <c r="N65" s="107"/>
    </row>
    <row r="66">
      <c r="A66" s="103" t="s">
        <v>819</v>
      </c>
      <c r="B66" s="420"/>
      <c r="C66" s="22">
        <v>1500000.0</v>
      </c>
      <c r="D66" s="26">
        <v>2020.0</v>
      </c>
      <c r="E66" s="26" t="s">
        <v>2376</v>
      </c>
      <c r="F66" s="26" t="s">
        <v>2514</v>
      </c>
      <c r="G66" s="26" t="s">
        <v>23</v>
      </c>
      <c r="H66" s="26"/>
      <c r="I66" s="26">
        <v>4.0</v>
      </c>
      <c r="J66" s="513"/>
      <c r="K66" s="28"/>
      <c r="L66" s="105" t="s">
        <v>821</v>
      </c>
      <c r="M66" s="106" t="s">
        <v>822</v>
      </c>
      <c r="N66" s="107"/>
    </row>
    <row r="67">
      <c r="A67" s="103" t="s">
        <v>823</v>
      </c>
      <c r="B67" s="420" t="s">
        <v>824</v>
      </c>
      <c r="C67" s="22">
        <v>1.4E7</v>
      </c>
      <c r="D67" s="26">
        <v>2020.0</v>
      </c>
      <c r="E67" s="26" t="s">
        <v>2170</v>
      </c>
      <c r="F67" s="26" t="s">
        <v>2153</v>
      </c>
      <c r="G67" s="26" t="s">
        <v>51</v>
      </c>
      <c r="H67" s="28"/>
      <c r="I67" s="26">
        <v>2.0</v>
      </c>
      <c r="J67" s="513" t="str">
        <f t="shared" ref="J67:J71" si="2">IF(C67&gt;100000000,C67,"")</f>
        <v/>
      </c>
      <c r="K67" s="28"/>
      <c r="L67" s="105" t="s">
        <v>702</v>
      </c>
      <c r="M67" s="106" t="s">
        <v>826</v>
      </c>
      <c r="N67" s="109"/>
    </row>
    <row r="68">
      <c r="A68" s="421" t="s">
        <v>827</v>
      </c>
      <c r="B68" s="422"/>
      <c r="C68" s="423">
        <v>9.4E7</v>
      </c>
      <c r="D68" s="26">
        <v>2020.0</v>
      </c>
      <c r="E68" s="422" t="s">
        <v>2165</v>
      </c>
      <c r="F68" s="26" t="s">
        <v>22</v>
      </c>
      <c r="G68" s="425" t="s">
        <v>23</v>
      </c>
      <c r="H68" s="426"/>
      <c r="I68" s="422">
        <v>3.0</v>
      </c>
      <c r="J68" s="513" t="str">
        <f t="shared" si="2"/>
        <v/>
      </c>
      <c r="K68" s="110"/>
      <c r="L68" s="26" t="s">
        <v>829</v>
      </c>
      <c r="M68" s="465" t="s">
        <v>830</v>
      </c>
      <c r="N68" s="427"/>
    </row>
    <row r="69">
      <c r="A69" s="421" t="s">
        <v>831</v>
      </c>
      <c r="B69" s="422"/>
      <c r="C69" s="423">
        <v>2.02E8</v>
      </c>
      <c r="D69" s="26">
        <v>2020.0</v>
      </c>
      <c r="E69" s="422" t="s">
        <v>2189</v>
      </c>
      <c r="F69" s="26" t="s">
        <v>28</v>
      </c>
      <c r="G69" s="430" t="s">
        <v>51</v>
      </c>
      <c r="H69" s="426"/>
      <c r="I69" s="422">
        <v>2.0</v>
      </c>
      <c r="J69" s="513">
        <f t="shared" si="2"/>
        <v>202000000</v>
      </c>
      <c r="K69" s="110"/>
      <c r="L69" s="26" t="s">
        <v>834</v>
      </c>
      <c r="M69" s="465" t="s">
        <v>835</v>
      </c>
      <c r="N69" s="427"/>
    </row>
    <row r="70">
      <c r="A70" s="523" t="s">
        <v>2525</v>
      </c>
      <c r="B70" s="526"/>
      <c r="C70" s="525">
        <v>7.65E7</v>
      </c>
      <c r="D70" s="26">
        <v>2020.0</v>
      </c>
      <c r="E70" s="526" t="s">
        <v>2526</v>
      </c>
      <c r="F70" s="526" t="s">
        <v>28</v>
      </c>
      <c r="G70" s="533" t="s">
        <v>51</v>
      </c>
      <c r="H70" s="527"/>
      <c r="I70" s="526">
        <v>1.0</v>
      </c>
      <c r="J70" s="534" t="str">
        <f t="shared" si="2"/>
        <v/>
      </c>
      <c r="K70" s="535"/>
      <c r="L70" s="526" t="s">
        <v>571</v>
      </c>
      <c r="M70" s="536" t="s">
        <v>2527</v>
      </c>
      <c r="N70" s="536" t="s">
        <v>2528</v>
      </c>
    </row>
    <row r="71">
      <c r="A71" s="421" t="s">
        <v>836</v>
      </c>
      <c r="B71" s="422"/>
      <c r="C71" s="423">
        <v>5.25E7</v>
      </c>
      <c r="D71" s="26">
        <v>2020.0</v>
      </c>
      <c r="E71" s="422" t="s">
        <v>2167</v>
      </c>
      <c r="F71" s="422" t="s">
        <v>28</v>
      </c>
      <c r="G71" s="430" t="s">
        <v>51</v>
      </c>
      <c r="H71" s="426"/>
      <c r="I71" s="422">
        <v>2.0</v>
      </c>
      <c r="J71" s="513" t="str">
        <f t="shared" si="2"/>
        <v/>
      </c>
      <c r="K71" s="110"/>
      <c r="L71" s="26" t="s">
        <v>314</v>
      </c>
      <c r="M71" s="465" t="s">
        <v>838</v>
      </c>
      <c r="N71" s="431"/>
    </row>
    <row r="72">
      <c r="A72" s="421" t="s">
        <v>839</v>
      </c>
      <c r="B72" s="422"/>
      <c r="C72" s="423">
        <v>1.0E8</v>
      </c>
      <c r="D72" s="26">
        <v>2020.0</v>
      </c>
      <c r="E72" s="422" t="s">
        <v>2205</v>
      </c>
      <c r="F72" s="422" t="s">
        <v>28</v>
      </c>
      <c r="G72" s="419" t="s">
        <v>23</v>
      </c>
      <c r="H72" s="426"/>
      <c r="I72" s="422">
        <v>1.0</v>
      </c>
      <c r="J72" s="514">
        <v>1.0E8</v>
      </c>
      <c r="K72" s="110"/>
      <c r="L72" s="26" t="s">
        <v>841</v>
      </c>
      <c r="M72" s="465" t="s">
        <v>842</v>
      </c>
      <c r="N72" s="431"/>
    </row>
    <row r="73">
      <c r="A73" s="421" t="s">
        <v>843</v>
      </c>
      <c r="B73" s="422"/>
      <c r="C73" s="423">
        <v>3.83E8</v>
      </c>
      <c r="D73" s="26">
        <v>2020.0</v>
      </c>
      <c r="E73" s="422" t="s">
        <v>2183</v>
      </c>
      <c r="F73" s="422" t="s">
        <v>43</v>
      </c>
      <c r="G73" s="419" t="s">
        <v>23</v>
      </c>
      <c r="H73" s="426"/>
      <c r="I73" s="422">
        <v>3.0</v>
      </c>
      <c r="J73" s="423">
        <v>3.83E8</v>
      </c>
      <c r="K73" s="110"/>
      <c r="L73" s="26" t="s">
        <v>846</v>
      </c>
      <c r="M73" s="465" t="s">
        <v>847</v>
      </c>
      <c r="N73" s="465" t="s">
        <v>848</v>
      </c>
    </row>
    <row r="74">
      <c r="A74" s="114" t="s">
        <v>849</v>
      </c>
      <c r="B74" s="115" t="s">
        <v>850</v>
      </c>
      <c r="C74" s="22">
        <v>700000.0</v>
      </c>
      <c r="D74" s="26">
        <v>2020.0</v>
      </c>
      <c r="E74" s="34" t="s">
        <v>2409</v>
      </c>
      <c r="F74" s="115" t="s">
        <v>22</v>
      </c>
      <c r="G74" s="419" t="s">
        <v>142</v>
      </c>
      <c r="H74" s="34" t="s">
        <v>29</v>
      </c>
      <c r="I74" s="26">
        <v>2.0</v>
      </c>
      <c r="J74" s="515"/>
      <c r="K74" s="53"/>
      <c r="L74" s="105" t="s">
        <v>852</v>
      </c>
      <c r="M74" s="116" t="s">
        <v>853</v>
      </c>
      <c r="N74" s="432"/>
    </row>
    <row r="75">
      <c r="A75" s="421" t="s">
        <v>588</v>
      </c>
      <c r="B75" s="422"/>
      <c r="C75" s="423">
        <v>5.0E7</v>
      </c>
      <c r="D75" s="26">
        <v>2020.0</v>
      </c>
      <c r="E75" s="422" t="s">
        <v>2214</v>
      </c>
      <c r="F75" s="422" t="s">
        <v>28</v>
      </c>
      <c r="G75" s="422" t="s">
        <v>23</v>
      </c>
      <c r="H75" s="422" t="s">
        <v>29</v>
      </c>
      <c r="I75" s="422">
        <v>1.0</v>
      </c>
      <c r="J75" s="513">
        <v>5.0E7</v>
      </c>
      <c r="K75" s="110"/>
      <c r="L75" s="26" t="s">
        <v>507</v>
      </c>
      <c r="M75" s="465" t="s">
        <v>856</v>
      </c>
      <c r="N75" s="431"/>
    </row>
    <row r="76">
      <c r="A76" s="433" t="s">
        <v>857</v>
      </c>
      <c r="B76" s="430"/>
      <c r="C76" s="434">
        <v>3.7E7</v>
      </c>
      <c r="D76" s="26">
        <v>2020.0</v>
      </c>
      <c r="E76" s="425" t="s">
        <v>2255</v>
      </c>
      <c r="F76" s="430" t="s">
        <v>43</v>
      </c>
      <c r="G76" s="430" t="s">
        <v>51</v>
      </c>
      <c r="H76" s="435"/>
      <c r="I76" s="422">
        <v>2.0</v>
      </c>
      <c r="J76" s="515"/>
      <c r="K76" s="120"/>
      <c r="L76" s="112" t="s">
        <v>859</v>
      </c>
      <c r="M76" s="436" t="s">
        <v>860</v>
      </c>
      <c r="N76" s="437" t="s">
        <v>861</v>
      </c>
    </row>
    <row r="77">
      <c r="A77" s="421" t="s">
        <v>862</v>
      </c>
      <c r="B77" s="422"/>
      <c r="C77" s="423">
        <v>1.0E7</v>
      </c>
      <c r="D77" s="26">
        <v>2020.0</v>
      </c>
      <c r="E77" s="422" t="s">
        <v>2290</v>
      </c>
      <c r="F77" s="422" t="s">
        <v>129</v>
      </c>
      <c r="G77" s="422" t="s">
        <v>23</v>
      </c>
      <c r="H77" s="426"/>
      <c r="I77" s="422">
        <v>1.0</v>
      </c>
      <c r="J77" s="515"/>
      <c r="K77" s="110"/>
      <c r="L77" s="26" t="s">
        <v>147</v>
      </c>
      <c r="M77" s="465" t="s">
        <v>864</v>
      </c>
      <c r="N77" s="431"/>
    </row>
    <row r="78">
      <c r="A78" s="421" t="s">
        <v>865</v>
      </c>
      <c r="B78" s="422"/>
      <c r="C78" s="423">
        <v>9.2283889E7</v>
      </c>
      <c r="D78" s="26">
        <v>2020.0</v>
      </c>
      <c r="E78" s="422" t="s">
        <v>2234</v>
      </c>
      <c r="F78" s="422" t="s">
        <v>28</v>
      </c>
      <c r="G78" s="419" t="s">
        <v>23</v>
      </c>
      <c r="H78" s="426"/>
      <c r="I78" s="422">
        <v>1.0</v>
      </c>
      <c r="J78" s="515"/>
      <c r="K78" s="123"/>
      <c r="L78" s="26" t="s">
        <v>867</v>
      </c>
      <c r="M78" s="465" t="s">
        <v>868</v>
      </c>
      <c r="N78" s="431"/>
    </row>
    <row r="79">
      <c r="A79" s="433" t="s">
        <v>869</v>
      </c>
      <c r="B79" s="430" t="s">
        <v>870</v>
      </c>
      <c r="C79" s="434">
        <v>5000000.0</v>
      </c>
      <c r="D79" s="26">
        <v>2020.0</v>
      </c>
      <c r="E79" s="425" t="s">
        <v>2314</v>
      </c>
      <c r="F79" s="430" t="s">
        <v>43</v>
      </c>
      <c r="G79" s="430" t="s">
        <v>23</v>
      </c>
      <c r="H79" s="435"/>
      <c r="I79" s="422">
        <v>3.0</v>
      </c>
      <c r="J79" s="515"/>
      <c r="K79" s="120"/>
      <c r="L79" s="112" t="s">
        <v>688</v>
      </c>
      <c r="M79" s="436" t="s">
        <v>872</v>
      </c>
      <c r="N79" s="432"/>
    </row>
    <row r="80">
      <c r="A80" s="421" t="s">
        <v>873</v>
      </c>
      <c r="B80" s="422" t="s">
        <v>874</v>
      </c>
      <c r="C80" s="423">
        <v>1.4E7</v>
      </c>
      <c r="D80" s="26">
        <v>2020.0</v>
      </c>
      <c r="E80" s="422" t="s">
        <v>2282</v>
      </c>
      <c r="F80" s="422" t="s">
        <v>2163</v>
      </c>
      <c r="G80" s="422" t="s">
        <v>23</v>
      </c>
      <c r="H80" s="426"/>
      <c r="I80" s="422">
        <v>2.0</v>
      </c>
      <c r="J80" s="515"/>
      <c r="K80" s="110"/>
      <c r="L80" s="26" t="s">
        <v>876</v>
      </c>
      <c r="M80" s="465" t="s">
        <v>877</v>
      </c>
      <c r="N80" s="431"/>
    </row>
    <row r="81">
      <c r="A81" s="421" t="s">
        <v>878</v>
      </c>
      <c r="B81" s="422"/>
      <c r="C81" s="423">
        <v>1.48E7</v>
      </c>
      <c r="D81" s="26">
        <v>2020.0</v>
      </c>
      <c r="E81" s="422" t="s">
        <v>2281</v>
      </c>
      <c r="F81" s="422" t="s">
        <v>28</v>
      </c>
      <c r="G81" s="422" t="s">
        <v>51</v>
      </c>
      <c r="H81" s="426"/>
      <c r="I81" s="422">
        <v>2.0</v>
      </c>
      <c r="J81" s="515"/>
      <c r="K81" s="110"/>
      <c r="L81" s="26" t="s">
        <v>880</v>
      </c>
      <c r="M81" s="465" t="s">
        <v>881</v>
      </c>
      <c r="N81" s="431"/>
    </row>
    <row r="82">
      <c r="A82" s="421" t="s">
        <v>882</v>
      </c>
      <c r="B82" s="422"/>
      <c r="C82" s="423">
        <v>380000.0</v>
      </c>
      <c r="D82" s="26">
        <v>2020.0</v>
      </c>
      <c r="E82" s="422" t="s">
        <v>2429</v>
      </c>
      <c r="F82" s="422" t="s">
        <v>22</v>
      </c>
      <c r="G82" s="422" t="s">
        <v>23</v>
      </c>
      <c r="H82" s="426"/>
      <c r="I82" s="422">
        <v>4.0</v>
      </c>
      <c r="J82" s="515"/>
      <c r="K82" s="110"/>
      <c r="L82" s="26" t="s">
        <v>507</v>
      </c>
      <c r="M82" s="465" t="s">
        <v>884</v>
      </c>
      <c r="N82" s="431"/>
    </row>
    <row r="83">
      <c r="A83" s="421" t="s">
        <v>341</v>
      </c>
      <c r="B83" s="422"/>
      <c r="C83" s="423">
        <v>2000000.0</v>
      </c>
      <c r="D83" s="26">
        <v>2020.0</v>
      </c>
      <c r="E83" s="422" t="s">
        <v>2362</v>
      </c>
      <c r="F83" s="422" t="s">
        <v>129</v>
      </c>
      <c r="G83" s="422" t="s">
        <v>23</v>
      </c>
      <c r="H83" s="426"/>
      <c r="I83" s="422">
        <v>1.0</v>
      </c>
      <c r="J83" s="515"/>
      <c r="K83" s="110"/>
      <c r="L83" s="26" t="s">
        <v>886</v>
      </c>
      <c r="M83" s="465" t="s">
        <v>887</v>
      </c>
      <c r="N83" s="431"/>
    </row>
    <row r="84">
      <c r="A84" s="433" t="s">
        <v>888</v>
      </c>
      <c r="B84" s="430" t="s">
        <v>889</v>
      </c>
      <c r="C84" s="434">
        <v>1.5E8</v>
      </c>
      <c r="D84" s="26">
        <v>2020.0</v>
      </c>
      <c r="E84" s="425" t="s">
        <v>2195</v>
      </c>
      <c r="F84" s="430" t="s">
        <v>2163</v>
      </c>
      <c r="G84" s="430" t="s">
        <v>23</v>
      </c>
      <c r="H84" s="435"/>
      <c r="I84" s="438">
        <v>1.0</v>
      </c>
      <c r="J84" s="513">
        <v>1.5E8</v>
      </c>
      <c r="K84" s="120"/>
      <c r="L84" s="112" t="s">
        <v>507</v>
      </c>
      <c r="M84" s="436" t="s">
        <v>892</v>
      </c>
      <c r="N84" s="432"/>
    </row>
    <row r="85">
      <c r="A85" s="421" t="s">
        <v>893</v>
      </c>
      <c r="B85" s="422" t="s">
        <v>894</v>
      </c>
      <c r="C85" s="423">
        <v>3000000.0</v>
      </c>
      <c r="D85" s="26">
        <v>2020.0</v>
      </c>
      <c r="E85" s="422" t="s">
        <v>2342</v>
      </c>
      <c r="F85" s="422" t="s">
        <v>2514</v>
      </c>
      <c r="G85" s="422" t="s">
        <v>23</v>
      </c>
      <c r="H85" s="426"/>
      <c r="I85" s="422">
        <v>4.0</v>
      </c>
      <c r="J85" s="515"/>
      <c r="K85" s="110"/>
      <c r="L85" s="26" t="s">
        <v>896</v>
      </c>
      <c r="M85" s="465" t="s">
        <v>897</v>
      </c>
      <c r="N85" s="431"/>
    </row>
    <row r="86">
      <c r="A86" s="421" t="s">
        <v>898</v>
      </c>
      <c r="B86" s="422" t="s">
        <v>899</v>
      </c>
      <c r="C86" s="423">
        <v>1.2E8</v>
      </c>
      <c r="D86" s="26">
        <v>2020.0</v>
      </c>
      <c r="E86" s="422" t="s">
        <v>2200</v>
      </c>
      <c r="F86" s="422" t="s">
        <v>2163</v>
      </c>
      <c r="G86" s="422" t="s">
        <v>51</v>
      </c>
      <c r="H86" s="426"/>
      <c r="I86" s="422">
        <v>1.0</v>
      </c>
      <c r="J86" s="513">
        <v>1.2E8</v>
      </c>
      <c r="K86" s="110"/>
      <c r="L86" s="26" t="s">
        <v>902</v>
      </c>
      <c r="M86" s="465" t="s">
        <v>903</v>
      </c>
      <c r="N86" s="431"/>
    </row>
    <row r="87">
      <c r="A87" s="421" t="s">
        <v>144</v>
      </c>
      <c r="B87" s="422"/>
      <c r="C87" s="423">
        <v>40000.0</v>
      </c>
      <c r="D87" s="26">
        <v>2020.0</v>
      </c>
      <c r="E87" s="422" t="s">
        <v>2496</v>
      </c>
      <c r="F87" s="422" t="s">
        <v>28</v>
      </c>
      <c r="G87" s="422" t="s">
        <v>23</v>
      </c>
      <c r="H87" s="426"/>
      <c r="I87" s="422">
        <v>3.0</v>
      </c>
      <c r="J87" s="515"/>
      <c r="K87" s="110"/>
      <c r="L87" s="53" t="s">
        <v>905</v>
      </c>
      <c r="M87" s="125" t="s">
        <v>906</v>
      </c>
      <c r="N87" s="432"/>
    </row>
    <row r="88">
      <c r="A88" s="421" t="s">
        <v>907</v>
      </c>
      <c r="B88" s="126" t="s">
        <v>908</v>
      </c>
      <c r="C88" s="423">
        <v>1.0E8</v>
      </c>
      <c r="D88" s="26">
        <v>2020.0</v>
      </c>
      <c r="E88" s="422" t="s">
        <v>2206</v>
      </c>
      <c r="F88" s="422" t="s">
        <v>2163</v>
      </c>
      <c r="G88" s="422" t="s">
        <v>51</v>
      </c>
      <c r="H88" s="426"/>
      <c r="I88" s="422">
        <v>5.0</v>
      </c>
      <c r="J88" s="513">
        <v>1.0E8</v>
      </c>
      <c r="K88" s="110"/>
      <c r="L88" s="26" t="s">
        <v>85</v>
      </c>
      <c r="M88" s="465" t="s">
        <v>910</v>
      </c>
      <c r="N88" s="431"/>
    </row>
    <row r="89">
      <c r="A89" s="421" t="s">
        <v>911</v>
      </c>
      <c r="B89" s="422" t="s">
        <v>912</v>
      </c>
      <c r="C89" s="423">
        <v>1.1E9</v>
      </c>
      <c r="D89" s="26">
        <v>2020.0</v>
      </c>
      <c r="E89" s="422" t="s">
        <v>2177</v>
      </c>
      <c r="F89" s="422" t="s">
        <v>64</v>
      </c>
      <c r="G89" s="440" t="s">
        <v>51</v>
      </c>
      <c r="H89" s="426"/>
      <c r="I89" s="422">
        <v>4.0</v>
      </c>
      <c r="J89" s="514">
        <v>1.1E9</v>
      </c>
      <c r="K89" s="110"/>
      <c r="L89" s="26" t="s">
        <v>571</v>
      </c>
      <c r="M89" s="465" t="s">
        <v>915</v>
      </c>
      <c r="N89" s="431"/>
    </row>
    <row r="90">
      <c r="A90" s="421" t="s">
        <v>916</v>
      </c>
      <c r="B90" s="422"/>
      <c r="C90" s="423">
        <v>3000000.0</v>
      </c>
      <c r="D90" s="26">
        <v>2020.0</v>
      </c>
      <c r="E90" s="422" t="s">
        <v>2343</v>
      </c>
      <c r="F90" s="422" t="s">
        <v>2163</v>
      </c>
      <c r="G90" s="422" t="s">
        <v>51</v>
      </c>
      <c r="H90" s="426"/>
      <c r="I90" s="422">
        <v>3.0</v>
      </c>
      <c r="J90" s="515"/>
      <c r="K90" s="110"/>
      <c r="L90" s="26" t="s">
        <v>918</v>
      </c>
      <c r="M90" s="465" t="s">
        <v>919</v>
      </c>
      <c r="N90" s="431"/>
    </row>
    <row r="91">
      <c r="A91" s="421" t="s">
        <v>920</v>
      </c>
      <c r="B91" s="422"/>
      <c r="C91" s="423">
        <v>880000.0</v>
      </c>
      <c r="D91" s="26">
        <v>2020.0</v>
      </c>
      <c r="E91" s="422" t="s">
        <v>2400</v>
      </c>
      <c r="F91" s="422" t="s">
        <v>28</v>
      </c>
      <c r="G91" s="422" t="s">
        <v>23</v>
      </c>
      <c r="H91" s="426"/>
      <c r="I91" s="422">
        <v>3.0</v>
      </c>
      <c r="J91" s="515"/>
      <c r="K91" s="110"/>
      <c r="L91" s="26" t="s">
        <v>922</v>
      </c>
      <c r="M91" s="465" t="s">
        <v>923</v>
      </c>
      <c r="N91" s="431"/>
    </row>
    <row r="92">
      <c r="A92" s="421" t="s">
        <v>924</v>
      </c>
      <c r="B92" s="422" t="s">
        <v>925</v>
      </c>
      <c r="C92" s="423">
        <v>1300000.0</v>
      </c>
      <c r="D92" s="26">
        <v>2020.0</v>
      </c>
      <c r="E92" s="422" t="s">
        <v>2384</v>
      </c>
      <c r="F92" s="422" t="s">
        <v>43</v>
      </c>
      <c r="G92" s="440" t="s">
        <v>51</v>
      </c>
      <c r="H92" s="426"/>
      <c r="I92" s="422">
        <v>4.0</v>
      </c>
      <c r="J92" s="515"/>
      <c r="K92" s="123"/>
      <c r="L92" s="26" t="s">
        <v>927</v>
      </c>
      <c r="M92" s="465" t="s">
        <v>928</v>
      </c>
      <c r="N92" s="431"/>
    </row>
    <row r="93">
      <c r="A93" s="421" t="s">
        <v>929</v>
      </c>
      <c r="B93" s="422" t="s">
        <v>930</v>
      </c>
      <c r="C93" s="423">
        <v>4.8E7</v>
      </c>
      <c r="D93" s="26">
        <v>2020.0</v>
      </c>
      <c r="E93" s="422" t="s">
        <v>2247</v>
      </c>
      <c r="F93" s="422" t="s">
        <v>28</v>
      </c>
      <c r="G93" s="422" t="s">
        <v>51</v>
      </c>
      <c r="H93" s="426"/>
      <c r="I93" s="422">
        <v>2.0</v>
      </c>
      <c r="J93" s="515"/>
      <c r="K93" s="110"/>
      <c r="L93" s="26" t="s">
        <v>932</v>
      </c>
      <c r="M93" s="465" t="s">
        <v>933</v>
      </c>
      <c r="N93" s="431"/>
    </row>
    <row r="94">
      <c r="A94" s="421" t="s">
        <v>407</v>
      </c>
      <c r="B94" s="422"/>
      <c r="C94" s="423">
        <v>3.3E8</v>
      </c>
      <c r="D94" s="26">
        <v>2020.0</v>
      </c>
      <c r="E94" s="422" t="s">
        <v>2186</v>
      </c>
      <c r="F94" s="422" t="s">
        <v>2163</v>
      </c>
      <c r="G94" s="422" t="s">
        <v>51</v>
      </c>
      <c r="H94" s="426"/>
      <c r="I94" s="422">
        <v>1.0</v>
      </c>
      <c r="J94" s="514">
        <v>3.3E8</v>
      </c>
      <c r="K94" s="110"/>
      <c r="L94" s="26" t="s">
        <v>286</v>
      </c>
      <c r="M94" s="465" t="s">
        <v>936</v>
      </c>
      <c r="N94" s="431"/>
    </row>
    <row r="95">
      <c r="A95" s="433" t="s">
        <v>937</v>
      </c>
      <c r="B95" s="430" t="s">
        <v>938</v>
      </c>
      <c r="C95" s="434">
        <v>934000.0</v>
      </c>
      <c r="D95" s="26">
        <v>2020.0</v>
      </c>
      <c r="E95" s="425" t="s">
        <v>2399</v>
      </c>
      <c r="F95" s="440" t="s">
        <v>22</v>
      </c>
      <c r="G95" s="419" t="s">
        <v>142</v>
      </c>
      <c r="H95" s="441"/>
      <c r="I95" s="150">
        <v>4.0</v>
      </c>
      <c r="J95" s="515"/>
      <c r="K95" s="120"/>
      <c r="L95" s="53" t="s">
        <v>940</v>
      </c>
      <c r="M95" s="436" t="s">
        <v>941</v>
      </c>
      <c r="N95" s="432"/>
    </row>
    <row r="96">
      <c r="A96" s="421" t="s">
        <v>942</v>
      </c>
      <c r="B96" s="422"/>
      <c r="C96" s="423">
        <v>2.7E7</v>
      </c>
      <c r="D96" s="26">
        <v>2020.0</v>
      </c>
      <c r="E96" s="422" t="s">
        <v>2264</v>
      </c>
      <c r="F96" s="422" t="s">
        <v>28</v>
      </c>
      <c r="G96" s="422" t="s">
        <v>23</v>
      </c>
      <c r="H96" s="426"/>
      <c r="I96" s="422">
        <v>2.0</v>
      </c>
      <c r="J96" s="515"/>
      <c r="K96" s="110"/>
      <c r="L96" s="26" t="s">
        <v>314</v>
      </c>
      <c r="M96" s="465" t="s">
        <v>944</v>
      </c>
      <c r="N96" s="431"/>
    </row>
    <row r="97">
      <c r="A97" s="442" t="s">
        <v>945</v>
      </c>
      <c r="B97" s="443"/>
      <c r="C97" s="444">
        <v>5000000.0</v>
      </c>
      <c r="D97" s="26">
        <v>2020.0</v>
      </c>
      <c r="E97" s="445" t="s">
        <v>2315</v>
      </c>
      <c r="F97" s="445" t="s">
        <v>43</v>
      </c>
      <c r="G97" s="447" t="s">
        <v>142</v>
      </c>
      <c r="H97" s="448"/>
      <c r="I97" s="445">
        <v>1.0</v>
      </c>
      <c r="J97" s="516"/>
      <c r="K97" s="448"/>
      <c r="L97" s="447" t="s">
        <v>507</v>
      </c>
      <c r="M97" s="469" t="s">
        <v>947</v>
      </c>
      <c r="N97" s="451"/>
    </row>
    <row r="98">
      <c r="A98" s="523" t="s">
        <v>945</v>
      </c>
      <c r="B98" s="526"/>
      <c r="C98" s="525">
        <v>100000.0</v>
      </c>
      <c r="D98" s="26">
        <v>2020.0</v>
      </c>
      <c r="E98" s="526" t="s">
        <v>2529</v>
      </c>
      <c r="F98" s="526" t="s">
        <v>50</v>
      </c>
      <c r="G98" s="537" t="s">
        <v>51</v>
      </c>
      <c r="H98" s="527"/>
      <c r="I98" s="526">
        <v>1.0</v>
      </c>
      <c r="J98" s="534"/>
      <c r="K98" s="535"/>
      <c r="L98" s="526" t="s">
        <v>325</v>
      </c>
      <c r="M98" s="536" t="s">
        <v>2530</v>
      </c>
      <c r="N98" s="538"/>
    </row>
    <row r="99">
      <c r="A99" s="421" t="s">
        <v>948</v>
      </c>
      <c r="B99" s="422" t="s">
        <v>949</v>
      </c>
      <c r="C99" s="423">
        <v>309000.0</v>
      </c>
      <c r="D99" s="26">
        <v>2020.0</v>
      </c>
      <c r="E99" s="422" t="s">
        <v>2432</v>
      </c>
      <c r="F99" s="422" t="s">
        <v>2163</v>
      </c>
      <c r="G99" s="419" t="s">
        <v>51</v>
      </c>
      <c r="H99" s="426"/>
      <c r="I99" s="422">
        <v>2.0</v>
      </c>
      <c r="J99" s="514"/>
      <c r="K99" s="110"/>
      <c r="L99" s="26" t="s">
        <v>34</v>
      </c>
      <c r="M99" s="465" t="s">
        <v>951</v>
      </c>
      <c r="N99" s="431"/>
    </row>
    <row r="100">
      <c r="A100" s="442" t="s">
        <v>952</v>
      </c>
      <c r="B100" s="445"/>
      <c r="C100" s="444">
        <v>100000.0</v>
      </c>
      <c r="D100" s="26">
        <v>2020.0</v>
      </c>
      <c r="E100" s="445" t="s">
        <v>2477</v>
      </c>
      <c r="F100" s="445" t="s">
        <v>50</v>
      </c>
      <c r="G100" s="447" t="s">
        <v>23</v>
      </c>
      <c r="H100" s="448"/>
      <c r="I100" s="445">
        <v>1.0</v>
      </c>
      <c r="J100" s="516"/>
      <c r="K100" s="452"/>
      <c r="L100" s="445" t="s">
        <v>608</v>
      </c>
      <c r="M100" s="469" t="s">
        <v>954</v>
      </c>
      <c r="N100" s="453"/>
    </row>
    <row r="101">
      <c r="A101" s="20" t="s">
        <v>955</v>
      </c>
      <c r="B101" s="111" t="s">
        <v>956</v>
      </c>
      <c r="C101" s="22">
        <v>411000.0</v>
      </c>
      <c r="D101" s="26">
        <v>2020.0</v>
      </c>
      <c r="E101" s="26" t="s">
        <v>2424</v>
      </c>
      <c r="F101" s="130" t="s">
        <v>28</v>
      </c>
      <c r="G101" s="26" t="s">
        <v>23</v>
      </c>
      <c r="H101" s="28"/>
      <c r="I101" s="26">
        <v>2.0</v>
      </c>
      <c r="J101" s="513"/>
      <c r="K101" s="28"/>
      <c r="L101" s="105" t="s">
        <v>958</v>
      </c>
      <c r="M101" s="106" t="s">
        <v>959</v>
      </c>
      <c r="N101" s="109"/>
    </row>
    <row r="102">
      <c r="A102" s="421" t="s">
        <v>960</v>
      </c>
      <c r="B102" s="422"/>
      <c r="C102" s="423">
        <v>3.2E7</v>
      </c>
      <c r="D102" s="26">
        <v>2020.0</v>
      </c>
      <c r="E102" s="422" t="s">
        <v>2258</v>
      </c>
      <c r="F102" s="422" t="s">
        <v>129</v>
      </c>
      <c r="G102" s="419" t="s">
        <v>51</v>
      </c>
      <c r="H102" s="426"/>
      <c r="I102" s="422">
        <v>1.0</v>
      </c>
      <c r="J102" s="514"/>
      <c r="K102" s="110"/>
      <c r="L102" s="26" t="s">
        <v>85</v>
      </c>
      <c r="M102" s="465" t="s">
        <v>962</v>
      </c>
      <c r="N102" s="431"/>
    </row>
    <row r="103">
      <c r="A103" s="421" t="s">
        <v>963</v>
      </c>
      <c r="B103" s="422" t="s">
        <v>964</v>
      </c>
      <c r="C103" s="423">
        <v>16300.0</v>
      </c>
      <c r="D103" s="26">
        <v>2020.0</v>
      </c>
      <c r="E103" s="422" t="s">
        <v>2501</v>
      </c>
      <c r="F103" s="422" t="s">
        <v>43</v>
      </c>
      <c r="G103" s="419" t="s">
        <v>23</v>
      </c>
      <c r="H103" s="426"/>
      <c r="I103" s="422">
        <v>4.0</v>
      </c>
      <c r="J103" s="514"/>
      <c r="K103" s="110"/>
      <c r="L103" s="26" t="s">
        <v>147</v>
      </c>
      <c r="M103" s="465" t="s">
        <v>966</v>
      </c>
      <c r="N103" s="431"/>
    </row>
    <row r="104">
      <c r="A104" s="523" t="s">
        <v>967</v>
      </c>
      <c r="B104" s="526"/>
      <c r="C104" s="525">
        <v>75000.0</v>
      </c>
      <c r="D104" s="26">
        <v>2020.0</v>
      </c>
      <c r="E104" s="526" t="s">
        <v>2531</v>
      </c>
      <c r="F104" s="526" t="s">
        <v>2514</v>
      </c>
      <c r="G104" s="537" t="s">
        <v>23</v>
      </c>
      <c r="H104" s="527"/>
      <c r="I104" s="526">
        <v>4.0</v>
      </c>
      <c r="J104" s="534"/>
      <c r="K104" s="535"/>
      <c r="L104" s="526" t="s">
        <v>2532</v>
      </c>
      <c r="M104" s="536" t="s">
        <v>2533</v>
      </c>
      <c r="N104" s="538"/>
    </row>
    <row r="105">
      <c r="A105" s="20" t="s">
        <v>967</v>
      </c>
      <c r="B105" s="111" t="s">
        <v>968</v>
      </c>
      <c r="C105" s="22">
        <v>93689.0</v>
      </c>
      <c r="D105" s="26">
        <v>2020.0</v>
      </c>
      <c r="E105" s="26" t="s">
        <v>2482</v>
      </c>
      <c r="F105" s="26" t="s">
        <v>2514</v>
      </c>
      <c r="G105" s="26" t="s">
        <v>23</v>
      </c>
      <c r="H105" s="28"/>
      <c r="I105" s="26">
        <v>2.0</v>
      </c>
      <c r="J105" s="513"/>
      <c r="K105" s="28"/>
      <c r="L105" s="105" t="s">
        <v>970</v>
      </c>
      <c r="M105" s="106" t="s">
        <v>971</v>
      </c>
      <c r="N105" s="109"/>
    </row>
    <row r="106">
      <c r="A106" s="421" t="s">
        <v>588</v>
      </c>
      <c r="B106" s="422"/>
      <c r="C106" s="423">
        <v>2.9E7</v>
      </c>
      <c r="D106" s="26">
        <v>2020.0</v>
      </c>
      <c r="E106" s="422" t="s">
        <v>2262</v>
      </c>
      <c r="F106" s="422" t="s">
        <v>28</v>
      </c>
      <c r="G106" s="422" t="s">
        <v>23</v>
      </c>
      <c r="H106" s="426"/>
      <c r="I106" s="422">
        <v>2.0</v>
      </c>
      <c r="J106" s="515"/>
      <c r="K106" s="110"/>
      <c r="L106" s="26" t="s">
        <v>973</v>
      </c>
      <c r="M106" s="465" t="s">
        <v>974</v>
      </c>
      <c r="N106" s="465" t="s">
        <v>975</v>
      </c>
    </row>
    <row r="107">
      <c r="A107" s="442" t="s">
        <v>976</v>
      </c>
      <c r="B107" s="445"/>
      <c r="C107" s="444">
        <v>4.5E7</v>
      </c>
      <c r="D107" s="26">
        <v>2020.0</v>
      </c>
      <c r="E107" s="445" t="s">
        <v>2249</v>
      </c>
      <c r="F107" s="445" t="s">
        <v>43</v>
      </c>
      <c r="G107" s="445" t="s">
        <v>23</v>
      </c>
      <c r="H107" s="448"/>
      <c r="I107" s="445">
        <v>3.0</v>
      </c>
      <c r="J107" s="517"/>
      <c r="K107" s="452"/>
      <c r="L107" s="445" t="s">
        <v>880</v>
      </c>
      <c r="M107" s="469" t="s">
        <v>978</v>
      </c>
      <c r="N107" s="453"/>
    </row>
    <row r="108">
      <c r="A108" s="20" t="s">
        <v>979</v>
      </c>
      <c r="B108" s="98" t="s">
        <v>980</v>
      </c>
      <c r="C108" s="22">
        <v>1100.0</v>
      </c>
      <c r="D108" s="26">
        <v>2020.0</v>
      </c>
      <c r="E108" s="26" t="s">
        <v>2232</v>
      </c>
      <c r="F108" s="26" t="s">
        <v>2153</v>
      </c>
      <c r="G108" s="26" t="s">
        <v>59</v>
      </c>
      <c r="H108" s="28"/>
      <c r="I108" s="26">
        <v>5.0</v>
      </c>
      <c r="J108" s="27">
        <v>188000.0</v>
      </c>
      <c r="K108" s="28"/>
      <c r="L108" s="34" t="s">
        <v>983</v>
      </c>
      <c r="M108" s="532" t="s">
        <v>984</v>
      </c>
      <c r="N108" s="31"/>
    </row>
    <row r="109">
      <c r="A109" s="20" t="s">
        <v>985</v>
      </c>
      <c r="B109" s="98" t="s">
        <v>986</v>
      </c>
      <c r="C109" s="22">
        <v>9.0E9</v>
      </c>
      <c r="D109" s="26">
        <v>2020.0</v>
      </c>
      <c r="E109" s="26" t="s">
        <v>2190</v>
      </c>
      <c r="F109" s="26" t="s">
        <v>50</v>
      </c>
      <c r="G109" s="26" t="s">
        <v>51</v>
      </c>
      <c r="H109" s="28"/>
      <c r="I109" s="26">
        <v>1.0</v>
      </c>
      <c r="J109" s="27">
        <v>9.0E9</v>
      </c>
      <c r="K109" s="28"/>
      <c r="L109" s="34" t="s">
        <v>410</v>
      </c>
      <c r="M109" s="532" t="s">
        <v>988</v>
      </c>
      <c r="N109" s="31"/>
    </row>
    <row r="110">
      <c r="A110" s="131" t="s">
        <v>989</v>
      </c>
      <c r="B110" s="132"/>
      <c r="C110" s="133">
        <v>1.75E7</v>
      </c>
      <c r="D110" s="26">
        <v>2020.0</v>
      </c>
      <c r="E110" s="105" t="s">
        <v>2276</v>
      </c>
      <c r="F110" s="120" t="s">
        <v>28</v>
      </c>
      <c r="G110" s="120" t="s">
        <v>23</v>
      </c>
      <c r="H110" s="120"/>
      <c r="I110" s="150">
        <v>4.0</v>
      </c>
      <c r="J110" s="515"/>
      <c r="K110" s="120"/>
      <c r="L110" s="120" t="s">
        <v>608</v>
      </c>
      <c r="M110" s="122" t="s">
        <v>991</v>
      </c>
      <c r="N110" s="117"/>
    </row>
    <row r="111">
      <c r="A111" s="20" t="s">
        <v>992</v>
      </c>
      <c r="B111" s="26"/>
      <c r="C111" s="22">
        <v>300000.0</v>
      </c>
      <c r="D111" s="26">
        <v>2020.0</v>
      </c>
      <c r="E111" s="26" t="s">
        <v>2434</v>
      </c>
      <c r="F111" s="26" t="s">
        <v>28</v>
      </c>
      <c r="G111" s="130" t="s">
        <v>51</v>
      </c>
      <c r="H111" s="28"/>
      <c r="I111" s="26">
        <v>4.0</v>
      </c>
      <c r="J111" s="515"/>
      <c r="K111" s="110"/>
      <c r="L111" s="26" t="s">
        <v>994</v>
      </c>
      <c r="M111" s="106" t="s">
        <v>995</v>
      </c>
      <c r="N111" s="113"/>
    </row>
    <row r="112">
      <c r="A112" s="20" t="s">
        <v>996</v>
      </c>
      <c r="B112" s="26"/>
      <c r="C112" s="22">
        <v>3.2E7</v>
      </c>
      <c r="D112" s="26">
        <v>2020.0</v>
      </c>
      <c r="E112" s="26" t="s">
        <v>2259</v>
      </c>
      <c r="F112" s="26" t="s">
        <v>28</v>
      </c>
      <c r="G112" s="26" t="s">
        <v>23</v>
      </c>
      <c r="H112" s="28"/>
      <c r="I112" s="26">
        <v>4.0</v>
      </c>
      <c r="J112" s="515"/>
      <c r="K112" s="28"/>
      <c r="L112" s="53" t="s">
        <v>998</v>
      </c>
      <c r="M112" s="106" t="s">
        <v>999</v>
      </c>
      <c r="N112" s="113"/>
    </row>
    <row r="113">
      <c r="A113" s="20" t="s">
        <v>288</v>
      </c>
      <c r="B113" s="26"/>
      <c r="C113" s="22">
        <v>5.7E7</v>
      </c>
      <c r="D113" s="26">
        <v>2020.0</v>
      </c>
      <c r="E113" s="26" t="s">
        <v>2213</v>
      </c>
      <c r="F113" s="26" t="s">
        <v>2163</v>
      </c>
      <c r="G113" s="26" t="s">
        <v>23</v>
      </c>
      <c r="H113" s="28"/>
      <c r="I113" s="26">
        <v>1.0</v>
      </c>
      <c r="J113" s="513">
        <v>5.7E7</v>
      </c>
      <c r="K113" s="120"/>
      <c r="L113" s="105" t="s">
        <v>867</v>
      </c>
      <c r="M113" s="106" t="s">
        <v>1002</v>
      </c>
      <c r="N113" s="113"/>
    </row>
    <row r="114">
      <c r="A114" s="20" t="s">
        <v>1003</v>
      </c>
      <c r="B114" s="26"/>
      <c r="C114" s="22">
        <v>270000.0</v>
      </c>
      <c r="D114" s="26">
        <v>2020.0</v>
      </c>
      <c r="E114" s="26" t="s">
        <v>2440</v>
      </c>
      <c r="F114" s="26" t="s">
        <v>2153</v>
      </c>
      <c r="G114" s="26" t="s">
        <v>23</v>
      </c>
      <c r="H114" s="28"/>
      <c r="I114" s="26">
        <v>4.0</v>
      </c>
      <c r="J114" s="515"/>
      <c r="K114" s="28"/>
      <c r="L114" s="53" t="s">
        <v>325</v>
      </c>
      <c r="M114" s="106" t="s">
        <v>1005</v>
      </c>
      <c r="N114" s="113"/>
    </row>
    <row r="115">
      <c r="A115" s="20" t="s">
        <v>1006</v>
      </c>
      <c r="B115" s="26"/>
      <c r="C115" s="22">
        <v>1700000.0</v>
      </c>
      <c r="D115" s="26">
        <v>2020.0</v>
      </c>
      <c r="E115" s="26" t="s">
        <v>2370</v>
      </c>
      <c r="F115" s="26" t="s">
        <v>2163</v>
      </c>
      <c r="G115" s="26" t="s">
        <v>23</v>
      </c>
      <c r="H115" s="28"/>
      <c r="I115" s="26">
        <v>1.0</v>
      </c>
      <c r="J115" s="515"/>
      <c r="K115" s="28"/>
      <c r="L115" s="53" t="s">
        <v>1008</v>
      </c>
      <c r="M115" s="106" t="s">
        <v>1009</v>
      </c>
      <c r="N115" s="113"/>
    </row>
    <row r="116">
      <c r="A116" s="52" t="s">
        <v>1010</v>
      </c>
      <c r="B116" s="53"/>
      <c r="C116" s="22">
        <v>7.11E8</v>
      </c>
      <c r="D116" s="26">
        <v>2020.0</v>
      </c>
      <c r="E116" s="34" t="s">
        <v>2179</v>
      </c>
      <c r="F116" s="26" t="s">
        <v>28</v>
      </c>
      <c r="G116" s="26" t="s">
        <v>51</v>
      </c>
      <c r="H116" s="115"/>
      <c r="I116" s="26">
        <v>4.0</v>
      </c>
      <c r="J116" s="515"/>
      <c r="K116" s="53"/>
      <c r="L116" s="53" t="s">
        <v>325</v>
      </c>
      <c r="M116" s="135" t="s">
        <v>1013</v>
      </c>
      <c r="N116" s="136"/>
    </row>
    <row r="117">
      <c r="A117" s="52" t="s">
        <v>1014</v>
      </c>
      <c r="B117" s="53"/>
      <c r="C117" s="22">
        <v>2000000.0</v>
      </c>
      <c r="D117" s="26">
        <v>2020.0</v>
      </c>
      <c r="E117" s="34" t="s">
        <v>2363</v>
      </c>
      <c r="F117" s="26" t="s">
        <v>43</v>
      </c>
      <c r="G117" s="419" t="s">
        <v>142</v>
      </c>
      <c r="H117" s="115"/>
      <c r="I117" s="26">
        <v>3.0</v>
      </c>
      <c r="J117" s="515"/>
      <c r="K117" s="53"/>
      <c r="L117" s="34" t="s">
        <v>629</v>
      </c>
      <c r="M117" s="135" t="s">
        <v>1016</v>
      </c>
      <c r="N117" s="136"/>
    </row>
    <row r="118">
      <c r="A118" s="20" t="s">
        <v>1017</v>
      </c>
      <c r="B118" s="26"/>
      <c r="C118" s="22">
        <v>3.1E7</v>
      </c>
      <c r="D118" s="26">
        <v>2020.0</v>
      </c>
      <c r="E118" s="26" t="s">
        <v>2261</v>
      </c>
      <c r="F118" s="26" t="s">
        <v>2163</v>
      </c>
      <c r="G118" s="127" t="s">
        <v>51</v>
      </c>
      <c r="H118" s="28"/>
      <c r="I118" s="26">
        <v>4.0</v>
      </c>
      <c r="J118" s="515"/>
      <c r="K118" s="110"/>
      <c r="L118" s="26" t="s">
        <v>571</v>
      </c>
      <c r="M118" s="106" t="s">
        <v>1019</v>
      </c>
      <c r="N118" s="113"/>
    </row>
    <row r="119">
      <c r="A119" s="20" t="s">
        <v>1020</v>
      </c>
      <c r="B119" s="26"/>
      <c r="C119" s="22">
        <v>3000000.0</v>
      </c>
      <c r="D119" s="26">
        <v>2020.0</v>
      </c>
      <c r="E119" s="26" t="s">
        <v>2344</v>
      </c>
      <c r="F119" s="26" t="s">
        <v>50</v>
      </c>
      <c r="G119" s="26" t="s">
        <v>23</v>
      </c>
      <c r="H119" s="26" t="s">
        <v>29</v>
      </c>
      <c r="I119" s="26">
        <v>2.0</v>
      </c>
      <c r="J119" s="515"/>
      <c r="K119" s="28"/>
      <c r="L119" s="34" t="s">
        <v>30</v>
      </c>
      <c r="M119" s="106" t="s">
        <v>1022</v>
      </c>
      <c r="N119" s="113"/>
    </row>
    <row r="120">
      <c r="A120" s="20" t="s">
        <v>1023</v>
      </c>
      <c r="B120" s="26" t="s">
        <v>1024</v>
      </c>
      <c r="C120" s="22">
        <v>1000000.0</v>
      </c>
      <c r="D120" s="26">
        <v>2020.0</v>
      </c>
      <c r="E120" s="26" t="s">
        <v>2392</v>
      </c>
      <c r="F120" s="26" t="s">
        <v>2163</v>
      </c>
      <c r="G120" s="26" t="s">
        <v>51</v>
      </c>
      <c r="H120" s="28"/>
      <c r="I120" s="26">
        <v>3.0</v>
      </c>
      <c r="J120" s="515"/>
      <c r="K120" s="28"/>
      <c r="L120" s="53" t="s">
        <v>1026</v>
      </c>
      <c r="M120" s="106" t="s">
        <v>1027</v>
      </c>
      <c r="N120" s="113"/>
    </row>
    <row r="121">
      <c r="A121" s="52" t="s">
        <v>1028</v>
      </c>
      <c r="B121" s="34"/>
      <c r="C121" s="22">
        <v>3000000.0</v>
      </c>
      <c r="D121" s="26">
        <v>2020.0</v>
      </c>
      <c r="E121" s="34" t="s">
        <v>2345</v>
      </c>
      <c r="F121" s="26" t="s">
        <v>64</v>
      </c>
      <c r="G121" s="26" t="s">
        <v>51</v>
      </c>
      <c r="H121" s="34" t="s">
        <v>29</v>
      </c>
      <c r="I121" s="26">
        <v>5.0</v>
      </c>
      <c r="J121" s="515"/>
      <c r="K121" s="53"/>
      <c r="L121" s="53" t="s">
        <v>1030</v>
      </c>
      <c r="M121" s="135" t="s">
        <v>1031</v>
      </c>
      <c r="N121" s="136"/>
    </row>
    <row r="122">
      <c r="A122" s="20" t="s">
        <v>1032</v>
      </c>
      <c r="B122" s="130"/>
      <c r="C122" s="22">
        <v>3700000.0</v>
      </c>
      <c r="D122" s="26">
        <v>2020.0</v>
      </c>
      <c r="E122" s="26" t="s">
        <v>2336</v>
      </c>
      <c r="F122" s="26" t="s">
        <v>64</v>
      </c>
      <c r="G122" s="26" t="s">
        <v>1034</v>
      </c>
      <c r="H122" s="130"/>
      <c r="I122" s="26">
        <v>2.0</v>
      </c>
      <c r="J122" s="515"/>
      <c r="K122" s="110"/>
      <c r="L122" s="53" t="s">
        <v>1035</v>
      </c>
      <c r="M122" s="106" t="s">
        <v>1036</v>
      </c>
      <c r="N122" s="113"/>
    </row>
    <row r="123">
      <c r="A123" s="137" t="s">
        <v>1037</v>
      </c>
      <c r="B123" s="138" t="s">
        <v>1038</v>
      </c>
      <c r="C123" s="119">
        <v>1.37E9</v>
      </c>
      <c r="D123" s="26">
        <v>2020.0</v>
      </c>
      <c r="E123" s="26" t="s">
        <v>2185</v>
      </c>
      <c r="F123" s="139" t="s">
        <v>28</v>
      </c>
      <c r="G123" s="419" t="s">
        <v>142</v>
      </c>
      <c r="H123" s="53"/>
      <c r="I123" s="26">
        <v>2.0</v>
      </c>
      <c r="J123" s="513">
        <v>1.37E9</v>
      </c>
      <c r="K123" s="53"/>
      <c r="L123" s="34" t="s">
        <v>507</v>
      </c>
      <c r="M123" s="106" t="s">
        <v>1041</v>
      </c>
      <c r="N123" s="117"/>
    </row>
    <row r="124">
      <c r="A124" s="20" t="s">
        <v>1042</v>
      </c>
      <c r="B124" s="26" t="s">
        <v>1043</v>
      </c>
      <c r="C124" s="22">
        <v>700000.0</v>
      </c>
      <c r="D124" s="26">
        <v>2020.0</v>
      </c>
      <c r="E124" s="26" t="s">
        <v>2410</v>
      </c>
      <c r="F124" s="26" t="s">
        <v>28</v>
      </c>
      <c r="G124" s="26" t="s">
        <v>23</v>
      </c>
      <c r="H124" s="28"/>
      <c r="I124" s="26">
        <v>4.0</v>
      </c>
      <c r="J124" s="515"/>
      <c r="K124" s="28"/>
      <c r="L124" s="53" t="s">
        <v>608</v>
      </c>
      <c r="M124" s="106" t="s">
        <v>1045</v>
      </c>
      <c r="N124" s="113"/>
    </row>
    <row r="125">
      <c r="A125" s="20" t="s">
        <v>1046</v>
      </c>
      <c r="B125" s="26"/>
      <c r="C125" s="22">
        <v>1900000.0</v>
      </c>
      <c r="D125" s="26">
        <v>2020.0</v>
      </c>
      <c r="E125" s="26" t="s">
        <v>2367</v>
      </c>
      <c r="F125" s="26" t="s">
        <v>129</v>
      </c>
      <c r="G125" s="26" t="s">
        <v>23</v>
      </c>
      <c r="H125" s="28"/>
      <c r="I125" s="26">
        <v>1.0</v>
      </c>
      <c r="J125" s="515"/>
      <c r="K125" s="28"/>
      <c r="L125" s="53" t="s">
        <v>706</v>
      </c>
      <c r="M125" s="106" t="s">
        <v>1048</v>
      </c>
      <c r="N125" s="113"/>
    </row>
    <row r="126">
      <c r="A126" s="20" t="s">
        <v>1049</v>
      </c>
      <c r="B126" s="26" t="s">
        <v>1050</v>
      </c>
      <c r="C126" s="22">
        <v>1.7E7</v>
      </c>
      <c r="D126" s="26">
        <v>2020.0</v>
      </c>
      <c r="E126" s="26" t="s">
        <v>2277</v>
      </c>
      <c r="F126" s="26" t="s">
        <v>28</v>
      </c>
      <c r="G126" s="26" t="s">
        <v>23</v>
      </c>
      <c r="H126" s="28"/>
      <c r="I126" s="26">
        <v>4.0</v>
      </c>
      <c r="J126" s="515"/>
      <c r="K126" s="28"/>
      <c r="L126" s="53" t="s">
        <v>1052</v>
      </c>
      <c r="M126" s="106" t="s">
        <v>1053</v>
      </c>
      <c r="N126" s="113"/>
    </row>
    <row r="127">
      <c r="A127" s="118" t="s">
        <v>1054</v>
      </c>
      <c r="B127" s="127"/>
      <c r="C127" s="133">
        <v>1700000.0</v>
      </c>
      <c r="D127" s="26">
        <v>2020.0</v>
      </c>
      <c r="E127" s="105" t="s">
        <v>2277</v>
      </c>
      <c r="F127" s="128" t="s">
        <v>2163</v>
      </c>
      <c r="G127" s="127" t="s">
        <v>23</v>
      </c>
      <c r="H127" s="127"/>
      <c r="I127" s="150">
        <v>4.0</v>
      </c>
      <c r="J127" s="515"/>
      <c r="K127" s="120"/>
      <c r="L127" s="53" t="s">
        <v>1054</v>
      </c>
      <c r="M127" s="122" t="s">
        <v>1055</v>
      </c>
      <c r="N127" s="140"/>
    </row>
    <row r="128">
      <c r="A128" s="118" t="s">
        <v>1056</v>
      </c>
      <c r="B128" s="127" t="s">
        <v>1057</v>
      </c>
      <c r="C128" s="133">
        <v>1600000.0</v>
      </c>
      <c r="D128" s="26">
        <v>2020.0</v>
      </c>
      <c r="E128" s="105" t="s">
        <v>2373</v>
      </c>
      <c r="F128" s="128" t="s">
        <v>2153</v>
      </c>
      <c r="G128" s="127" t="s">
        <v>23</v>
      </c>
      <c r="H128" s="127"/>
      <c r="I128" s="150">
        <v>4.0</v>
      </c>
      <c r="J128" s="515"/>
      <c r="K128" s="120"/>
      <c r="L128" s="105" t="s">
        <v>85</v>
      </c>
      <c r="M128" s="122" t="s">
        <v>1059</v>
      </c>
      <c r="N128" s="140"/>
    </row>
    <row r="129">
      <c r="A129" s="20" t="s">
        <v>1060</v>
      </c>
      <c r="B129" s="26"/>
      <c r="C129" s="22">
        <v>4.62E7</v>
      </c>
      <c r="D129" s="26">
        <v>2020.0</v>
      </c>
      <c r="E129" s="26" t="s">
        <v>2248</v>
      </c>
      <c r="F129" s="26" t="s">
        <v>129</v>
      </c>
      <c r="G129" s="26" t="s">
        <v>23</v>
      </c>
      <c r="H129" s="28"/>
      <c r="I129" s="26">
        <v>4.0</v>
      </c>
      <c r="J129" s="515"/>
      <c r="K129" s="110"/>
      <c r="L129" s="26" t="s">
        <v>1062</v>
      </c>
      <c r="M129" s="106" t="s">
        <v>1063</v>
      </c>
      <c r="N129" s="113"/>
    </row>
    <row r="130">
      <c r="A130" s="20" t="s">
        <v>1064</v>
      </c>
      <c r="B130" s="26"/>
      <c r="C130" s="22">
        <v>81309.0</v>
      </c>
      <c r="D130" s="26">
        <v>2020.0</v>
      </c>
      <c r="E130" s="26" t="s">
        <v>2485</v>
      </c>
      <c r="F130" s="26" t="s">
        <v>2514</v>
      </c>
      <c r="G130" s="26" t="s">
        <v>23</v>
      </c>
      <c r="H130" s="28"/>
      <c r="I130" s="26">
        <v>4.0</v>
      </c>
      <c r="J130" s="515"/>
      <c r="K130" s="110"/>
      <c r="L130" s="26" t="s">
        <v>1066</v>
      </c>
      <c r="M130" s="106" t="s">
        <v>1067</v>
      </c>
      <c r="N130" s="113"/>
    </row>
    <row r="131">
      <c r="A131" s="52" t="s">
        <v>1068</v>
      </c>
      <c r="B131" s="53"/>
      <c r="C131" s="22">
        <v>6000000.0</v>
      </c>
      <c r="D131" s="26">
        <v>2020.0</v>
      </c>
      <c r="E131" s="34" t="s">
        <v>2308</v>
      </c>
      <c r="F131" s="26" t="s">
        <v>28</v>
      </c>
      <c r="G131" s="26" t="s">
        <v>23</v>
      </c>
      <c r="H131" s="115"/>
      <c r="I131" s="26">
        <v>1.0</v>
      </c>
      <c r="J131" s="515"/>
      <c r="K131" s="53"/>
      <c r="L131" s="53" t="s">
        <v>314</v>
      </c>
      <c r="M131" s="135" t="s">
        <v>1070</v>
      </c>
      <c r="N131" s="136"/>
    </row>
    <row r="132">
      <c r="A132" s="141" t="s">
        <v>1071</v>
      </c>
      <c r="B132" s="120"/>
      <c r="C132" s="133">
        <v>3000000.0</v>
      </c>
      <c r="D132" s="26">
        <v>2020.0</v>
      </c>
      <c r="E132" s="105" t="s">
        <v>2346</v>
      </c>
      <c r="F132" s="120" t="s">
        <v>28</v>
      </c>
      <c r="G132" s="120" t="s">
        <v>23</v>
      </c>
      <c r="H132" s="120"/>
      <c r="I132" s="150">
        <v>4.0</v>
      </c>
      <c r="J132" s="515"/>
      <c r="K132" s="120"/>
      <c r="L132" s="120" t="s">
        <v>1073</v>
      </c>
      <c r="M132" s="122" t="s">
        <v>1074</v>
      </c>
      <c r="N132" s="117"/>
    </row>
    <row r="133">
      <c r="A133" s="52" t="s">
        <v>1075</v>
      </c>
      <c r="B133" s="53"/>
      <c r="C133" s="22">
        <v>1.43E8</v>
      </c>
      <c r="D133" s="26">
        <v>2020.0</v>
      </c>
      <c r="E133" s="34" t="s">
        <v>2197</v>
      </c>
      <c r="F133" s="26" t="s">
        <v>2153</v>
      </c>
      <c r="G133" s="26" t="s">
        <v>23</v>
      </c>
      <c r="H133" s="115" t="s">
        <v>29</v>
      </c>
      <c r="I133" s="26">
        <v>4.0</v>
      </c>
      <c r="J133" s="513">
        <v>1.43E8</v>
      </c>
      <c r="K133" s="53"/>
      <c r="L133" s="53" t="s">
        <v>1079</v>
      </c>
      <c r="M133" s="135" t="s">
        <v>1080</v>
      </c>
      <c r="N133" s="136"/>
    </row>
    <row r="134">
      <c r="A134" s="118" t="s">
        <v>1081</v>
      </c>
      <c r="B134" s="142" t="s">
        <v>1082</v>
      </c>
      <c r="C134" s="119">
        <v>540000.0</v>
      </c>
      <c r="D134" s="26">
        <v>2020.0</v>
      </c>
      <c r="E134" s="34" t="s">
        <v>2414</v>
      </c>
      <c r="F134" s="112" t="s">
        <v>2163</v>
      </c>
      <c r="G134" s="127" t="s">
        <v>51</v>
      </c>
      <c r="H134" s="120"/>
      <c r="I134" s="26">
        <v>4.0</v>
      </c>
      <c r="J134" s="515"/>
      <c r="K134" s="120"/>
      <c r="L134" s="120" t="s">
        <v>1073</v>
      </c>
      <c r="M134" s="121" t="s">
        <v>1084</v>
      </c>
      <c r="N134" s="117"/>
    </row>
    <row r="135">
      <c r="A135" s="20" t="s">
        <v>1085</v>
      </c>
      <c r="B135" s="138"/>
      <c r="C135" s="22">
        <v>1.17E8</v>
      </c>
      <c r="D135" s="26">
        <v>2020.0</v>
      </c>
      <c r="E135" s="26" t="s">
        <v>2201</v>
      </c>
      <c r="F135" s="26" t="s">
        <v>28</v>
      </c>
      <c r="G135" s="26" t="s">
        <v>23</v>
      </c>
      <c r="H135" s="28"/>
      <c r="I135" s="26">
        <v>1.0</v>
      </c>
      <c r="J135" s="513">
        <v>1.17E8</v>
      </c>
      <c r="K135" s="28"/>
      <c r="L135" s="53" t="s">
        <v>1088</v>
      </c>
      <c r="M135" s="106" t="s">
        <v>1089</v>
      </c>
      <c r="N135" s="106" t="s">
        <v>1090</v>
      </c>
    </row>
    <row r="136">
      <c r="A136" s="20" t="s">
        <v>1091</v>
      </c>
      <c r="B136" s="138"/>
      <c r="C136" s="22">
        <v>6.5E7</v>
      </c>
      <c r="D136" s="26">
        <v>2020.0</v>
      </c>
      <c r="E136" s="26" t="s">
        <v>2239</v>
      </c>
      <c r="F136" s="26" t="s">
        <v>28</v>
      </c>
      <c r="G136" s="26" t="s">
        <v>23</v>
      </c>
      <c r="H136" s="28"/>
      <c r="I136" s="26">
        <v>1.0</v>
      </c>
      <c r="J136" s="515"/>
      <c r="K136" s="28"/>
      <c r="L136" s="34" t="s">
        <v>30</v>
      </c>
      <c r="M136" s="106" t="s">
        <v>1093</v>
      </c>
      <c r="N136" s="113"/>
    </row>
    <row r="137">
      <c r="A137" s="20" t="s">
        <v>996</v>
      </c>
      <c r="B137" s="111"/>
      <c r="C137" s="22">
        <v>5.0E8</v>
      </c>
      <c r="D137" s="26">
        <v>2020.0</v>
      </c>
      <c r="E137" s="26" t="s">
        <v>2180</v>
      </c>
      <c r="F137" s="26" t="s">
        <v>28</v>
      </c>
      <c r="G137" s="26" t="s">
        <v>23</v>
      </c>
      <c r="H137" s="28"/>
      <c r="I137" s="26">
        <v>2.0</v>
      </c>
      <c r="J137" s="513">
        <v>5.0E8</v>
      </c>
      <c r="K137" s="28"/>
      <c r="L137" s="34" t="s">
        <v>1096</v>
      </c>
      <c r="M137" s="106" t="s">
        <v>1097</v>
      </c>
      <c r="N137" s="109"/>
    </row>
    <row r="138">
      <c r="A138" s="20" t="s">
        <v>1098</v>
      </c>
      <c r="B138" s="111" t="s">
        <v>1099</v>
      </c>
      <c r="C138" s="22">
        <v>1.15E7</v>
      </c>
      <c r="D138" s="26">
        <v>2020.0</v>
      </c>
      <c r="E138" s="26" t="s">
        <v>2287</v>
      </c>
      <c r="F138" s="26" t="s">
        <v>2161</v>
      </c>
      <c r="G138" s="26" t="s">
        <v>23</v>
      </c>
      <c r="H138" s="26" t="s">
        <v>29</v>
      </c>
      <c r="I138" s="26">
        <v>5.0</v>
      </c>
      <c r="J138" s="515"/>
      <c r="K138" s="28"/>
      <c r="L138" s="53" t="s">
        <v>1101</v>
      </c>
      <c r="M138" s="106" t="s">
        <v>1102</v>
      </c>
      <c r="N138" s="113"/>
    </row>
    <row r="139">
      <c r="A139" s="52" t="s">
        <v>1103</v>
      </c>
      <c r="B139" s="111" t="s">
        <v>1104</v>
      </c>
      <c r="C139" s="22">
        <v>5.5E7</v>
      </c>
      <c r="D139" s="26">
        <v>2020.0</v>
      </c>
      <c r="E139" s="26" t="s">
        <v>2242</v>
      </c>
      <c r="F139" s="26" t="s">
        <v>64</v>
      </c>
      <c r="G139" s="26" t="s">
        <v>23</v>
      </c>
      <c r="H139" s="28"/>
      <c r="I139" s="26">
        <v>5.0</v>
      </c>
      <c r="J139" s="515"/>
      <c r="K139" s="28"/>
      <c r="L139" s="53" t="s">
        <v>1106</v>
      </c>
      <c r="M139" s="106" t="s">
        <v>1107</v>
      </c>
      <c r="N139" s="113"/>
    </row>
    <row r="140">
      <c r="A140" s="20" t="s">
        <v>1108</v>
      </c>
      <c r="B140" s="138"/>
      <c r="C140" s="22">
        <v>274477.0</v>
      </c>
      <c r="D140" s="26">
        <v>2020.0</v>
      </c>
      <c r="E140" s="26" t="s">
        <v>2439</v>
      </c>
      <c r="F140" s="26" t="s">
        <v>64</v>
      </c>
      <c r="G140" s="26" t="s">
        <v>23</v>
      </c>
      <c r="H140" s="28"/>
      <c r="I140" s="26">
        <v>1.0</v>
      </c>
      <c r="J140" s="515"/>
      <c r="K140" s="28"/>
      <c r="L140" s="53" t="s">
        <v>1110</v>
      </c>
      <c r="M140" s="106" t="s">
        <v>1111</v>
      </c>
      <c r="N140" s="113"/>
    </row>
    <row r="141">
      <c r="A141" s="20" t="s">
        <v>1112</v>
      </c>
      <c r="B141" s="143" t="s">
        <v>1113</v>
      </c>
      <c r="C141" s="22">
        <v>7000000.0</v>
      </c>
      <c r="D141" s="26">
        <v>2020.0</v>
      </c>
      <c r="E141" s="26" t="s">
        <v>2303</v>
      </c>
      <c r="F141" s="26" t="s">
        <v>236</v>
      </c>
      <c r="G141" s="26" t="s">
        <v>23</v>
      </c>
      <c r="H141" s="28"/>
      <c r="I141" s="26">
        <v>1.0</v>
      </c>
      <c r="J141" s="515"/>
      <c r="K141" s="28"/>
      <c r="L141" s="34" t="s">
        <v>147</v>
      </c>
      <c r="M141" s="106" t="s">
        <v>1115</v>
      </c>
      <c r="N141" s="113"/>
    </row>
    <row r="142">
      <c r="A142" s="20" t="s">
        <v>1116</v>
      </c>
      <c r="B142" s="138"/>
      <c r="C142" s="22">
        <v>4.9611709E7</v>
      </c>
      <c r="D142" s="26">
        <v>2020.0</v>
      </c>
      <c r="E142" s="34" t="s">
        <v>2245</v>
      </c>
      <c r="F142" s="26" t="s">
        <v>64</v>
      </c>
      <c r="G142" s="26" t="s">
        <v>23</v>
      </c>
      <c r="H142" s="28"/>
      <c r="I142" s="26">
        <v>2.0</v>
      </c>
      <c r="J142" s="515"/>
      <c r="K142" s="28"/>
      <c r="L142" s="53" t="s">
        <v>591</v>
      </c>
      <c r="M142" s="106" t="s">
        <v>1118</v>
      </c>
      <c r="N142" s="113"/>
    </row>
    <row r="143">
      <c r="A143" s="144" t="s">
        <v>1119</v>
      </c>
      <c r="B143" s="142"/>
      <c r="C143" s="119">
        <v>3700000.0</v>
      </c>
      <c r="D143" s="26">
        <v>2020.0</v>
      </c>
      <c r="E143" s="50" t="s">
        <v>2337</v>
      </c>
      <c r="F143" s="26" t="s">
        <v>2514</v>
      </c>
      <c r="G143" s="28" t="s">
        <v>23</v>
      </c>
      <c r="H143" s="53"/>
      <c r="I143" s="26">
        <v>3.0</v>
      </c>
      <c r="J143" s="515"/>
      <c r="K143" s="53"/>
      <c r="L143" s="34" t="s">
        <v>1121</v>
      </c>
      <c r="M143" s="106" t="s">
        <v>1122</v>
      </c>
      <c r="N143" s="117"/>
    </row>
    <row r="144">
      <c r="A144" s="20" t="s">
        <v>1123</v>
      </c>
      <c r="B144" s="26" t="s">
        <v>1124</v>
      </c>
      <c r="C144" s="22">
        <v>2.5E7</v>
      </c>
      <c r="D144" s="26">
        <v>2020.0</v>
      </c>
      <c r="E144" s="26" t="s">
        <v>2266</v>
      </c>
      <c r="F144" s="26" t="s">
        <v>28</v>
      </c>
      <c r="G144" s="26" t="s">
        <v>23</v>
      </c>
      <c r="H144" s="28"/>
      <c r="I144" s="26">
        <v>2.0</v>
      </c>
      <c r="J144" s="515"/>
      <c r="K144" s="28"/>
      <c r="L144" s="53" t="s">
        <v>608</v>
      </c>
      <c r="M144" s="106" t="s">
        <v>1126</v>
      </c>
      <c r="N144" s="113"/>
    </row>
    <row r="145">
      <c r="A145" s="20" t="s">
        <v>1127</v>
      </c>
      <c r="B145" s="26"/>
      <c r="C145" s="22">
        <v>300000.0</v>
      </c>
      <c r="D145" s="26">
        <v>2020.0</v>
      </c>
      <c r="E145" s="26" t="s">
        <v>2435</v>
      </c>
      <c r="F145" s="26" t="s">
        <v>28</v>
      </c>
      <c r="G145" s="130" t="s">
        <v>23</v>
      </c>
      <c r="H145" s="28"/>
      <c r="I145" s="26">
        <v>1.0</v>
      </c>
      <c r="J145" s="515"/>
      <c r="K145" s="28"/>
      <c r="L145" s="53" t="s">
        <v>905</v>
      </c>
      <c r="M145" s="106" t="s">
        <v>1129</v>
      </c>
      <c r="N145" s="113"/>
    </row>
    <row r="146">
      <c r="A146" s="44" t="s">
        <v>1130</v>
      </c>
      <c r="B146" s="26" t="s">
        <v>1131</v>
      </c>
      <c r="C146" s="22">
        <v>9500000.0</v>
      </c>
      <c r="D146" s="26">
        <v>2020.0</v>
      </c>
      <c r="E146" s="26" t="s">
        <v>2295</v>
      </c>
      <c r="F146" s="26" t="s">
        <v>28</v>
      </c>
      <c r="G146" s="26" t="s">
        <v>23</v>
      </c>
      <c r="H146" s="28"/>
      <c r="I146" s="26">
        <v>1.0</v>
      </c>
      <c r="J146" s="515"/>
      <c r="K146" s="28"/>
      <c r="L146" s="53" t="s">
        <v>1133</v>
      </c>
      <c r="M146" s="106" t="s">
        <v>1134</v>
      </c>
      <c r="N146" s="113"/>
    </row>
    <row r="147">
      <c r="A147" s="144" t="s">
        <v>1135</v>
      </c>
      <c r="B147" s="142"/>
      <c r="C147" s="119">
        <v>2000000.0</v>
      </c>
      <c r="D147" s="26">
        <v>2020.0</v>
      </c>
      <c r="E147" s="34" t="s">
        <v>2364</v>
      </c>
      <c r="F147" s="28" t="s">
        <v>28</v>
      </c>
      <c r="G147" s="28" t="s">
        <v>23</v>
      </c>
      <c r="H147" s="53"/>
      <c r="I147" s="28">
        <v>1.0</v>
      </c>
      <c r="J147" s="515"/>
      <c r="K147" s="53"/>
      <c r="L147" s="34" t="s">
        <v>575</v>
      </c>
      <c r="M147" s="106" t="s">
        <v>1137</v>
      </c>
      <c r="N147" s="117"/>
    </row>
    <row r="148">
      <c r="A148" s="20" t="s">
        <v>1138</v>
      </c>
      <c r="B148" s="111" t="s">
        <v>1139</v>
      </c>
      <c r="C148" s="22">
        <v>1025.0</v>
      </c>
      <c r="D148" s="26">
        <v>2020.0</v>
      </c>
      <c r="E148" s="26" t="s">
        <v>2503</v>
      </c>
      <c r="F148" s="26" t="s">
        <v>43</v>
      </c>
      <c r="G148" s="26" t="s">
        <v>23</v>
      </c>
      <c r="H148" s="28"/>
      <c r="I148" s="26">
        <v>3.0</v>
      </c>
      <c r="J148" s="515"/>
      <c r="K148" s="28"/>
      <c r="L148" s="34" t="s">
        <v>278</v>
      </c>
      <c r="M148" s="106" t="s">
        <v>1141</v>
      </c>
      <c r="N148" s="113"/>
    </row>
    <row r="149">
      <c r="A149" s="144" t="s">
        <v>1142</v>
      </c>
      <c r="B149" s="142"/>
      <c r="C149" s="22">
        <v>5000000.0</v>
      </c>
      <c r="D149" s="26">
        <v>2020.0</v>
      </c>
      <c r="E149" s="34" t="s">
        <v>2316</v>
      </c>
      <c r="F149" s="28" t="s">
        <v>64</v>
      </c>
      <c r="G149" s="28" t="s">
        <v>23</v>
      </c>
      <c r="H149" s="53"/>
      <c r="I149" s="26">
        <v>2.0</v>
      </c>
      <c r="J149" s="515"/>
      <c r="K149" s="53"/>
      <c r="L149" s="34" t="s">
        <v>286</v>
      </c>
      <c r="M149" s="106" t="s">
        <v>1144</v>
      </c>
      <c r="N149" s="117"/>
    </row>
    <row r="150">
      <c r="A150" s="145" t="s">
        <v>1145</v>
      </c>
      <c r="B150" s="142"/>
      <c r="C150" s="22">
        <v>35000.0</v>
      </c>
      <c r="D150" s="26">
        <v>2020.0</v>
      </c>
      <c r="E150" s="26" t="s">
        <v>2498</v>
      </c>
      <c r="F150" s="28" t="s">
        <v>28</v>
      </c>
      <c r="G150" s="28" t="s">
        <v>23</v>
      </c>
      <c r="H150" s="53"/>
      <c r="I150" s="28">
        <v>1.0</v>
      </c>
      <c r="J150" s="515"/>
      <c r="K150" s="53"/>
      <c r="L150" s="53" t="s">
        <v>1147</v>
      </c>
      <c r="M150" s="146" t="s">
        <v>1148</v>
      </c>
      <c r="N150" s="117"/>
    </row>
    <row r="151">
      <c r="A151" s="20" t="s">
        <v>1149</v>
      </c>
      <c r="B151" s="111" t="s">
        <v>1150</v>
      </c>
      <c r="C151" s="22">
        <v>2200000.0</v>
      </c>
      <c r="D151" s="26">
        <v>2020.0</v>
      </c>
      <c r="E151" s="26" t="s">
        <v>2359</v>
      </c>
      <c r="F151" s="26" t="s">
        <v>2007</v>
      </c>
      <c r="G151" s="26" t="s">
        <v>51</v>
      </c>
      <c r="H151" s="28"/>
      <c r="I151" s="26">
        <v>3.0</v>
      </c>
      <c r="J151" s="515"/>
      <c r="K151" s="28"/>
      <c r="L151" s="53" t="s">
        <v>1152</v>
      </c>
      <c r="M151" s="106" t="s">
        <v>1153</v>
      </c>
      <c r="N151" s="113"/>
    </row>
    <row r="152">
      <c r="A152" s="20" t="s">
        <v>1154</v>
      </c>
      <c r="B152" s="111" t="s">
        <v>1155</v>
      </c>
      <c r="C152" s="22">
        <v>112000.0</v>
      </c>
      <c r="D152" s="26">
        <v>2020.0</v>
      </c>
      <c r="E152" s="26" t="s">
        <v>2472</v>
      </c>
      <c r="F152" s="26" t="s">
        <v>2514</v>
      </c>
      <c r="G152" s="26" t="s">
        <v>59</v>
      </c>
      <c r="H152" s="28"/>
      <c r="I152" s="26">
        <v>5.0</v>
      </c>
      <c r="J152" s="515"/>
      <c r="K152" s="28"/>
      <c r="L152" s="53" t="s">
        <v>905</v>
      </c>
      <c r="M152" s="106" t="s">
        <v>1157</v>
      </c>
      <c r="N152" s="113"/>
    </row>
    <row r="153">
      <c r="A153" s="20" t="s">
        <v>1158</v>
      </c>
      <c r="B153" s="111" t="s">
        <v>1159</v>
      </c>
      <c r="C153" s="22">
        <v>1.71E8</v>
      </c>
      <c r="D153" s="26">
        <v>2020.0</v>
      </c>
      <c r="E153" s="26" t="s">
        <v>2203</v>
      </c>
      <c r="F153" s="26" t="s">
        <v>28</v>
      </c>
      <c r="G153" s="26" t="s">
        <v>23</v>
      </c>
      <c r="H153" s="28"/>
      <c r="I153" s="26">
        <v>4.0</v>
      </c>
      <c r="J153" s="513">
        <v>1.0E8</v>
      </c>
      <c r="K153" s="28"/>
      <c r="L153" s="53" t="s">
        <v>886</v>
      </c>
      <c r="M153" s="106" t="s">
        <v>1161</v>
      </c>
      <c r="N153" s="113"/>
    </row>
    <row r="154">
      <c r="A154" s="147" t="s">
        <v>1162</v>
      </c>
      <c r="B154" s="148" t="s">
        <v>1163</v>
      </c>
      <c r="C154" s="149">
        <v>1500000.0</v>
      </c>
      <c r="D154" s="26">
        <v>2020.0</v>
      </c>
      <c r="E154" s="150" t="s">
        <v>2377</v>
      </c>
      <c r="F154" s="150" t="s">
        <v>28</v>
      </c>
      <c r="G154" s="150" t="s">
        <v>23</v>
      </c>
      <c r="H154" s="151"/>
      <c r="I154" s="150">
        <v>4.0</v>
      </c>
      <c r="J154" s="515"/>
      <c r="K154" s="151"/>
      <c r="L154" s="53" t="s">
        <v>886</v>
      </c>
      <c r="M154" s="106" t="s">
        <v>1165</v>
      </c>
      <c r="N154" s="113"/>
    </row>
    <row r="155">
      <c r="A155" s="20" t="s">
        <v>1166</v>
      </c>
      <c r="B155" s="26" t="s">
        <v>1167</v>
      </c>
      <c r="C155" s="22">
        <v>4.0E7</v>
      </c>
      <c r="D155" s="26">
        <v>2020.0</v>
      </c>
      <c r="E155" s="26" t="s">
        <v>2252</v>
      </c>
      <c r="F155" s="26" t="s">
        <v>28</v>
      </c>
      <c r="G155" s="26" t="s">
        <v>23</v>
      </c>
      <c r="H155" s="28"/>
      <c r="I155" s="26">
        <v>4.0</v>
      </c>
      <c r="J155" s="515"/>
      <c r="K155" s="28"/>
      <c r="L155" s="34" t="s">
        <v>1169</v>
      </c>
      <c r="M155" s="146" t="s">
        <v>1170</v>
      </c>
      <c r="N155" s="113"/>
    </row>
    <row r="156">
      <c r="A156" s="20" t="s">
        <v>1171</v>
      </c>
      <c r="B156" s="138"/>
      <c r="C156" s="22">
        <v>1.64E8</v>
      </c>
      <c r="D156" s="26">
        <v>2020.0</v>
      </c>
      <c r="E156" s="26" t="s">
        <v>2193</v>
      </c>
      <c r="F156" s="26" t="s">
        <v>28</v>
      </c>
      <c r="G156" s="26" t="s">
        <v>23</v>
      </c>
      <c r="H156" s="28"/>
      <c r="I156" s="26">
        <v>1.0</v>
      </c>
      <c r="J156" s="513">
        <v>1.64E8</v>
      </c>
      <c r="K156" s="28"/>
      <c r="L156" s="34" t="s">
        <v>30</v>
      </c>
      <c r="M156" s="106" t="s">
        <v>1174</v>
      </c>
      <c r="N156" s="113"/>
    </row>
    <row r="157">
      <c r="A157" s="137" t="s">
        <v>1175</v>
      </c>
      <c r="B157" s="139" t="s">
        <v>1176</v>
      </c>
      <c r="C157" s="22">
        <v>130000.0</v>
      </c>
      <c r="D157" s="26">
        <v>2020.0</v>
      </c>
      <c r="E157" s="26" t="s">
        <v>2466</v>
      </c>
      <c r="F157" s="139" t="s">
        <v>129</v>
      </c>
      <c r="G157" s="26" t="s">
        <v>23</v>
      </c>
      <c r="H157" s="53"/>
      <c r="I157" s="26">
        <v>2.0</v>
      </c>
      <c r="J157" s="515"/>
      <c r="K157" s="53"/>
      <c r="L157" s="53" t="s">
        <v>1175</v>
      </c>
      <c r="M157" s="152" t="s">
        <v>1178</v>
      </c>
      <c r="N157" s="117"/>
    </row>
    <row r="158">
      <c r="A158" s="20" t="s">
        <v>1179</v>
      </c>
      <c r="B158" s="26"/>
      <c r="C158" s="22">
        <v>550000.0</v>
      </c>
      <c r="D158" s="26">
        <v>2020.0</v>
      </c>
      <c r="E158" s="26" t="s">
        <v>2413</v>
      </c>
      <c r="F158" s="26" t="s">
        <v>2514</v>
      </c>
      <c r="G158" s="419" t="s">
        <v>142</v>
      </c>
      <c r="H158" s="28"/>
      <c r="I158" s="26">
        <v>4.0</v>
      </c>
      <c r="J158" s="515"/>
      <c r="K158" s="28"/>
      <c r="L158" s="53" t="s">
        <v>829</v>
      </c>
      <c r="M158" s="106" t="s">
        <v>1181</v>
      </c>
      <c r="N158" s="113"/>
    </row>
    <row r="159">
      <c r="A159" s="144" t="s">
        <v>1182</v>
      </c>
      <c r="B159" s="138" t="s">
        <v>1183</v>
      </c>
      <c r="C159" s="119">
        <v>1.5E7</v>
      </c>
      <c r="D159" s="26">
        <v>2020.0</v>
      </c>
      <c r="E159" s="50" t="s">
        <v>2279</v>
      </c>
      <c r="F159" s="26" t="s">
        <v>2163</v>
      </c>
      <c r="G159" s="28" t="s">
        <v>23</v>
      </c>
      <c r="H159" s="53"/>
      <c r="I159" s="28">
        <v>1.0</v>
      </c>
      <c r="J159" s="515"/>
      <c r="K159" s="53"/>
      <c r="L159" s="53" t="s">
        <v>1185</v>
      </c>
      <c r="M159" s="153" t="s">
        <v>1186</v>
      </c>
      <c r="N159" s="117"/>
    </row>
    <row r="160">
      <c r="A160" s="20" t="s">
        <v>1187</v>
      </c>
      <c r="B160" s="26" t="s">
        <v>1188</v>
      </c>
      <c r="C160" s="22">
        <v>8.52E7</v>
      </c>
      <c r="D160" s="26">
        <v>2020.0</v>
      </c>
      <c r="E160" s="26" t="s">
        <v>2235</v>
      </c>
      <c r="F160" s="26" t="s">
        <v>28</v>
      </c>
      <c r="G160" s="130" t="s">
        <v>23</v>
      </c>
      <c r="H160" s="28"/>
      <c r="I160" s="26">
        <v>1.0</v>
      </c>
      <c r="J160" s="515"/>
      <c r="K160" s="28"/>
      <c r="L160" s="53" t="s">
        <v>571</v>
      </c>
      <c r="M160" s="106" t="s">
        <v>1190</v>
      </c>
      <c r="N160" s="113"/>
    </row>
    <row r="161">
      <c r="A161" s="20" t="s">
        <v>1191</v>
      </c>
      <c r="B161" s="26"/>
      <c r="C161" s="22">
        <v>4.3E7</v>
      </c>
      <c r="D161" s="26">
        <v>2020.0</v>
      </c>
      <c r="E161" s="26" t="s">
        <v>2251</v>
      </c>
      <c r="F161" s="26" t="s">
        <v>28</v>
      </c>
      <c r="G161" s="26" t="s">
        <v>23</v>
      </c>
      <c r="H161" s="28"/>
      <c r="I161" s="26">
        <v>4.0</v>
      </c>
      <c r="J161" s="515"/>
      <c r="K161" s="28"/>
      <c r="L161" s="53" t="s">
        <v>34</v>
      </c>
      <c r="M161" s="106" t="s">
        <v>1193</v>
      </c>
      <c r="N161" s="113"/>
    </row>
    <row r="162">
      <c r="A162" s="20" t="s">
        <v>1194</v>
      </c>
      <c r="B162" s="26"/>
      <c r="C162" s="22">
        <v>1.0E7</v>
      </c>
      <c r="D162" s="26">
        <v>2020.0</v>
      </c>
      <c r="E162" s="34" t="s">
        <v>2291</v>
      </c>
      <c r="F162" s="26" t="s">
        <v>28</v>
      </c>
      <c r="G162" s="26" t="s">
        <v>23</v>
      </c>
      <c r="H162" s="28"/>
      <c r="I162" s="26">
        <v>2.0</v>
      </c>
      <c r="J162" s="515"/>
      <c r="K162" s="28"/>
      <c r="L162" s="53" t="s">
        <v>1196</v>
      </c>
      <c r="M162" s="106" t="s">
        <v>1197</v>
      </c>
      <c r="N162" s="113"/>
    </row>
    <row r="163">
      <c r="A163" s="20" t="s">
        <v>712</v>
      </c>
      <c r="B163" s="26"/>
      <c r="C163" s="22">
        <v>34000.0</v>
      </c>
      <c r="D163" s="26">
        <v>2020.0</v>
      </c>
      <c r="E163" s="26" t="s">
        <v>2499</v>
      </c>
      <c r="F163" s="26" t="s">
        <v>2514</v>
      </c>
      <c r="G163" s="130" t="s">
        <v>23</v>
      </c>
      <c r="H163" s="28"/>
      <c r="I163" s="26">
        <v>4.0</v>
      </c>
      <c r="J163" s="515"/>
      <c r="K163" s="28"/>
      <c r="L163" s="53" t="s">
        <v>1199</v>
      </c>
      <c r="M163" s="106" t="s">
        <v>1200</v>
      </c>
      <c r="N163" s="113"/>
    </row>
    <row r="164">
      <c r="A164" s="52" t="s">
        <v>1201</v>
      </c>
      <c r="B164" s="34" t="s">
        <v>1202</v>
      </c>
      <c r="C164" s="22">
        <v>4.12E8</v>
      </c>
      <c r="D164" s="26">
        <v>2020.0</v>
      </c>
      <c r="E164" s="34" t="s">
        <v>2182</v>
      </c>
      <c r="F164" s="115" t="s">
        <v>28</v>
      </c>
      <c r="G164" s="115" t="s">
        <v>23</v>
      </c>
      <c r="H164" s="53"/>
      <c r="I164" s="130">
        <v>1.0</v>
      </c>
      <c r="J164" s="513">
        <v>4.12E8</v>
      </c>
      <c r="K164" s="28"/>
      <c r="L164" s="34" t="s">
        <v>571</v>
      </c>
      <c r="M164" s="146" t="s">
        <v>1205</v>
      </c>
      <c r="N164" s="155"/>
    </row>
    <row r="165">
      <c r="A165" s="20" t="s">
        <v>1206</v>
      </c>
      <c r="B165" s="26" t="s">
        <v>1207</v>
      </c>
      <c r="C165" s="22">
        <v>790724.0</v>
      </c>
      <c r="D165" s="26">
        <v>2020.0</v>
      </c>
      <c r="E165" s="34" t="s">
        <v>2405</v>
      </c>
      <c r="F165" s="26" t="s">
        <v>28</v>
      </c>
      <c r="G165" s="26" t="s">
        <v>23</v>
      </c>
      <c r="H165" s="28"/>
      <c r="I165" s="26">
        <v>4.0</v>
      </c>
      <c r="J165" s="518"/>
      <c r="K165" s="26"/>
      <c r="L165" s="34" t="s">
        <v>30</v>
      </c>
      <c r="M165" s="106" t="s">
        <v>1209</v>
      </c>
      <c r="N165" s="113"/>
    </row>
    <row r="166">
      <c r="A166" s="20" t="s">
        <v>1210</v>
      </c>
      <c r="B166" s="26"/>
      <c r="C166" s="22">
        <v>6600000.0</v>
      </c>
      <c r="D166" s="26">
        <v>2020.0</v>
      </c>
      <c r="E166" s="26" t="s">
        <v>2304</v>
      </c>
      <c r="F166" s="26" t="s">
        <v>28</v>
      </c>
      <c r="G166" s="26" t="s">
        <v>23</v>
      </c>
      <c r="H166" s="28"/>
      <c r="I166" s="26">
        <v>5.0</v>
      </c>
      <c r="J166" s="515"/>
      <c r="K166" s="28"/>
      <c r="L166" s="53" t="s">
        <v>1212</v>
      </c>
      <c r="M166" s="106" t="s">
        <v>1213</v>
      </c>
      <c r="N166" s="113"/>
    </row>
    <row r="167">
      <c r="A167" s="114" t="s">
        <v>1214</v>
      </c>
      <c r="B167" s="115" t="s">
        <v>1215</v>
      </c>
      <c r="C167" s="22">
        <v>1100000.0</v>
      </c>
      <c r="D167" s="26">
        <v>2020.0</v>
      </c>
      <c r="E167" s="34" t="s">
        <v>2389</v>
      </c>
      <c r="F167" s="115" t="s">
        <v>2514</v>
      </c>
      <c r="G167" s="115" t="s">
        <v>23</v>
      </c>
      <c r="H167" s="53"/>
      <c r="I167" s="130">
        <v>1.0</v>
      </c>
      <c r="J167" s="515"/>
      <c r="K167" s="53"/>
      <c r="L167" s="34" t="s">
        <v>702</v>
      </c>
      <c r="M167" s="146" t="s">
        <v>1217</v>
      </c>
      <c r="N167" s="19"/>
    </row>
    <row r="168">
      <c r="A168" s="156" t="s">
        <v>499</v>
      </c>
      <c r="B168" s="115" t="s">
        <v>1218</v>
      </c>
      <c r="C168" s="22">
        <v>1.0E7</v>
      </c>
      <c r="D168" s="26">
        <v>2020.0</v>
      </c>
      <c r="E168" s="34" t="s">
        <v>2292</v>
      </c>
      <c r="F168" s="115" t="s">
        <v>2514</v>
      </c>
      <c r="G168" s="115" t="s">
        <v>23</v>
      </c>
      <c r="H168" s="53"/>
      <c r="I168" s="130">
        <v>1.0</v>
      </c>
      <c r="J168" s="515"/>
      <c r="K168" s="53"/>
      <c r="L168" s="53" t="s">
        <v>499</v>
      </c>
      <c r="M168" s="157" t="s">
        <v>1220</v>
      </c>
      <c r="N168" s="19"/>
    </row>
    <row r="169">
      <c r="A169" s="114" t="s">
        <v>1221</v>
      </c>
      <c r="B169" s="115" t="s">
        <v>1222</v>
      </c>
      <c r="C169" s="22">
        <v>1.1E7</v>
      </c>
      <c r="D169" s="26">
        <v>2020.0</v>
      </c>
      <c r="E169" s="34" t="s">
        <v>2289</v>
      </c>
      <c r="F169" s="115" t="s">
        <v>2514</v>
      </c>
      <c r="G169" s="115" t="s">
        <v>23</v>
      </c>
      <c r="H169" s="53"/>
      <c r="I169" s="26">
        <v>5.0</v>
      </c>
      <c r="J169" s="515"/>
      <c r="K169" s="53"/>
      <c r="L169" s="34" t="s">
        <v>1224</v>
      </c>
      <c r="M169" s="157" t="s">
        <v>1225</v>
      </c>
      <c r="N169" s="19"/>
    </row>
    <row r="170">
      <c r="A170" s="114" t="s">
        <v>288</v>
      </c>
      <c r="B170" s="53"/>
      <c r="C170" s="22">
        <v>50000.0</v>
      </c>
      <c r="D170" s="26">
        <v>2020.0</v>
      </c>
      <c r="E170" s="34" t="s">
        <v>2493</v>
      </c>
      <c r="F170" s="26" t="s">
        <v>2494</v>
      </c>
      <c r="G170" s="115" t="s">
        <v>51</v>
      </c>
      <c r="H170" s="53"/>
      <c r="I170" s="130">
        <v>1.0</v>
      </c>
      <c r="J170" s="515"/>
      <c r="K170" s="53"/>
      <c r="L170" s="34" t="s">
        <v>880</v>
      </c>
      <c r="M170" s="157" t="s">
        <v>1228</v>
      </c>
      <c r="N170" s="19"/>
    </row>
    <row r="171">
      <c r="A171" s="137" t="s">
        <v>1229</v>
      </c>
      <c r="B171" s="142"/>
      <c r="C171" s="119">
        <v>1.98E8</v>
      </c>
      <c r="D171" s="26">
        <v>2020.0</v>
      </c>
      <c r="E171" s="26" t="s">
        <v>2192</v>
      </c>
      <c r="F171" s="53" t="s">
        <v>28</v>
      </c>
      <c r="G171" s="26" t="s">
        <v>51</v>
      </c>
      <c r="H171" s="53"/>
      <c r="I171" s="26">
        <v>2.0</v>
      </c>
      <c r="J171" s="513">
        <v>1.98E8</v>
      </c>
      <c r="K171" s="53"/>
      <c r="L171" s="53" t="s">
        <v>1232</v>
      </c>
      <c r="M171" s="152" t="s">
        <v>1233</v>
      </c>
      <c r="N171" s="158" t="s">
        <v>1234</v>
      </c>
    </row>
    <row r="172">
      <c r="A172" s="20" t="s">
        <v>1235</v>
      </c>
      <c r="B172" s="26" t="s">
        <v>1236</v>
      </c>
      <c r="C172" s="22">
        <v>1.3E7</v>
      </c>
      <c r="D172" s="26">
        <v>2020.0</v>
      </c>
      <c r="E172" s="26" t="s">
        <v>2285</v>
      </c>
      <c r="F172" s="26" t="s">
        <v>28</v>
      </c>
      <c r="G172" s="26" t="s">
        <v>23</v>
      </c>
      <c r="H172" s="28"/>
      <c r="I172" s="26">
        <v>1.0</v>
      </c>
      <c r="J172" s="515"/>
      <c r="K172" s="28"/>
      <c r="L172" s="34" t="s">
        <v>147</v>
      </c>
      <c r="M172" s="106" t="s">
        <v>1238</v>
      </c>
      <c r="N172" s="106" t="s">
        <v>1239</v>
      </c>
    </row>
    <row r="173">
      <c r="A173" s="20" t="s">
        <v>1240</v>
      </c>
      <c r="B173" s="111" t="s">
        <v>1241</v>
      </c>
      <c r="C173" s="22">
        <v>40000.0</v>
      </c>
      <c r="D173" s="26">
        <v>2020.0</v>
      </c>
      <c r="E173" s="26" t="s">
        <v>2497</v>
      </c>
      <c r="F173" s="26" t="s">
        <v>2153</v>
      </c>
      <c r="G173" s="26" t="s">
        <v>23</v>
      </c>
      <c r="H173" s="28"/>
      <c r="I173" s="26">
        <v>4.0</v>
      </c>
      <c r="J173" s="515"/>
      <c r="K173" s="28"/>
      <c r="L173" s="53" t="s">
        <v>1243</v>
      </c>
      <c r="M173" s="106" t="s">
        <v>1244</v>
      </c>
      <c r="N173" s="113"/>
    </row>
    <row r="174">
      <c r="A174" s="20" t="s">
        <v>1245</v>
      </c>
      <c r="B174" s="111" t="s">
        <v>1246</v>
      </c>
      <c r="C174" s="22">
        <v>3300000.0</v>
      </c>
      <c r="D174" s="26">
        <v>2020.0</v>
      </c>
      <c r="E174" s="26" t="s">
        <v>2340</v>
      </c>
      <c r="F174" s="26" t="s">
        <v>28</v>
      </c>
      <c r="G174" s="26" t="s">
        <v>51</v>
      </c>
      <c r="H174" s="28"/>
      <c r="I174" s="26">
        <v>2.0</v>
      </c>
      <c r="J174" s="515"/>
      <c r="K174" s="28"/>
      <c r="L174" s="53" t="s">
        <v>1248</v>
      </c>
      <c r="M174" s="106" t="s">
        <v>1249</v>
      </c>
      <c r="N174" s="113"/>
    </row>
    <row r="175">
      <c r="A175" s="20" t="s">
        <v>1250</v>
      </c>
      <c r="B175" s="26" t="s">
        <v>1251</v>
      </c>
      <c r="C175" s="22">
        <v>6400000.0</v>
      </c>
      <c r="D175" s="26">
        <v>2020.0</v>
      </c>
      <c r="E175" s="26" t="s">
        <v>2306</v>
      </c>
      <c r="F175" s="26" t="s">
        <v>28</v>
      </c>
      <c r="G175" s="26" t="s">
        <v>23</v>
      </c>
      <c r="H175" s="28"/>
      <c r="I175" s="26">
        <v>5.0</v>
      </c>
      <c r="J175" s="515"/>
      <c r="K175" s="28"/>
      <c r="L175" s="53" t="s">
        <v>325</v>
      </c>
      <c r="M175" s="106" t="s">
        <v>1253</v>
      </c>
      <c r="N175" s="106" t="s">
        <v>1254</v>
      </c>
    </row>
    <row r="176">
      <c r="A176" s="114" t="s">
        <v>1255</v>
      </c>
      <c r="B176" s="53"/>
      <c r="C176" s="22">
        <v>500000.0</v>
      </c>
      <c r="D176" s="26">
        <v>2020.0</v>
      </c>
      <c r="E176" s="34" t="s">
        <v>2418</v>
      </c>
      <c r="F176" s="115" t="s">
        <v>28</v>
      </c>
      <c r="G176" s="115" t="s">
        <v>23</v>
      </c>
      <c r="H176" s="115" t="s">
        <v>29</v>
      </c>
      <c r="I176" s="26">
        <v>5.0</v>
      </c>
      <c r="J176" s="515"/>
      <c r="K176" s="53"/>
      <c r="L176" s="53" t="s">
        <v>325</v>
      </c>
      <c r="M176" s="116" t="s">
        <v>1257</v>
      </c>
      <c r="N176" s="19"/>
    </row>
    <row r="177">
      <c r="A177" s="159" t="s">
        <v>1258</v>
      </c>
      <c r="B177" s="115" t="s">
        <v>1259</v>
      </c>
      <c r="C177" s="22">
        <v>3.7E7</v>
      </c>
      <c r="D177" s="26">
        <v>2020.0</v>
      </c>
      <c r="E177" s="34" t="s">
        <v>2256</v>
      </c>
      <c r="F177" s="115" t="s">
        <v>28</v>
      </c>
      <c r="G177" s="115" t="s">
        <v>23</v>
      </c>
      <c r="H177" s="53"/>
      <c r="I177" s="26">
        <v>1.0</v>
      </c>
      <c r="J177" s="515"/>
      <c r="K177" s="53"/>
      <c r="L177" s="53" t="s">
        <v>702</v>
      </c>
      <c r="M177" s="160" t="s">
        <v>1261</v>
      </c>
      <c r="N177" s="19"/>
    </row>
    <row r="178">
      <c r="A178" s="114" t="s">
        <v>1262</v>
      </c>
      <c r="B178" s="53"/>
      <c r="C178" s="22">
        <v>2.15E7</v>
      </c>
      <c r="D178" s="26">
        <v>2020.0</v>
      </c>
      <c r="E178" s="34" t="s">
        <v>2271</v>
      </c>
      <c r="F178" s="115" t="s">
        <v>64</v>
      </c>
      <c r="G178" s="115" t="s">
        <v>23</v>
      </c>
      <c r="H178" s="53"/>
      <c r="I178" s="26">
        <v>5.0</v>
      </c>
      <c r="J178" s="515"/>
      <c r="K178" s="53"/>
      <c r="L178" s="53" t="s">
        <v>905</v>
      </c>
      <c r="M178" s="160" t="s">
        <v>1264</v>
      </c>
      <c r="N178" s="116" t="s">
        <v>1265</v>
      </c>
    </row>
    <row r="179">
      <c r="A179" s="114" t="s">
        <v>1266</v>
      </c>
      <c r="B179" s="53"/>
      <c r="C179" s="22">
        <v>4000000.0</v>
      </c>
      <c r="D179" s="26">
        <v>2020.0</v>
      </c>
      <c r="E179" s="34" t="s">
        <v>2326</v>
      </c>
      <c r="F179" s="115" t="s">
        <v>64</v>
      </c>
      <c r="G179" s="115" t="s">
        <v>23</v>
      </c>
      <c r="H179" s="53"/>
      <c r="I179" s="26">
        <v>2.0</v>
      </c>
      <c r="J179" s="515"/>
      <c r="K179" s="53"/>
      <c r="L179" s="53" t="s">
        <v>710</v>
      </c>
      <c r="M179" s="160" t="s">
        <v>1268</v>
      </c>
      <c r="N179" s="19"/>
    </row>
    <row r="180">
      <c r="A180" s="161" t="s">
        <v>1269</v>
      </c>
      <c r="B180" s="53"/>
      <c r="C180" s="22">
        <v>30.0</v>
      </c>
      <c r="D180" s="26">
        <v>2020.0</v>
      </c>
      <c r="E180" s="34" t="s">
        <v>2504</v>
      </c>
      <c r="F180" s="130" t="s">
        <v>64</v>
      </c>
      <c r="G180" s="419" t="s">
        <v>142</v>
      </c>
      <c r="H180" s="34" t="s">
        <v>29</v>
      </c>
      <c r="I180" s="26">
        <v>4.0</v>
      </c>
      <c r="J180" s="515"/>
      <c r="K180" s="53"/>
      <c r="L180" s="53" t="s">
        <v>325</v>
      </c>
      <c r="M180" s="157" t="s">
        <v>1271</v>
      </c>
      <c r="N180" s="19"/>
    </row>
    <row r="181">
      <c r="A181" s="161" t="s">
        <v>1272</v>
      </c>
      <c r="B181" s="115" t="s">
        <v>1273</v>
      </c>
      <c r="C181" s="22">
        <v>100000.0</v>
      </c>
      <c r="D181" s="26">
        <v>2020.0</v>
      </c>
      <c r="E181" s="34" t="s">
        <v>2478</v>
      </c>
      <c r="F181" s="115" t="s">
        <v>64</v>
      </c>
      <c r="G181" s="34" t="s">
        <v>23</v>
      </c>
      <c r="H181" s="53"/>
      <c r="I181" s="130">
        <v>1.0</v>
      </c>
      <c r="J181" s="515"/>
      <c r="K181" s="53"/>
      <c r="L181" s="53" t="s">
        <v>1088</v>
      </c>
      <c r="M181" s="160" t="s">
        <v>1275</v>
      </c>
      <c r="N181" s="19"/>
    </row>
    <row r="182">
      <c r="A182" s="161" t="s">
        <v>1276</v>
      </c>
      <c r="B182" s="115" t="s">
        <v>1277</v>
      </c>
      <c r="C182" s="22">
        <v>400000.0</v>
      </c>
      <c r="D182" s="26">
        <v>2020.0</v>
      </c>
      <c r="E182" s="34" t="s">
        <v>2425</v>
      </c>
      <c r="F182" s="26" t="s">
        <v>2163</v>
      </c>
      <c r="G182" s="115" t="s">
        <v>23</v>
      </c>
      <c r="H182" s="53"/>
      <c r="I182" s="26">
        <v>2.0</v>
      </c>
      <c r="J182" s="515"/>
      <c r="K182" s="53"/>
      <c r="L182" s="53" t="s">
        <v>702</v>
      </c>
      <c r="M182" s="162" t="s">
        <v>1279</v>
      </c>
      <c r="N182" s="19"/>
    </row>
    <row r="183">
      <c r="A183" s="161" t="s">
        <v>1280</v>
      </c>
      <c r="B183" s="115" t="s">
        <v>1281</v>
      </c>
      <c r="C183" s="22">
        <v>3900000.0</v>
      </c>
      <c r="D183" s="26">
        <v>2020.0</v>
      </c>
      <c r="E183" s="34" t="s">
        <v>2334</v>
      </c>
      <c r="F183" s="115" t="s">
        <v>28</v>
      </c>
      <c r="G183" s="115" t="s">
        <v>23</v>
      </c>
      <c r="H183" s="53"/>
      <c r="I183" s="130">
        <v>1.0</v>
      </c>
      <c r="J183" s="515"/>
      <c r="K183" s="53"/>
      <c r="L183" s="53" t="s">
        <v>1283</v>
      </c>
      <c r="M183" s="160" t="s">
        <v>1284</v>
      </c>
      <c r="N183" s="19"/>
    </row>
    <row r="184">
      <c r="A184" s="163" t="s">
        <v>1285</v>
      </c>
      <c r="B184" s="111" t="s">
        <v>1286</v>
      </c>
      <c r="C184" s="22">
        <v>7.0E7</v>
      </c>
      <c r="D184" s="26">
        <v>2020.0</v>
      </c>
      <c r="E184" s="26" t="s">
        <v>2211</v>
      </c>
      <c r="F184" s="26" t="s">
        <v>28</v>
      </c>
      <c r="G184" s="26" t="s">
        <v>23</v>
      </c>
      <c r="H184" s="26" t="s">
        <v>29</v>
      </c>
      <c r="I184" s="26">
        <v>5.0</v>
      </c>
      <c r="J184" s="513">
        <v>7.0E7</v>
      </c>
      <c r="K184" s="28"/>
      <c r="L184" s="53" t="s">
        <v>1289</v>
      </c>
      <c r="M184" s="106" t="s">
        <v>1290</v>
      </c>
      <c r="N184" s="113"/>
    </row>
    <row r="185">
      <c r="A185" s="163" t="s">
        <v>1291</v>
      </c>
      <c r="B185" s="34" t="s">
        <v>1292</v>
      </c>
      <c r="C185" s="22">
        <v>157000.0</v>
      </c>
      <c r="D185" s="26">
        <v>2020.0</v>
      </c>
      <c r="E185" s="26" t="s">
        <v>2460</v>
      </c>
      <c r="F185" s="26" t="s">
        <v>129</v>
      </c>
      <c r="G185" s="26" t="s">
        <v>23</v>
      </c>
      <c r="H185" s="28"/>
      <c r="I185" s="26">
        <v>2.0</v>
      </c>
      <c r="J185" s="515"/>
      <c r="K185" s="28"/>
      <c r="L185" s="53" t="s">
        <v>905</v>
      </c>
      <c r="M185" s="125" t="s">
        <v>1294</v>
      </c>
      <c r="N185" s="106" t="s">
        <v>1295</v>
      </c>
    </row>
    <row r="186">
      <c r="A186" s="164" t="s">
        <v>1296</v>
      </c>
      <c r="B186" s="115"/>
      <c r="C186" s="22">
        <v>1.5E7</v>
      </c>
      <c r="D186" s="26">
        <v>2020.0</v>
      </c>
      <c r="E186" s="34" t="s">
        <v>2280</v>
      </c>
      <c r="F186" s="34" t="s">
        <v>129</v>
      </c>
      <c r="G186" s="115" t="s">
        <v>23</v>
      </c>
      <c r="H186" s="53"/>
      <c r="I186" s="26">
        <v>3.0</v>
      </c>
      <c r="J186" s="515"/>
      <c r="K186" s="53"/>
      <c r="L186" s="53" t="s">
        <v>286</v>
      </c>
      <c r="M186" s="146" t="s">
        <v>1298</v>
      </c>
      <c r="N186" s="19"/>
    </row>
    <row r="187">
      <c r="A187" s="114" t="s">
        <v>1299</v>
      </c>
      <c r="B187" s="115" t="s">
        <v>1300</v>
      </c>
      <c r="C187" s="22">
        <v>500000.0</v>
      </c>
      <c r="D187" s="26">
        <v>2020.0</v>
      </c>
      <c r="E187" s="34" t="s">
        <v>2419</v>
      </c>
      <c r="F187" s="26" t="s">
        <v>2163</v>
      </c>
      <c r="G187" s="34" t="s">
        <v>23</v>
      </c>
      <c r="H187" s="53"/>
      <c r="I187" s="130">
        <v>1.0</v>
      </c>
      <c r="J187" s="515"/>
      <c r="K187" s="53"/>
      <c r="L187" s="53" t="s">
        <v>34</v>
      </c>
      <c r="M187" s="157" t="s">
        <v>1302</v>
      </c>
      <c r="N187" s="19"/>
    </row>
    <row r="188">
      <c r="A188" s="114" t="s">
        <v>1303</v>
      </c>
      <c r="B188" s="115" t="s">
        <v>1304</v>
      </c>
      <c r="C188" s="22">
        <v>2400000.0</v>
      </c>
      <c r="D188" s="26">
        <v>2020.0</v>
      </c>
      <c r="E188" s="34" t="s">
        <v>2356</v>
      </c>
      <c r="F188" s="34" t="s">
        <v>129</v>
      </c>
      <c r="G188" s="115" t="s">
        <v>23</v>
      </c>
      <c r="H188" s="53"/>
      <c r="I188" s="26">
        <v>5.0</v>
      </c>
      <c r="J188" s="515"/>
      <c r="K188" s="53"/>
      <c r="L188" s="53" t="s">
        <v>325</v>
      </c>
      <c r="M188" s="160" t="s">
        <v>1306</v>
      </c>
      <c r="N188" s="19"/>
    </row>
    <row r="189">
      <c r="A189" s="114" t="s">
        <v>882</v>
      </c>
      <c r="B189" s="115" t="s">
        <v>1307</v>
      </c>
      <c r="C189" s="22">
        <v>10000.0</v>
      </c>
      <c r="D189" s="26">
        <v>2020.0</v>
      </c>
      <c r="E189" s="34" t="s">
        <v>2502</v>
      </c>
      <c r="F189" s="422" t="s">
        <v>22</v>
      </c>
      <c r="G189" s="130" t="s">
        <v>23</v>
      </c>
      <c r="H189" s="53"/>
      <c r="I189" s="130">
        <v>1.0</v>
      </c>
      <c r="J189" s="515"/>
      <c r="K189" s="53"/>
      <c r="L189" s="53" t="s">
        <v>325</v>
      </c>
      <c r="M189" s="160" t="s">
        <v>1309</v>
      </c>
      <c r="N189" s="117"/>
    </row>
    <row r="190">
      <c r="A190" s="114" t="s">
        <v>1310</v>
      </c>
      <c r="B190" s="115" t="s">
        <v>1311</v>
      </c>
      <c r="C190" s="22">
        <v>8.0E7</v>
      </c>
      <c r="D190" s="26">
        <v>2020.0</v>
      </c>
      <c r="E190" s="34" t="s">
        <v>2209</v>
      </c>
      <c r="F190" s="130" t="s">
        <v>2514</v>
      </c>
      <c r="G190" s="115" t="s">
        <v>23</v>
      </c>
      <c r="H190" s="115" t="s">
        <v>29</v>
      </c>
      <c r="I190" s="26">
        <v>2.0</v>
      </c>
      <c r="J190" s="513">
        <v>8.0E7</v>
      </c>
      <c r="K190" s="53"/>
      <c r="L190" s="34" t="s">
        <v>688</v>
      </c>
      <c r="M190" s="135" t="s">
        <v>1314</v>
      </c>
      <c r="N190" s="19"/>
    </row>
    <row r="191">
      <c r="A191" s="163" t="s">
        <v>1315</v>
      </c>
      <c r="B191" s="111"/>
      <c r="C191" s="22">
        <v>4500000.0</v>
      </c>
      <c r="D191" s="26">
        <v>2020.0</v>
      </c>
      <c r="E191" s="26" t="s">
        <v>2226</v>
      </c>
      <c r="F191" s="26" t="s">
        <v>2514</v>
      </c>
      <c r="G191" s="26" t="s">
        <v>23</v>
      </c>
      <c r="H191" s="28"/>
      <c r="I191" s="26">
        <v>4.0</v>
      </c>
      <c r="J191" s="27">
        <v>4500000.0</v>
      </c>
      <c r="K191" s="28"/>
      <c r="L191" s="34" t="s">
        <v>1318</v>
      </c>
      <c r="M191" s="467" t="s">
        <v>1319</v>
      </c>
      <c r="N191" s="31"/>
    </row>
    <row r="192">
      <c r="A192" s="165" t="s">
        <v>509</v>
      </c>
      <c r="B192" s="130" t="s">
        <v>1320</v>
      </c>
      <c r="C192" s="22">
        <v>1100000.0</v>
      </c>
      <c r="D192" s="26">
        <v>2020.0</v>
      </c>
      <c r="E192" s="111" t="s">
        <v>2390</v>
      </c>
      <c r="F192" s="130" t="s">
        <v>43</v>
      </c>
      <c r="G192" s="130" t="s">
        <v>23</v>
      </c>
      <c r="H192" s="28"/>
      <c r="I192" s="26">
        <v>2.0</v>
      </c>
      <c r="J192" s="515"/>
      <c r="K192" s="28"/>
      <c r="L192" s="53" t="s">
        <v>841</v>
      </c>
      <c r="M192" s="166" t="s">
        <v>1322</v>
      </c>
      <c r="N192" s="166" t="s">
        <v>1323</v>
      </c>
    </row>
    <row r="193">
      <c r="A193" s="165" t="s">
        <v>1324</v>
      </c>
      <c r="B193" s="28"/>
      <c r="C193" s="22">
        <v>2400000.0</v>
      </c>
      <c r="D193" s="26">
        <v>2020.0</v>
      </c>
      <c r="E193" s="111" t="s">
        <v>2357</v>
      </c>
      <c r="F193" s="130" t="s">
        <v>28</v>
      </c>
      <c r="G193" s="130" t="s">
        <v>23</v>
      </c>
      <c r="H193" s="28"/>
      <c r="I193" s="130">
        <v>1.0</v>
      </c>
      <c r="J193" s="515"/>
      <c r="K193" s="28"/>
      <c r="L193" s="34" t="s">
        <v>918</v>
      </c>
      <c r="M193" s="106" t="s">
        <v>1326</v>
      </c>
      <c r="N193" s="113"/>
    </row>
    <row r="194">
      <c r="A194" s="20" t="s">
        <v>1327</v>
      </c>
      <c r="B194" s="28"/>
      <c r="C194" s="22">
        <v>4500000.0</v>
      </c>
      <c r="D194" s="26">
        <v>2020.0</v>
      </c>
      <c r="E194" s="26" t="s">
        <v>2321</v>
      </c>
      <c r="F194" s="130" t="s">
        <v>2514</v>
      </c>
      <c r="G194" s="130" t="s">
        <v>23</v>
      </c>
      <c r="H194" s="130" t="s">
        <v>29</v>
      </c>
      <c r="I194" s="26">
        <v>2.0</v>
      </c>
      <c r="J194" s="515"/>
      <c r="K194" s="28"/>
      <c r="L194" s="53" t="s">
        <v>1088</v>
      </c>
      <c r="M194" s="166" t="s">
        <v>1329</v>
      </c>
      <c r="N194" s="113"/>
    </row>
    <row r="195">
      <c r="A195" s="20" t="s">
        <v>1330</v>
      </c>
      <c r="B195" s="138"/>
      <c r="C195" s="22">
        <v>5190396.0</v>
      </c>
      <c r="D195" s="26">
        <v>2020.0</v>
      </c>
      <c r="E195" s="26" t="s">
        <v>2312</v>
      </c>
      <c r="F195" s="26" t="s">
        <v>64</v>
      </c>
      <c r="G195" s="419" t="s">
        <v>142</v>
      </c>
      <c r="H195" s="28"/>
      <c r="I195" s="26">
        <v>2.0</v>
      </c>
      <c r="J195" s="515"/>
      <c r="K195" s="28"/>
      <c r="L195" s="34" t="s">
        <v>1332</v>
      </c>
      <c r="M195" s="106" t="s">
        <v>1333</v>
      </c>
      <c r="N195" s="113"/>
    </row>
    <row r="196">
      <c r="A196" s="114" t="s">
        <v>1334</v>
      </c>
      <c r="B196" s="53"/>
      <c r="C196" s="22">
        <v>1.0E7</v>
      </c>
      <c r="D196" s="26">
        <v>2020.0</v>
      </c>
      <c r="E196" s="34" t="s">
        <v>2293</v>
      </c>
      <c r="F196" s="115" t="s">
        <v>2007</v>
      </c>
      <c r="G196" s="115" t="s">
        <v>23</v>
      </c>
      <c r="H196" s="53"/>
      <c r="I196" s="26">
        <v>2.0</v>
      </c>
      <c r="J196" s="515"/>
      <c r="K196" s="53"/>
      <c r="L196" s="53" t="s">
        <v>1336</v>
      </c>
      <c r="M196" s="116" t="s">
        <v>1337</v>
      </c>
      <c r="N196" s="19"/>
    </row>
    <row r="197">
      <c r="A197" s="165" t="s">
        <v>1338</v>
      </c>
      <c r="B197" s="53"/>
      <c r="C197" s="22">
        <v>146000.0</v>
      </c>
      <c r="D197" s="26">
        <v>2020.0</v>
      </c>
      <c r="E197" s="26" t="s">
        <v>2463</v>
      </c>
      <c r="F197" s="26" t="s">
        <v>2060</v>
      </c>
      <c r="G197" s="130" t="s">
        <v>51</v>
      </c>
      <c r="H197" s="28"/>
      <c r="I197" s="26">
        <v>2.0</v>
      </c>
      <c r="J197" s="515"/>
      <c r="K197" s="28"/>
      <c r="L197" s="53" t="s">
        <v>1338</v>
      </c>
      <c r="M197" s="166" t="s">
        <v>1340</v>
      </c>
      <c r="N197" s="166" t="s">
        <v>1341</v>
      </c>
    </row>
    <row r="198">
      <c r="A198" s="167" t="s">
        <v>1342</v>
      </c>
      <c r="B198" s="28"/>
      <c r="C198" s="22">
        <v>1.45E8</v>
      </c>
      <c r="D198" s="26">
        <v>2020.0</v>
      </c>
      <c r="E198" s="26" t="s">
        <v>2196</v>
      </c>
      <c r="F198" s="130" t="s">
        <v>28</v>
      </c>
      <c r="G198" s="130" t="s">
        <v>23</v>
      </c>
      <c r="H198" s="130" t="s">
        <v>29</v>
      </c>
      <c r="I198" s="130">
        <v>1.0</v>
      </c>
      <c r="J198" s="513">
        <v>1.45E8</v>
      </c>
      <c r="K198" s="28"/>
      <c r="L198" s="34" t="s">
        <v>591</v>
      </c>
      <c r="M198" s="106" t="s">
        <v>1345</v>
      </c>
      <c r="N198" s="113"/>
    </row>
    <row r="199">
      <c r="A199" s="161" t="s">
        <v>1346</v>
      </c>
      <c r="B199" s="53"/>
      <c r="C199" s="22">
        <v>4000000.0</v>
      </c>
      <c r="D199" s="26">
        <v>2020.0</v>
      </c>
      <c r="E199" s="34" t="s">
        <v>2327</v>
      </c>
      <c r="F199" s="115" t="s">
        <v>43</v>
      </c>
      <c r="G199" s="115" t="s">
        <v>23</v>
      </c>
      <c r="H199" s="53"/>
      <c r="I199" s="26">
        <v>3.0</v>
      </c>
      <c r="J199" s="515"/>
      <c r="K199" s="53"/>
      <c r="L199" s="53" t="s">
        <v>1348</v>
      </c>
      <c r="M199" s="116" t="s">
        <v>1349</v>
      </c>
      <c r="N199" s="19"/>
    </row>
    <row r="200">
      <c r="A200" s="167" t="s">
        <v>1350</v>
      </c>
      <c r="B200" s="28"/>
      <c r="C200" s="22">
        <v>4000000.0</v>
      </c>
      <c r="D200" s="26">
        <v>2020.0</v>
      </c>
      <c r="E200" s="26" t="s">
        <v>2328</v>
      </c>
      <c r="F200" s="130" t="s">
        <v>2153</v>
      </c>
      <c r="G200" s="130" t="s">
        <v>23</v>
      </c>
      <c r="H200" s="28"/>
      <c r="I200" s="130">
        <v>1.0</v>
      </c>
      <c r="J200" s="515"/>
      <c r="K200" s="28"/>
      <c r="L200" s="53" t="s">
        <v>1352</v>
      </c>
      <c r="M200" s="166" t="s">
        <v>1353</v>
      </c>
      <c r="N200" s="113"/>
    </row>
    <row r="201">
      <c r="A201" s="114" t="s">
        <v>1354</v>
      </c>
      <c r="B201" s="53"/>
      <c r="C201" s="22">
        <v>7.6E7</v>
      </c>
      <c r="D201" s="26">
        <v>2020.0</v>
      </c>
      <c r="E201" s="34" t="s">
        <v>2210</v>
      </c>
      <c r="F201" s="130" t="s">
        <v>2153</v>
      </c>
      <c r="G201" s="115" t="s">
        <v>23</v>
      </c>
      <c r="H201" s="115" t="s">
        <v>29</v>
      </c>
      <c r="I201" s="26">
        <v>3.0</v>
      </c>
      <c r="J201" s="513">
        <v>7.6E7</v>
      </c>
      <c r="K201" s="53"/>
      <c r="L201" s="53" t="s">
        <v>1357</v>
      </c>
      <c r="M201" s="116" t="s">
        <v>1358</v>
      </c>
      <c r="N201" s="19"/>
    </row>
    <row r="202">
      <c r="A202" s="165" t="s">
        <v>1359</v>
      </c>
      <c r="B202" s="28"/>
      <c r="C202" s="22">
        <v>52000.0</v>
      </c>
      <c r="D202" s="26">
        <v>2020.0</v>
      </c>
      <c r="E202" s="26" t="s">
        <v>2491</v>
      </c>
      <c r="F202" s="130" t="s">
        <v>22</v>
      </c>
      <c r="G202" s="130" t="s">
        <v>51</v>
      </c>
      <c r="H202" s="130" t="s">
        <v>29</v>
      </c>
      <c r="I202" s="130">
        <v>1.0</v>
      </c>
      <c r="J202" s="515"/>
      <c r="K202" s="28"/>
      <c r="L202" s="53" t="s">
        <v>902</v>
      </c>
      <c r="M202" s="166" t="s">
        <v>1361</v>
      </c>
      <c r="N202" s="113"/>
    </row>
    <row r="203">
      <c r="A203" s="20" t="s">
        <v>1362</v>
      </c>
      <c r="B203" s="26"/>
      <c r="C203" s="22">
        <v>2700000.0</v>
      </c>
      <c r="D203" s="26">
        <v>2020.0</v>
      </c>
      <c r="E203" s="26" t="s">
        <v>2350</v>
      </c>
      <c r="F203" s="26" t="s">
        <v>2153</v>
      </c>
      <c r="G203" s="150" t="s">
        <v>23</v>
      </c>
      <c r="H203" s="28"/>
      <c r="I203" s="26">
        <v>4.0</v>
      </c>
      <c r="J203" s="515"/>
      <c r="K203" s="110"/>
      <c r="L203" s="53" t="s">
        <v>286</v>
      </c>
      <c r="M203" s="106" t="s">
        <v>1364</v>
      </c>
      <c r="N203" s="113"/>
    </row>
    <row r="204">
      <c r="A204" s="165" t="s">
        <v>1365</v>
      </c>
      <c r="B204" s="53"/>
      <c r="C204" s="22">
        <v>750000.0</v>
      </c>
      <c r="D204" s="26">
        <v>2020.0</v>
      </c>
      <c r="E204" s="26" t="s">
        <v>2408</v>
      </c>
      <c r="F204" s="130" t="s">
        <v>22</v>
      </c>
      <c r="G204" s="130" t="s">
        <v>23</v>
      </c>
      <c r="H204" s="28"/>
      <c r="I204" s="26">
        <v>2.0</v>
      </c>
      <c r="J204" s="515"/>
      <c r="K204" s="28"/>
      <c r="L204" s="34" t="s">
        <v>1367</v>
      </c>
      <c r="M204" s="166" t="s">
        <v>1368</v>
      </c>
      <c r="N204" s="166" t="s">
        <v>1369</v>
      </c>
    </row>
    <row r="205">
      <c r="A205" s="165" t="s">
        <v>1370</v>
      </c>
      <c r="B205" s="53"/>
      <c r="C205" s="22">
        <v>1160000.0</v>
      </c>
      <c r="D205" s="26">
        <v>2020.0</v>
      </c>
      <c r="E205" s="26" t="s">
        <v>2388</v>
      </c>
      <c r="F205" s="26" t="s">
        <v>43</v>
      </c>
      <c r="G205" s="130" t="s">
        <v>23</v>
      </c>
      <c r="H205" s="28"/>
      <c r="I205" s="26">
        <v>3.0</v>
      </c>
      <c r="J205" s="515"/>
      <c r="K205" s="28"/>
      <c r="L205" s="53" t="s">
        <v>817</v>
      </c>
      <c r="M205" s="166" t="s">
        <v>1372</v>
      </c>
      <c r="N205" s="113"/>
    </row>
    <row r="206">
      <c r="A206" s="52" t="s">
        <v>1373</v>
      </c>
      <c r="B206" s="53"/>
      <c r="C206" s="22">
        <v>5000000.0</v>
      </c>
      <c r="D206" s="26">
        <v>2020.0</v>
      </c>
      <c r="E206" s="34" t="s">
        <v>2317</v>
      </c>
      <c r="F206" s="115" t="s">
        <v>28</v>
      </c>
      <c r="G206" s="115" t="s">
        <v>23</v>
      </c>
      <c r="H206" s="115" t="s">
        <v>29</v>
      </c>
      <c r="I206" s="130">
        <v>1.0</v>
      </c>
      <c r="J206" s="515"/>
      <c r="K206" s="53"/>
      <c r="L206" s="53" t="s">
        <v>1375</v>
      </c>
      <c r="M206" s="116" t="s">
        <v>1376</v>
      </c>
      <c r="N206" s="19"/>
    </row>
    <row r="207">
      <c r="A207" s="114" t="s">
        <v>1377</v>
      </c>
      <c r="B207" s="53"/>
      <c r="C207" s="22">
        <v>5.6E7</v>
      </c>
      <c r="D207" s="26">
        <v>2020.0</v>
      </c>
      <c r="E207" s="34" t="s">
        <v>2241</v>
      </c>
      <c r="F207" s="115" t="s">
        <v>43</v>
      </c>
      <c r="G207" s="115" t="s">
        <v>23</v>
      </c>
      <c r="H207" s="115" t="s">
        <v>29</v>
      </c>
      <c r="I207" s="26">
        <v>3.0</v>
      </c>
      <c r="J207" s="515"/>
      <c r="K207" s="53"/>
      <c r="L207" s="53" t="s">
        <v>702</v>
      </c>
      <c r="M207" s="116" t="s">
        <v>1379</v>
      </c>
      <c r="N207" s="19"/>
    </row>
    <row r="208">
      <c r="A208" s="114" t="s">
        <v>1380</v>
      </c>
      <c r="B208" s="53"/>
      <c r="C208" s="22">
        <v>2.0E7</v>
      </c>
      <c r="D208" s="26">
        <v>2020.0</v>
      </c>
      <c r="E208" s="34" t="s">
        <v>2273</v>
      </c>
      <c r="F208" s="115" t="s">
        <v>2153</v>
      </c>
      <c r="G208" s="115" t="s">
        <v>59</v>
      </c>
      <c r="H208" s="53"/>
      <c r="I208" s="26">
        <v>5.0</v>
      </c>
      <c r="J208" s="515"/>
      <c r="K208" s="53"/>
      <c r="L208" s="53" t="s">
        <v>1382</v>
      </c>
      <c r="M208" s="116" t="s">
        <v>1383</v>
      </c>
      <c r="N208" s="19"/>
    </row>
    <row r="209">
      <c r="A209" s="165" t="s">
        <v>1384</v>
      </c>
      <c r="B209" s="28"/>
      <c r="C209" s="22">
        <v>600000.0</v>
      </c>
      <c r="D209" s="26">
        <v>2020.0</v>
      </c>
      <c r="E209" s="26" t="s">
        <v>2411</v>
      </c>
      <c r="F209" s="26" t="s">
        <v>43</v>
      </c>
      <c r="G209" s="130" t="s">
        <v>23</v>
      </c>
      <c r="H209" s="28"/>
      <c r="I209" s="130">
        <v>1.0</v>
      </c>
      <c r="J209" s="515"/>
      <c r="K209" s="28"/>
      <c r="L209" s="53" t="s">
        <v>325</v>
      </c>
      <c r="M209" s="166" t="s">
        <v>1386</v>
      </c>
      <c r="N209" s="113"/>
    </row>
    <row r="210">
      <c r="A210" s="165" t="s">
        <v>1387</v>
      </c>
      <c r="B210" s="28"/>
      <c r="C210" s="22">
        <v>76000.0</v>
      </c>
      <c r="D210" s="26">
        <v>2020.0</v>
      </c>
      <c r="E210" s="26" t="s">
        <v>2486</v>
      </c>
      <c r="F210" s="130" t="s">
        <v>28</v>
      </c>
      <c r="G210" s="130" t="s">
        <v>51</v>
      </c>
      <c r="H210" s="28"/>
      <c r="I210" s="26">
        <v>2.0</v>
      </c>
      <c r="J210" s="515"/>
      <c r="K210" s="28"/>
      <c r="L210" s="53" t="s">
        <v>325</v>
      </c>
      <c r="M210" s="166" t="s">
        <v>1389</v>
      </c>
      <c r="N210" s="113"/>
    </row>
    <row r="211">
      <c r="A211" s="165" t="s">
        <v>1390</v>
      </c>
      <c r="B211" s="130" t="s">
        <v>1391</v>
      </c>
      <c r="C211" s="22">
        <v>1.6E8</v>
      </c>
      <c r="D211" s="26">
        <v>2020.0</v>
      </c>
      <c r="E211" s="26" t="s">
        <v>2194</v>
      </c>
      <c r="F211" s="130" t="s">
        <v>2153</v>
      </c>
      <c r="G211" s="130" t="s">
        <v>23</v>
      </c>
      <c r="H211" s="130" t="s">
        <v>29</v>
      </c>
      <c r="I211" s="26">
        <v>5.0</v>
      </c>
      <c r="J211" s="513">
        <v>1.6E8</v>
      </c>
      <c r="K211" s="28"/>
      <c r="L211" s="34" t="s">
        <v>1394</v>
      </c>
      <c r="M211" s="106" t="s">
        <v>1395</v>
      </c>
      <c r="N211" s="113"/>
    </row>
    <row r="212">
      <c r="A212" s="114" t="s">
        <v>1396</v>
      </c>
      <c r="B212" s="28"/>
      <c r="C212" s="22">
        <v>344579.0</v>
      </c>
      <c r="D212" s="26">
        <v>2020.0</v>
      </c>
      <c r="E212" s="26" t="s">
        <v>2430</v>
      </c>
      <c r="F212" s="130" t="s">
        <v>2514</v>
      </c>
      <c r="G212" s="26" t="s">
        <v>1034</v>
      </c>
      <c r="H212" s="130" t="s">
        <v>29</v>
      </c>
      <c r="I212" s="26">
        <v>4.0</v>
      </c>
      <c r="J212" s="515"/>
      <c r="K212" s="53"/>
      <c r="L212" s="34" t="s">
        <v>1398</v>
      </c>
      <c r="M212" s="135" t="s">
        <v>1399</v>
      </c>
      <c r="N212" s="136"/>
    </row>
    <row r="213">
      <c r="A213" s="168" t="s">
        <v>1400</v>
      </c>
      <c r="B213" s="169"/>
      <c r="C213" s="170">
        <v>150000.0</v>
      </c>
      <c r="D213" s="26">
        <v>2020.0</v>
      </c>
      <c r="E213" s="173" t="s">
        <v>2462</v>
      </c>
      <c r="F213" s="175" t="s">
        <v>2153</v>
      </c>
      <c r="G213" s="459" t="s">
        <v>142</v>
      </c>
      <c r="H213" s="175" t="s">
        <v>29</v>
      </c>
      <c r="I213" s="173">
        <v>2.0</v>
      </c>
      <c r="J213" s="519"/>
      <c r="K213" s="177"/>
      <c r="L213" s="169" t="s">
        <v>1110</v>
      </c>
      <c r="M213" s="178" t="s">
        <v>1402</v>
      </c>
      <c r="N213" s="179"/>
    </row>
    <row r="214">
      <c r="A214" s="165" t="s">
        <v>1403</v>
      </c>
      <c r="B214" s="130" t="s">
        <v>1404</v>
      </c>
      <c r="C214" s="22">
        <v>4.0E7</v>
      </c>
      <c r="D214" s="26">
        <v>2020.0</v>
      </c>
      <c r="E214" s="111" t="s">
        <v>2253</v>
      </c>
      <c r="F214" s="130" t="s">
        <v>28</v>
      </c>
      <c r="G214" s="130" t="s">
        <v>23</v>
      </c>
      <c r="H214" s="28"/>
      <c r="I214" s="130">
        <v>1.0</v>
      </c>
      <c r="J214" s="515"/>
      <c r="K214" s="28"/>
      <c r="L214" s="105" t="s">
        <v>1406</v>
      </c>
      <c r="M214" s="166" t="s">
        <v>1407</v>
      </c>
      <c r="N214" s="106" t="s">
        <v>1408</v>
      </c>
    </row>
    <row r="215">
      <c r="A215" s="165" t="s">
        <v>1409</v>
      </c>
      <c r="B215" s="130" t="s">
        <v>1410</v>
      </c>
      <c r="C215" s="119">
        <f>0.01*50000000</f>
        <v>500000</v>
      </c>
      <c r="D215" s="26">
        <v>2020.0</v>
      </c>
      <c r="E215" s="26" t="s">
        <v>2420</v>
      </c>
      <c r="F215" s="130" t="s">
        <v>28</v>
      </c>
      <c r="G215" s="130" t="s">
        <v>23</v>
      </c>
      <c r="H215" s="28"/>
      <c r="I215" s="130">
        <v>1.0</v>
      </c>
      <c r="J215" s="515"/>
      <c r="K215" s="28"/>
      <c r="L215" s="105" t="s">
        <v>1412</v>
      </c>
      <c r="M215" s="166" t="s">
        <v>1413</v>
      </c>
      <c r="N215" s="166" t="s">
        <v>1414</v>
      </c>
    </row>
    <row r="216">
      <c r="A216" s="539" t="s">
        <v>2534</v>
      </c>
      <c r="B216" s="540"/>
      <c r="C216" s="525">
        <v>1700000.0</v>
      </c>
      <c r="D216" s="26">
        <v>2020.0</v>
      </c>
      <c r="E216" s="526" t="s">
        <v>2535</v>
      </c>
      <c r="F216" s="541" t="s">
        <v>64</v>
      </c>
      <c r="G216" s="541" t="s">
        <v>59</v>
      </c>
      <c r="H216" s="527"/>
      <c r="I216" s="526">
        <v>3.0</v>
      </c>
      <c r="J216" s="542"/>
      <c r="K216" s="527"/>
      <c r="L216" s="543" t="s">
        <v>2536</v>
      </c>
      <c r="M216" s="544" t="s">
        <v>2537</v>
      </c>
      <c r="N216" s="538"/>
    </row>
    <row r="217">
      <c r="A217" s="165" t="s">
        <v>1415</v>
      </c>
      <c r="B217" s="130" t="s">
        <v>1416</v>
      </c>
      <c r="C217" s="22">
        <v>5.0E7</v>
      </c>
      <c r="D217" s="26">
        <v>2020.0</v>
      </c>
      <c r="E217" s="26" t="s">
        <v>2243</v>
      </c>
      <c r="F217" s="130" t="s">
        <v>28</v>
      </c>
      <c r="G217" s="130" t="s">
        <v>23</v>
      </c>
      <c r="H217" s="28"/>
      <c r="I217" s="26">
        <v>1.0</v>
      </c>
      <c r="J217" s="515"/>
      <c r="K217" s="28"/>
      <c r="L217" s="34" t="s">
        <v>1418</v>
      </c>
      <c r="M217" s="116" t="s">
        <v>1419</v>
      </c>
      <c r="N217" s="166" t="s">
        <v>1420</v>
      </c>
    </row>
    <row r="218">
      <c r="A218" s="20" t="s">
        <v>996</v>
      </c>
      <c r="B218" s="26"/>
      <c r="C218" s="22">
        <v>1.0E9</v>
      </c>
      <c r="D218" s="26">
        <v>2020.0</v>
      </c>
      <c r="E218" s="26" t="s">
        <v>2178</v>
      </c>
      <c r="F218" s="26" t="s">
        <v>28</v>
      </c>
      <c r="G218" s="26" t="s">
        <v>23</v>
      </c>
      <c r="H218" s="28"/>
      <c r="I218" s="26">
        <v>2.0</v>
      </c>
      <c r="J218" s="22">
        <v>3.0E9</v>
      </c>
      <c r="K218" s="28"/>
      <c r="L218" s="34" t="s">
        <v>1423</v>
      </c>
      <c r="M218" s="106" t="s">
        <v>1424</v>
      </c>
      <c r="N218" s="466" t="s">
        <v>1425</v>
      </c>
    </row>
    <row r="219">
      <c r="A219" s="165" t="s">
        <v>1426</v>
      </c>
      <c r="B219" s="28"/>
      <c r="C219" s="22">
        <v>4600000.0</v>
      </c>
      <c r="D219" s="26">
        <v>2020.0</v>
      </c>
      <c r="E219" s="111" t="s">
        <v>2320</v>
      </c>
      <c r="F219" s="130" t="s">
        <v>71</v>
      </c>
      <c r="G219" s="130" t="s">
        <v>23</v>
      </c>
      <c r="H219" s="28"/>
      <c r="I219" s="26">
        <v>2.0</v>
      </c>
      <c r="J219" s="515"/>
      <c r="K219" s="28"/>
      <c r="L219" s="34" t="s">
        <v>905</v>
      </c>
      <c r="M219" s="106" t="s">
        <v>1428</v>
      </c>
      <c r="N219" s="113"/>
    </row>
    <row r="220">
      <c r="A220" s="20" t="s">
        <v>1429</v>
      </c>
      <c r="B220" s="28"/>
      <c r="C220" s="22">
        <v>74000.0</v>
      </c>
      <c r="D220" s="26">
        <v>2020.0</v>
      </c>
      <c r="E220" s="26" t="s">
        <v>2487</v>
      </c>
      <c r="F220" s="26" t="s">
        <v>2060</v>
      </c>
      <c r="G220" s="26" t="s">
        <v>23</v>
      </c>
      <c r="H220" s="28"/>
      <c r="I220" s="26">
        <v>2.0</v>
      </c>
      <c r="J220" s="515"/>
      <c r="K220" s="28"/>
      <c r="L220" s="105" t="s">
        <v>1429</v>
      </c>
      <c r="M220" s="106" t="s">
        <v>1431</v>
      </c>
      <c r="N220" s="113"/>
    </row>
    <row r="221">
      <c r="A221" s="165" t="s">
        <v>1432</v>
      </c>
      <c r="B221" s="28"/>
      <c r="C221" s="22">
        <v>110000.0</v>
      </c>
      <c r="D221" s="26">
        <v>2020.0</v>
      </c>
      <c r="E221" s="26" t="s">
        <v>2473</v>
      </c>
      <c r="F221" s="130" t="s">
        <v>2125</v>
      </c>
      <c r="G221" s="130" t="s">
        <v>23</v>
      </c>
      <c r="H221" s="28"/>
      <c r="I221" s="26">
        <v>3.0</v>
      </c>
      <c r="J221" s="515"/>
      <c r="K221" s="28"/>
      <c r="L221" s="105" t="s">
        <v>1434</v>
      </c>
      <c r="M221" s="106" t="s">
        <v>1435</v>
      </c>
      <c r="N221" s="113"/>
    </row>
    <row r="222">
      <c r="A222" s="165" t="s">
        <v>407</v>
      </c>
      <c r="B222" s="28"/>
      <c r="C222" s="22">
        <v>250000.0</v>
      </c>
      <c r="D222" s="26">
        <v>2020.0</v>
      </c>
      <c r="E222" s="26" t="s">
        <v>2442</v>
      </c>
      <c r="F222" s="130" t="s">
        <v>28</v>
      </c>
      <c r="G222" s="26" t="s">
        <v>23</v>
      </c>
      <c r="H222" s="28"/>
      <c r="I222" s="130">
        <v>1.0</v>
      </c>
      <c r="J222" s="515"/>
      <c r="K222" s="28"/>
      <c r="L222" s="105" t="s">
        <v>1088</v>
      </c>
      <c r="M222" s="106" t="s">
        <v>1437</v>
      </c>
      <c r="N222" s="113"/>
    </row>
    <row r="223">
      <c r="A223" s="165" t="s">
        <v>1438</v>
      </c>
      <c r="B223" s="28"/>
      <c r="C223" s="22">
        <v>100000.0</v>
      </c>
      <c r="D223" s="26">
        <v>2020.0</v>
      </c>
      <c r="E223" s="26" t="s">
        <v>2479</v>
      </c>
      <c r="F223" s="130" t="s">
        <v>2514</v>
      </c>
      <c r="G223" s="26" t="s">
        <v>1034</v>
      </c>
      <c r="H223" s="28"/>
      <c r="I223" s="26">
        <v>4.0</v>
      </c>
      <c r="J223" s="515"/>
      <c r="K223" s="28"/>
      <c r="L223" s="34" t="s">
        <v>1440</v>
      </c>
      <c r="M223" s="106" t="s">
        <v>1441</v>
      </c>
      <c r="N223" s="113"/>
    </row>
    <row r="224">
      <c r="A224" s="165" t="s">
        <v>1442</v>
      </c>
      <c r="B224" s="130"/>
      <c r="C224" s="22">
        <v>100000.0</v>
      </c>
      <c r="D224" s="26">
        <v>2020.0</v>
      </c>
      <c r="E224" s="26" t="s">
        <v>2480</v>
      </c>
      <c r="F224" s="130" t="s">
        <v>64</v>
      </c>
      <c r="G224" s="26" t="s">
        <v>1034</v>
      </c>
      <c r="H224" s="28"/>
      <c r="I224" s="26">
        <v>2.0</v>
      </c>
      <c r="J224" s="515"/>
      <c r="K224" s="28"/>
      <c r="L224" s="34" t="s">
        <v>1026</v>
      </c>
      <c r="M224" s="106" t="s">
        <v>1444</v>
      </c>
      <c r="N224" s="113"/>
    </row>
    <row r="225">
      <c r="A225" s="165" t="s">
        <v>1445</v>
      </c>
      <c r="B225" s="53"/>
      <c r="C225" s="22">
        <v>4000000.0</v>
      </c>
      <c r="D225" s="26">
        <v>2020.0</v>
      </c>
      <c r="E225" s="26" t="s">
        <v>2329</v>
      </c>
      <c r="F225" s="130" t="s">
        <v>2514</v>
      </c>
      <c r="G225" s="26" t="s">
        <v>1034</v>
      </c>
      <c r="H225" s="130" t="s">
        <v>29</v>
      </c>
      <c r="I225" s="26">
        <v>2.0</v>
      </c>
      <c r="J225" s="515"/>
      <c r="K225" s="28"/>
      <c r="L225" s="53" t="s">
        <v>1318</v>
      </c>
      <c r="M225" s="166" t="s">
        <v>1447</v>
      </c>
      <c r="N225" s="109"/>
    </row>
    <row r="226">
      <c r="A226" s="165" t="s">
        <v>1448</v>
      </c>
      <c r="B226" s="111" t="s">
        <v>1449</v>
      </c>
      <c r="C226" s="22"/>
      <c r="D226" s="26">
        <v>2020.0</v>
      </c>
      <c r="E226" s="34" t="s">
        <v>2448</v>
      </c>
      <c r="F226" s="130" t="s">
        <v>28</v>
      </c>
      <c r="G226" s="130" t="s">
        <v>23</v>
      </c>
      <c r="H226" s="28"/>
      <c r="I226" s="26">
        <v>2.0</v>
      </c>
      <c r="J226" s="515"/>
      <c r="K226" s="28"/>
      <c r="L226" s="53" t="s">
        <v>1448</v>
      </c>
      <c r="M226" s="166" t="s">
        <v>1451</v>
      </c>
      <c r="N226" s="113"/>
    </row>
    <row r="227">
      <c r="A227" s="114" t="s">
        <v>1452</v>
      </c>
      <c r="B227" s="28"/>
      <c r="C227" s="22">
        <v>275000.0</v>
      </c>
      <c r="D227" s="26">
        <v>2020.0</v>
      </c>
      <c r="E227" s="26" t="s">
        <v>2438</v>
      </c>
      <c r="F227" s="26" t="s">
        <v>1227</v>
      </c>
      <c r="G227" s="130" t="s">
        <v>23</v>
      </c>
      <c r="H227" s="28"/>
      <c r="I227" s="130">
        <v>1.0</v>
      </c>
      <c r="J227" s="515"/>
      <c r="K227" s="28"/>
      <c r="L227" s="53" t="s">
        <v>325</v>
      </c>
      <c r="M227" s="166" t="s">
        <v>1454</v>
      </c>
      <c r="N227" s="19"/>
    </row>
    <row r="228">
      <c r="A228" s="165" t="s">
        <v>1455</v>
      </c>
      <c r="B228" s="111" t="s">
        <v>1456</v>
      </c>
      <c r="C228" s="22">
        <v>500000.0</v>
      </c>
      <c r="D228" s="26">
        <v>2020.0</v>
      </c>
      <c r="E228" s="26" t="s">
        <v>2421</v>
      </c>
      <c r="F228" s="130" t="s">
        <v>2153</v>
      </c>
      <c r="G228" s="130" t="s">
        <v>23</v>
      </c>
      <c r="H228" s="130" t="s">
        <v>29</v>
      </c>
      <c r="I228" s="130">
        <v>1.0</v>
      </c>
      <c r="J228" s="515"/>
      <c r="K228" s="28"/>
      <c r="L228" s="53" t="s">
        <v>286</v>
      </c>
      <c r="M228" s="106" t="s">
        <v>1458</v>
      </c>
      <c r="N228" s="113"/>
    </row>
    <row r="229">
      <c r="A229" s="114" t="s">
        <v>1459</v>
      </c>
      <c r="B229" s="115" t="s">
        <v>1460</v>
      </c>
      <c r="C229" s="22">
        <v>5.8E7</v>
      </c>
      <c r="D229" s="26">
        <v>2020.0</v>
      </c>
      <c r="E229" s="34" t="s">
        <v>2240</v>
      </c>
      <c r="F229" s="115" t="s">
        <v>236</v>
      </c>
      <c r="G229" s="115" t="s">
        <v>23</v>
      </c>
      <c r="H229" s="53"/>
      <c r="I229" s="26">
        <v>2.0</v>
      </c>
      <c r="J229" s="515"/>
      <c r="K229" s="53"/>
      <c r="L229" s="34" t="s">
        <v>905</v>
      </c>
      <c r="M229" s="106" t="s">
        <v>1462</v>
      </c>
      <c r="N229" s="19"/>
    </row>
    <row r="230">
      <c r="A230" s="165" t="s">
        <v>1463</v>
      </c>
      <c r="B230" s="130" t="s">
        <v>1464</v>
      </c>
      <c r="C230" s="22">
        <v>2000000.0</v>
      </c>
      <c r="D230" s="26">
        <v>2020.0</v>
      </c>
      <c r="E230" s="26" t="s">
        <v>2365</v>
      </c>
      <c r="F230" s="26" t="s">
        <v>1227</v>
      </c>
      <c r="G230" s="130" t="s">
        <v>23</v>
      </c>
      <c r="H230" s="130" t="s">
        <v>29</v>
      </c>
      <c r="I230" s="26">
        <v>3.0</v>
      </c>
      <c r="J230" s="515"/>
      <c r="K230" s="28"/>
      <c r="L230" s="105" t="s">
        <v>247</v>
      </c>
      <c r="M230" s="106" t="s">
        <v>1466</v>
      </c>
      <c r="N230" s="113"/>
    </row>
    <row r="231">
      <c r="A231" s="114" t="s">
        <v>631</v>
      </c>
      <c r="B231" s="115" t="s">
        <v>1467</v>
      </c>
      <c r="C231" s="22">
        <v>4000000.0</v>
      </c>
      <c r="D231" s="26">
        <v>2020.0</v>
      </c>
      <c r="E231" s="34" t="s">
        <v>2330</v>
      </c>
      <c r="F231" s="115" t="s">
        <v>236</v>
      </c>
      <c r="G231" s="115" t="s">
        <v>23</v>
      </c>
      <c r="H231" s="57"/>
      <c r="I231" s="26">
        <v>2.0</v>
      </c>
      <c r="J231" s="515"/>
      <c r="K231" s="53"/>
      <c r="L231" s="34" t="s">
        <v>571</v>
      </c>
      <c r="M231" s="135" t="s">
        <v>1469</v>
      </c>
      <c r="N231" s="19"/>
    </row>
    <row r="232">
      <c r="A232" s="20" t="s">
        <v>1470</v>
      </c>
      <c r="B232" s="26"/>
      <c r="C232" s="22">
        <v>1500000.0</v>
      </c>
      <c r="D232" s="26">
        <v>2020.0</v>
      </c>
      <c r="E232" s="34" t="s">
        <v>2378</v>
      </c>
      <c r="F232" s="26" t="s">
        <v>64</v>
      </c>
      <c r="G232" s="26" t="s">
        <v>59</v>
      </c>
      <c r="H232" s="26" t="s">
        <v>29</v>
      </c>
      <c r="I232" s="26">
        <v>5.0</v>
      </c>
      <c r="J232" s="515"/>
      <c r="K232" s="28"/>
      <c r="L232" s="53" t="s">
        <v>591</v>
      </c>
      <c r="M232" s="106" t="s">
        <v>1472</v>
      </c>
      <c r="N232" s="113"/>
    </row>
    <row r="233">
      <c r="A233" s="114" t="s">
        <v>588</v>
      </c>
      <c r="B233" s="53"/>
      <c r="C233" s="22">
        <v>6000000.0</v>
      </c>
      <c r="D233" s="26">
        <v>2020.0</v>
      </c>
      <c r="E233" s="34" t="s">
        <v>2309</v>
      </c>
      <c r="F233" s="130" t="s">
        <v>28</v>
      </c>
      <c r="G233" s="419" t="s">
        <v>142</v>
      </c>
      <c r="H233" s="53"/>
      <c r="I233" s="130">
        <v>1.0</v>
      </c>
      <c r="J233" s="515"/>
      <c r="K233" s="53"/>
      <c r="L233" s="53" t="s">
        <v>588</v>
      </c>
      <c r="M233" s="135" t="s">
        <v>1474</v>
      </c>
      <c r="N233" s="19"/>
    </row>
    <row r="234">
      <c r="A234" s="165" t="s">
        <v>1475</v>
      </c>
      <c r="B234" s="130" t="s">
        <v>1476</v>
      </c>
      <c r="C234" s="22">
        <v>5.0E7</v>
      </c>
      <c r="D234" s="26">
        <v>2020.0</v>
      </c>
      <c r="E234" s="26" t="s">
        <v>2244</v>
      </c>
      <c r="F234" s="130" t="s">
        <v>28</v>
      </c>
      <c r="G234" s="130" t="s">
        <v>23</v>
      </c>
      <c r="H234" s="28"/>
      <c r="I234" s="130">
        <v>1.0</v>
      </c>
      <c r="J234" s="515"/>
      <c r="K234" s="28"/>
      <c r="L234" s="105" t="s">
        <v>1478</v>
      </c>
      <c r="M234" s="106" t="s">
        <v>1479</v>
      </c>
      <c r="N234" s="166" t="s">
        <v>1480</v>
      </c>
    </row>
    <row r="235">
      <c r="A235" s="165" t="s">
        <v>1481</v>
      </c>
      <c r="B235" s="130" t="s">
        <v>1482</v>
      </c>
      <c r="C235" s="22">
        <v>125000.0</v>
      </c>
      <c r="D235" s="26">
        <v>2020.0</v>
      </c>
      <c r="E235" s="26" t="s">
        <v>2467</v>
      </c>
      <c r="F235" s="26" t="s">
        <v>2060</v>
      </c>
      <c r="G235" s="130" t="s">
        <v>23</v>
      </c>
      <c r="H235" s="28"/>
      <c r="I235" s="26">
        <v>2.0</v>
      </c>
      <c r="J235" s="515"/>
      <c r="K235" s="28"/>
      <c r="L235" s="105" t="s">
        <v>1434</v>
      </c>
      <c r="M235" s="106" t="s">
        <v>1484</v>
      </c>
      <c r="N235" s="109"/>
    </row>
    <row r="236">
      <c r="A236" s="165" t="s">
        <v>1485</v>
      </c>
      <c r="B236" s="28"/>
      <c r="C236" s="22">
        <v>2.2E7</v>
      </c>
      <c r="D236" s="26">
        <v>2020.0</v>
      </c>
      <c r="E236" s="26" t="s">
        <v>2270</v>
      </c>
      <c r="F236" s="130" t="s">
        <v>1227</v>
      </c>
      <c r="G236" s="130" t="s">
        <v>23</v>
      </c>
      <c r="H236" s="28"/>
      <c r="I236" s="130">
        <v>1.0</v>
      </c>
      <c r="J236" s="515"/>
      <c r="K236" s="28"/>
      <c r="L236" s="53" t="s">
        <v>286</v>
      </c>
      <c r="M236" s="106" t="s">
        <v>1487</v>
      </c>
      <c r="N236" s="113"/>
    </row>
    <row r="237">
      <c r="A237" s="165" t="s">
        <v>1488</v>
      </c>
      <c r="B237" s="130" t="s">
        <v>1489</v>
      </c>
      <c r="C237" s="22">
        <v>1000000.0</v>
      </c>
      <c r="D237" s="26">
        <v>2020.0</v>
      </c>
      <c r="E237" s="26" t="s">
        <v>2393</v>
      </c>
      <c r="F237" s="130" t="s">
        <v>28</v>
      </c>
      <c r="G237" s="130" t="s">
        <v>23</v>
      </c>
      <c r="H237" s="28"/>
      <c r="I237" s="130">
        <v>1.0</v>
      </c>
      <c r="J237" s="515"/>
      <c r="K237" s="28"/>
      <c r="L237" s="53" t="s">
        <v>247</v>
      </c>
      <c r="M237" s="106" t="s">
        <v>1491</v>
      </c>
      <c r="N237" s="113"/>
    </row>
    <row r="238">
      <c r="A238" s="165" t="s">
        <v>1492</v>
      </c>
      <c r="B238" s="28"/>
      <c r="C238" s="22">
        <v>170000.0</v>
      </c>
      <c r="D238" s="26">
        <v>2020.0</v>
      </c>
      <c r="E238" s="26" t="s">
        <v>2455</v>
      </c>
      <c r="F238" s="130" t="s">
        <v>129</v>
      </c>
      <c r="G238" s="419" t="s">
        <v>142</v>
      </c>
      <c r="H238" s="130" t="s">
        <v>29</v>
      </c>
      <c r="I238" s="26">
        <v>2.0</v>
      </c>
      <c r="J238" s="515"/>
      <c r="K238" s="28"/>
      <c r="L238" s="105" t="s">
        <v>1494</v>
      </c>
      <c r="M238" s="106" t="s">
        <v>1495</v>
      </c>
      <c r="N238" s="166" t="s">
        <v>1496</v>
      </c>
    </row>
    <row r="239">
      <c r="A239" s="165" t="s">
        <v>1497</v>
      </c>
      <c r="B239" s="130" t="s">
        <v>1498</v>
      </c>
      <c r="C239" s="22">
        <v>160000.0</v>
      </c>
      <c r="D239" s="26">
        <v>2020.0</v>
      </c>
      <c r="E239" s="26" t="s">
        <v>2457</v>
      </c>
      <c r="F239" s="130" t="s">
        <v>64</v>
      </c>
      <c r="G239" s="130" t="s">
        <v>23</v>
      </c>
      <c r="H239" s="28"/>
      <c r="I239" s="26">
        <v>2.0</v>
      </c>
      <c r="J239" s="515"/>
      <c r="K239" s="28"/>
      <c r="L239" s="34" t="s">
        <v>1500</v>
      </c>
      <c r="M239" s="106" t="s">
        <v>1501</v>
      </c>
      <c r="N239" s="166" t="s">
        <v>1502</v>
      </c>
    </row>
    <row r="240">
      <c r="A240" s="181" t="s">
        <v>1503</v>
      </c>
      <c r="B240" s="28"/>
      <c r="C240" s="22">
        <v>860000.0</v>
      </c>
      <c r="D240" s="26">
        <v>2020.0</v>
      </c>
      <c r="E240" s="462" t="s">
        <v>2401</v>
      </c>
      <c r="F240" s="130" t="s">
        <v>28</v>
      </c>
      <c r="G240" s="130" t="s">
        <v>23</v>
      </c>
      <c r="H240" s="28"/>
      <c r="I240" s="130">
        <v>1.0</v>
      </c>
      <c r="J240" s="515"/>
      <c r="K240" s="28"/>
      <c r="L240" s="53" t="s">
        <v>410</v>
      </c>
      <c r="M240" s="106" t="s">
        <v>1505</v>
      </c>
      <c r="N240" s="113"/>
    </row>
    <row r="241">
      <c r="A241" s="114" t="s">
        <v>1506</v>
      </c>
      <c r="B241" s="115" t="s">
        <v>1507</v>
      </c>
      <c r="C241" s="22">
        <v>2.0E8</v>
      </c>
      <c r="D241" s="26">
        <v>2020.0</v>
      </c>
      <c r="E241" s="34" t="s">
        <v>2191</v>
      </c>
      <c r="F241" s="130" t="s">
        <v>2153</v>
      </c>
      <c r="G241" s="130" t="s">
        <v>59</v>
      </c>
      <c r="H241" s="28"/>
      <c r="I241" s="26">
        <v>2.0</v>
      </c>
      <c r="J241" s="513">
        <v>2.0E8</v>
      </c>
      <c r="K241" s="28"/>
      <c r="L241" s="34" t="s">
        <v>1509</v>
      </c>
      <c r="M241" s="106" t="s">
        <v>1510</v>
      </c>
      <c r="N241" s="106" t="s">
        <v>1511</v>
      </c>
    </row>
    <row r="242">
      <c r="A242" s="114" t="s">
        <v>1512</v>
      </c>
      <c r="B242" s="53"/>
      <c r="C242" s="22">
        <v>2000000.0</v>
      </c>
      <c r="D242" s="26">
        <v>2020.0</v>
      </c>
      <c r="E242" s="34" t="s">
        <v>2366</v>
      </c>
      <c r="F242" s="115" t="s">
        <v>129</v>
      </c>
      <c r="G242" s="115" t="s">
        <v>59</v>
      </c>
      <c r="H242" s="115" t="s">
        <v>29</v>
      </c>
      <c r="I242" s="26">
        <v>3.0</v>
      </c>
      <c r="J242" s="515"/>
      <c r="K242" s="53"/>
      <c r="L242" s="120" t="s">
        <v>1382</v>
      </c>
      <c r="M242" s="135" t="s">
        <v>1514</v>
      </c>
      <c r="N242" s="19"/>
    </row>
    <row r="243">
      <c r="A243" s="114" t="s">
        <v>1515</v>
      </c>
      <c r="B243" s="53"/>
      <c r="C243" s="22">
        <v>3.8E7</v>
      </c>
      <c r="D243" s="26">
        <v>2020.0</v>
      </c>
      <c r="E243" s="34" t="s">
        <v>2215</v>
      </c>
      <c r="F243" s="115" t="s">
        <v>50</v>
      </c>
      <c r="G243" s="115" t="s">
        <v>23</v>
      </c>
      <c r="H243" s="115" t="s">
        <v>29</v>
      </c>
      <c r="I243" s="26">
        <v>5.0</v>
      </c>
      <c r="J243" s="513">
        <v>3.6E7</v>
      </c>
      <c r="K243" s="53"/>
      <c r="L243" s="53" t="s">
        <v>1515</v>
      </c>
      <c r="M243" s="135" t="s">
        <v>1517</v>
      </c>
      <c r="N243" s="136"/>
    </row>
    <row r="244">
      <c r="A244" s="114" t="s">
        <v>1518</v>
      </c>
      <c r="B244" s="53"/>
      <c r="C244" s="22">
        <v>1000000.0</v>
      </c>
      <c r="D244" s="26">
        <v>2020.0</v>
      </c>
      <c r="E244" s="34" t="s">
        <v>2394</v>
      </c>
      <c r="F244" s="115" t="s">
        <v>50</v>
      </c>
      <c r="G244" s="115" t="s">
        <v>23</v>
      </c>
      <c r="H244" s="53"/>
      <c r="I244" s="26">
        <v>3.0</v>
      </c>
      <c r="J244" s="515"/>
      <c r="K244" s="53"/>
      <c r="L244" s="34" t="s">
        <v>1520</v>
      </c>
      <c r="M244" s="135" t="s">
        <v>1521</v>
      </c>
      <c r="N244" s="116" t="s">
        <v>1522</v>
      </c>
    </row>
    <row r="245">
      <c r="A245" s="181" t="s">
        <v>1523</v>
      </c>
      <c r="B245" s="28"/>
      <c r="C245" s="22">
        <v>4000000.0</v>
      </c>
      <c r="D245" s="26">
        <v>2020.0</v>
      </c>
      <c r="E245" s="26" t="s">
        <v>2331</v>
      </c>
      <c r="F245" s="130" t="s">
        <v>28</v>
      </c>
      <c r="G245" s="115" t="s">
        <v>23</v>
      </c>
      <c r="H245" s="130" t="s">
        <v>29</v>
      </c>
      <c r="I245" s="26">
        <v>2.0</v>
      </c>
      <c r="J245" s="515"/>
      <c r="K245" s="28"/>
      <c r="L245" s="120" t="s">
        <v>702</v>
      </c>
      <c r="M245" s="106" t="s">
        <v>1525</v>
      </c>
      <c r="N245" s="113"/>
    </row>
    <row r="246">
      <c r="A246" s="165" t="s">
        <v>1526</v>
      </c>
      <c r="B246" s="28"/>
      <c r="C246" s="22">
        <v>7.0E7</v>
      </c>
      <c r="D246" s="26">
        <v>2020.0</v>
      </c>
      <c r="E246" s="26" t="s">
        <v>2238</v>
      </c>
      <c r="F246" s="130" t="s">
        <v>43</v>
      </c>
      <c r="G246" s="130" t="s">
        <v>23</v>
      </c>
      <c r="H246" s="130" t="s">
        <v>29</v>
      </c>
      <c r="I246" s="26">
        <v>3.0</v>
      </c>
      <c r="J246" s="515"/>
      <c r="K246" s="28"/>
      <c r="L246" s="34" t="s">
        <v>1528</v>
      </c>
      <c r="M246" s="106" t="s">
        <v>1529</v>
      </c>
      <c r="N246" s="432"/>
    </row>
    <row r="247">
      <c r="A247" s="165" t="s">
        <v>1530</v>
      </c>
      <c r="B247" s="28"/>
      <c r="C247" s="22">
        <v>6000000.0</v>
      </c>
      <c r="D247" s="26">
        <v>2020.0</v>
      </c>
      <c r="E247" s="26" t="s">
        <v>2310</v>
      </c>
      <c r="F247" s="130" t="s">
        <v>28</v>
      </c>
      <c r="G247" s="130" t="s">
        <v>23</v>
      </c>
      <c r="H247" s="28"/>
      <c r="I247" s="130">
        <v>1.0</v>
      </c>
      <c r="J247" s="515"/>
      <c r="K247" s="28"/>
      <c r="L247" s="105" t="s">
        <v>571</v>
      </c>
      <c r="M247" s="106" t="s">
        <v>1532</v>
      </c>
      <c r="N247" s="113"/>
    </row>
    <row r="248">
      <c r="A248" s="165" t="s">
        <v>1533</v>
      </c>
      <c r="B248" s="130" t="s">
        <v>1534</v>
      </c>
      <c r="C248" s="22">
        <v>1500000.0</v>
      </c>
      <c r="D248" s="26">
        <v>2020.0</v>
      </c>
      <c r="E248" s="26" t="s">
        <v>2379</v>
      </c>
      <c r="F248" s="130" t="s">
        <v>2153</v>
      </c>
      <c r="G248" s="130" t="s">
        <v>23</v>
      </c>
      <c r="H248" s="28"/>
      <c r="I248" s="26">
        <v>3.0</v>
      </c>
      <c r="J248" s="515"/>
      <c r="K248" s="28"/>
      <c r="L248" s="34" t="s">
        <v>710</v>
      </c>
      <c r="M248" s="106" t="s">
        <v>1536</v>
      </c>
      <c r="N248" s="113"/>
    </row>
    <row r="249">
      <c r="A249" s="114" t="s">
        <v>1537</v>
      </c>
      <c r="B249" s="115" t="s">
        <v>1538</v>
      </c>
      <c r="C249" s="22">
        <v>228000.0</v>
      </c>
      <c r="D249" s="26">
        <v>2020.0</v>
      </c>
      <c r="E249" s="26" t="s">
        <v>2444</v>
      </c>
      <c r="F249" s="130" t="s">
        <v>2514</v>
      </c>
      <c r="G249" s="130" t="s">
        <v>59</v>
      </c>
      <c r="H249" s="28"/>
      <c r="I249" s="26">
        <v>4.0</v>
      </c>
      <c r="J249" s="515"/>
      <c r="K249" s="53"/>
      <c r="L249" s="34" t="s">
        <v>1540</v>
      </c>
      <c r="M249" s="135" t="s">
        <v>1541</v>
      </c>
      <c r="N249" s="136"/>
    </row>
    <row r="250">
      <c r="A250" s="165" t="s">
        <v>1542</v>
      </c>
      <c r="B250" s="130" t="s">
        <v>1543</v>
      </c>
      <c r="C250" s="22">
        <v>3000000.0</v>
      </c>
      <c r="D250" s="26">
        <v>2020.0</v>
      </c>
      <c r="E250" s="26" t="s">
        <v>2347</v>
      </c>
      <c r="F250" s="130" t="s">
        <v>2153</v>
      </c>
      <c r="G250" s="130" t="s">
        <v>23</v>
      </c>
      <c r="H250" s="130" t="s">
        <v>29</v>
      </c>
      <c r="I250" s="26">
        <v>5.0</v>
      </c>
      <c r="J250" s="515"/>
      <c r="K250" s="28"/>
      <c r="L250" s="53" t="s">
        <v>608</v>
      </c>
      <c r="M250" s="106" t="s">
        <v>1545</v>
      </c>
      <c r="N250" s="113"/>
    </row>
    <row r="251">
      <c r="A251" s="165" t="s">
        <v>1546</v>
      </c>
      <c r="B251" s="28"/>
      <c r="C251" s="22">
        <v>800000.0</v>
      </c>
      <c r="D251" s="26">
        <v>2020.0</v>
      </c>
      <c r="E251" s="26" t="s">
        <v>2402</v>
      </c>
      <c r="F251" s="130" t="s">
        <v>64</v>
      </c>
      <c r="G251" s="26" t="s">
        <v>1034</v>
      </c>
      <c r="H251" s="28"/>
      <c r="I251" s="26">
        <v>2.0</v>
      </c>
      <c r="J251" s="515"/>
      <c r="K251" s="28"/>
      <c r="L251" s="105" t="s">
        <v>591</v>
      </c>
      <c r="M251" s="106" t="s">
        <v>1548</v>
      </c>
      <c r="N251" s="432"/>
    </row>
    <row r="252">
      <c r="A252" s="114" t="s">
        <v>1549</v>
      </c>
      <c r="B252" s="130" t="s">
        <v>1550</v>
      </c>
      <c r="C252" s="22">
        <v>315000.0</v>
      </c>
      <c r="D252" s="26">
        <v>2020.0</v>
      </c>
      <c r="E252" s="26" t="s">
        <v>2431</v>
      </c>
      <c r="F252" s="130" t="s">
        <v>2514</v>
      </c>
      <c r="G252" s="26" t="s">
        <v>1034</v>
      </c>
      <c r="H252" s="28"/>
      <c r="I252" s="26">
        <v>4.0</v>
      </c>
      <c r="J252" s="515"/>
      <c r="K252" s="53"/>
      <c r="L252" s="34" t="s">
        <v>1552</v>
      </c>
      <c r="M252" s="135" t="s">
        <v>1553</v>
      </c>
      <c r="N252" s="19"/>
    </row>
    <row r="253">
      <c r="A253" s="165" t="s">
        <v>1554</v>
      </c>
      <c r="B253" s="53"/>
      <c r="C253" s="22">
        <v>6500000.0</v>
      </c>
      <c r="D253" s="26">
        <v>2020.0</v>
      </c>
      <c r="E253" s="26" t="s">
        <v>2305</v>
      </c>
      <c r="F253" s="115" t="s">
        <v>64</v>
      </c>
      <c r="G253" s="419" t="s">
        <v>142</v>
      </c>
      <c r="H253" s="28"/>
      <c r="I253" s="26">
        <v>2.0</v>
      </c>
      <c r="J253" s="515"/>
      <c r="K253" s="28"/>
      <c r="L253" s="53" t="s">
        <v>1556</v>
      </c>
      <c r="M253" s="106" t="s">
        <v>1557</v>
      </c>
      <c r="N253" s="113"/>
    </row>
    <row r="254">
      <c r="A254" s="165" t="s">
        <v>1558</v>
      </c>
      <c r="B254" s="130" t="s">
        <v>1559</v>
      </c>
      <c r="C254" s="22">
        <v>780000.0</v>
      </c>
      <c r="D254" s="26">
        <v>2020.0</v>
      </c>
      <c r="E254" s="26" t="s">
        <v>2406</v>
      </c>
      <c r="F254" s="130" t="s">
        <v>2520</v>
      </c>
      <c r="G254" s="130" t="s">
        <v>23</v>
      </c>
      <c r="H254" s="130" t="s">
        <v>29</v>
      </c>
      <c r="I254" s="225" t="s">
        <v>1562</v>
      </c>
      <c r="J254" s="515"/>
      <c r="K254" s="28"/>
      <c r="L254" s="105" t="s">
        <v>286</v>
      </c>
      <c r="M254" s="106" t="s">
        <v>1563</v>
      </c>
      <c r="N254" s="113"/>
    </row>
    <row r="255">
      <c r="A255" s="114" t="s">
        <v>1564</v>
      </c>
      <c r="B255" s="115" t="s">
        <v>1565</v>
      </c>
      <c r="C255" s="22">
        <v>1.4E7</v>
      </c>
      <c r="D255" s="26">
        <v>2020.0</v>
      </c>
      <c r="E255" s="34" t="s">
        <v>2283</v>
      </c>
      <c r="F255" s="115" t="s">
        <v>236</v>
      </c>
      <c r="G255" s="115" t="s">
        <v>23</v>
      </c>
      <c r="H255" s="53"/>
      <c r="I255" s="26">
        <v>2.0</v>
      </c>
      <c r="J255" s="515"/>
      <c r="K255" s="53"/>
      <c r="L255" s="34" t="s">
        <v>278</v>
      </c>
      <c r="M255" s="135" t="s">
        <v>1567</v>
      </c>
      <c r="N255" s="19"/>
    </row>
    <row r="256">
      <c r="A256" s="165" t="s">
        <v>1568</v>
      </c>
      <c r="B256" s="28"/>
      <c r="C256" s="22">
        <v>1800000.0</v>
      </c>
      <c r="D256" s="26">
        <v>2020.0</v>
      </c>
      <c r="E256" s="26" t="s">
        <v>2369</v>
      </c>
      <c r="F256" s="130" t="s">
        <v>2125</v>
      </c>
      <c r="G256" s="130" t="s">
        <v>59</v>
      </c>
      <c r="H256" s="28"/>
      <c r="I256" s="26">
        <v>2.0</v>
      </c>
      <c r="J256" s="515"/>
      <c r="K256" s="28"/>
      <c r="L256" s="419" t="s">
        <v>1026</v>
      </c>
      <c r="M256" s="474" t="s">
        <v>1570</v>
      </c>
      <c r="N256" s="113"/>
    </row>
    <row r="257">
      <c r="A257" s="114" t="s">
        <v>1571</v>
      </c>
      <c r="B257" s="130" t="s">
        <v>1572</v>
      </c>
      <c r="C257" s="22">
        <v>102153.0</v>
      </c>
      <c r="D257" s="26">
        <v>2020.0</v>
      </c>
      <c r="E257" s="26" t="s">
        <v>2475</v>
      </c>
      <c r="F257" s="130" t="s">
        <v>2514</v>
      </c>
      <c r="G257" s="26" t="s">
        <v>1034</v>
      </c>
      <c r="H257" s="28"/>
      <c r="I257" s="26">
        <v>2.0</v>
      </c>
      <c r="J257" s="515"/>
      <c r="K257" s="28"/>
      <c r="L257" s="34" t="s">
        <v>1574</v>
      </c>
      <c r="M257" s="135" t="s">
        <v>1575</v>
      </c>
      <c r="N257" s="136"/>
    </row>
    <row r="258">
      <c r="A258" s="165" t="s">
        <v>1576</v>
      </c>
      <c r="B258" s="28"/>
      <c r="C258" s="22">
        <v>2.4E7</v>
      </c>
      <c r="D258" s="26">
        <v>2020.0</v>
      </c>
      <c r="E258" s="111" t="s">
        <v>2269</v>
      </c>
      <c r="F258" s="130" t="s">
        <v>28</v>
      </c>
      <c r="G258" s="130" t="s">
        <v>23</v>
      </c>
      <c r="H258" s="28"/>
      <c r="I258" s="26">
        <v>2.0</v>
      </c>
      <c r="J258" s="515"/>
      <c r="K258" s="28"/>
      <c r="L258" s="53" t="s">
        <v>278</v>
      </c>
      <c r="M258" s="106" t="s">
        <v>1578</v>
      </c>
      <c r="N258" s="113"/>
    </row>
    <row r="259">
      <c r="A259" s="114" t="s">
        <v>1579</v>
      </c>
      <c r="B259" s="115" t="s">
        <v>1580</v>
      </c>
      <c r="C259" s="22">
        <v>420000.0</v>
      </c>
      <c r="D259" s="26">
        <v>2020.0</v>
      </c>
      <c r="E259" s="34" t="s">
        <v>2423</v>
      </c>
      <c r="F259" s="115" t="s">
        <v>28</v>
      </c>
      <c r="G259" s="26" t="s">
        <v>23</v>
      </c>
      <c r="H259" s="154" t="s">
        <v>29</v>
      </c>
      <c r="I259" s="26">
        <v>1.0</v>
      </c>
      <c r="J259" s="515"/>
      <c r="K259" s="53"/>
      <c r="L259" s="53" t="s">
        <v>998</v>
      </c>
      <c r="M259" s="135" t="s">
        <v>1582</v>
      </c>
      <c r="N259" s="19"/>
    </row>
    <row r="260">
      <c r="A260" s="114" t="s">
        <v>1583</v>
      </c>
      <c r="B260" s="115" t="s">
        <v>1584</v>
      </c>
      <c r="C260" s="22">
        <v>8700000.0</v>
      </c>
      <c r="D260" s="26">
        <v>2020.0</v>
      </c>
      <c r="E260" s="34" t="s">
        <v>2297</v>
      </c>
      <c r="F260" s="130" t="s">
        <v>129</v>
      </c>
      <c r="G260" s="115" t="s">
        <v>23</v>
      </c>
      <c r="H260" s="53"/>
      <c r="I260" s="26">
        <v>2.0</v>
      </c>
      <c r="J260" s="515"/>
      <c r="K260" s="53"/>
      <c r="L260" s="34" t="s">
        <v>1586</v>
      </c>
      <c r="M260" s="135" t="s">
        <v>1587</v>
      </c>
      <c r="N260" s="116" t="s">
        <v>1588</v>
      </c>
    </row>
    <row r="261">
      <c r="A261" s="165" t="s">
        <v>1589</v>
      </c>
      <c r="B261" s="28"/>
      <c r="C261" s="22">
        <v>450000.0</v>
      </c>
      <c r="D261" s="26">
        <v>2020.0</v>
      </c>
      <c r="E261" s="26" t="s">
        <v>2422</v>
      </c>
      <c r="F261" s="130" t="s">
        <v>1227</v>
      </c>
      <c r="G261" s="130" t="s">
        <v>23</v>
      </c>
      <c r="H261" s="28"/>
      <c r="I261" s="130">
        <v>1.0</v>
      </c>
      <c r="J261" s="515"/>
      <c r="K261" s="28"/>
      <c r="L261" s="53" t="s">
        <v>152</v>
      </c>
      <c r="M261" s="106" t="s">
        <v>1591</v>
      </c>
      <c r="N261" s="109"/>
    </row>
    <row r="262">
      <c r="A262" s="44" t="s">
        <v>1592</v>
      </c>
      <c r="B262" s="26" t="s">
        <v>1593</v>
      </c>
      <c r="C262" s="22">
        <v>4.35E7</v>
      </c>
      <c r="D262" s="26">
        <v>2020.0</v>
      </c>
      <c r="E262" s="26" t="s">
        <v>2250</v>
      </c>
      <c r="F262" s="26" t="s">
        <v>28</v>
      </c>
      <c r="G262" s="26" t="s">
        <v>23</v>
      </c>
      <c r="H262" s="28"/>
      <c r="I262" s="26">
        <v>1.0</v>
      </c>
      <c r="J262" s="515"/>
      <c r="K262" s="28"/>
      <c r="L262" s="53" t="s">
        <v>608</v>
      </c>
      <c r="M262" s="106" t="s">
        <v>1595</v>
      </c>
      <c r="N262" s="106" t="s">
        <v>1596</v>
      </c>
    </row>
    <row r="263">
      <c r="A263" s="114" t="s">
        <v>1597</v>
      </c>
      <c r="B263" s="53"/>
      <c r="C263" s="22">
        <v>8000000.0</v>
      </c>
      <c r="D263" s="26">
        <v>2020.0</v>
      </c>
      <c r="E263" s="34" t="s">
        <v>2301</v>
      </c>
      <c r="F263" s="130" t="s">
        <v>28</v>
      </c>
      <c r="G263" s="26" t="s">
        <v>23</v>
      </c>
      <c r="H263" s="53"/>
      <c r="I263" s="26">
        <v>1.0</v>
      </c>
      <c r="J263" s="515"/>
      <c r="K263" s="53"/>
      <c r="L263" s="53" t="s">
        <v>1599</v>
      </c>
      <c r="M263" s="135" t="s">
        <v>1600</v>
      </c>
      <c r="N263" s="136"/>
    </row>
    <row r="264">
      <c r="A264" s="165" t="s">
        <v>1601</v>
      </c>
      <c r="B264" s="28"/>
      <c r="C264" s="22">
        <v>8000000.0</v>
      </c>
      <c r="D264" s="26">
        <v>2020.0</v>
      </c>
      <c r="E264" s="26" t="s">
        <v>2302</v>
      </c>
      <c r="F264" s="130" t="s">
        <v>28</v>
      </c>
      <c r="G264" s="130" t="s">
        <v>23</v>
      </c>
      <c r="H264" s="28"/>
      <c r="I264" s="130">
        <v>1.0</v>
      </c>
      <c r="J264" s="515"/>
      <c r="K264" s="28"/>
      <c r="L264" s="53" t="s">
        <v>278</v>
      </c>
      <c r="M264" s="106" t="s">
        <v>1603</v>
      </c>
      <c r="N264" s="113"/>
    </row>
    <row r="265">
      <c r="A265" s="181" t="s">
        <v>1604</v>
      </c>
      <c r="B265" s="130" t="s">
        <v>1605</v>
      </c>
      <c r="C265" s="22">
        <v>163792.0</v>
      </c>
      <c r="D265" s="26">
        <v>2020.0</v>
      </c>
      <c r="E265" s="26" t="s">
        <v>2456</v>
      </c>
      <c r="F265" s="130" t="s">
        <v>1607</v>
      </c>
      <c r="G265" s="26" t="s">
        <v>23</v>
      </c>
      <c r="H265" s="28"/>
      <c r="I265" s="26">
        <v>1.0</v>
      </c>
      <c r="J265" s="515"/>
      <c r="K265" s="28"/>
      <c r="L265" s="53" t="s">
        <v>1608</v>
      </c>
      <c r="M265" s="106" t="s">
        <v>1609</v>
      </c>
      <c r="N265" s="113"/>
    </row>
    <row r="266">
      <c r="A266" s="114" t="s">
        <v>1610</v>
      </c>
      <c r="B266" s="53"/>
      <c r="C266" s="22">
        <v>1.2367232E7</v>
      </c>
      <c r="D266" s="26">
        <v>2020.0</v>
      </c>
      <c r="E266" s="34" t="s">
        <v>2286</v>
      </c>
      <c r="F266" s="130" t="s">
        <v>1612</v>
      </c>
      <c r="G266" s="419" t="s">
        <v>142</v>
      </c>
      <c r="H266" s="115" t="s">
        <v>29</v>
      </c>
      <c r="I266" s="26">
        <v>2.0</v>
      </c>
      <c r="J266" s="515"/>
      <c r="K266" s="53"/>
      <c r="L266" s="53" t="s">
        <v>1613</v>
      </c>
      <c r="M266" s="135" t="s">
        <v>1614</v>
      </c>
      <c r="N266" s="116" t="s">
        <v>1615</v>
      </c>
    </row>
    <row r="267">
      <c r="A267" s="165" t="s">
        <v>1616</v>
      </c>
      <c r="B267" s="53"/>
      <c r="C267" s="22">
        <v>9000000.0</v>
      </c>
      <c r="D267" s="26">
        <v>2020.0</v>
      </c>
      <c r="E267" s="26" t="s">
        <v>2296</v>
      </c>
      <c r="F267" s="130" t="s">
        <v>64</v>
      </c>
      <c r="G267" s="130" t="s">
        <v>23</v>
      </c>
      <c r="H267" s="28"/>
      <c r="I267" s="26">
        <v>2.0</v>
      </c>
      <c r="J267" s="515"/>
      <c r="K267" s="28"/>
      <c r="L267" s="53" t="s">
        <v>410</v>
      </c>
      <c r="M267" s="106" t="s">
        <v>1618</v>
      </c>
      <c r="N267" s="113"/>
    </row>
    <row r="268">
      <c r="A268" s="20" t="s">
        <v>1619</v>
      </c>
      <c r="B268" s="138"/>
      <c r="C268" s="22">
        <v>3600000.0</v>
      </c>
      <c r="D268" s="26">
        <v>2020.0</v>
      </c>
      <c r="E268" s="26" t="s">
        <v>2338</v>
      </c>
      <c r="F268" s="26" t="s">
        <v>64</v>
      </c>
      <c r="G268" s="26" t="s">
        <v>23</v>
      </c>
      <c r="H268" s="28"/>
      <c r="I268" s="26">
        <v>1.0</v>
      </c>
      <c r="J268" s="515"/>
      <c r="K268" s="28"/>
      <c r="L268" s="53" t="s">
        <v>1621</v>
      </c>
      <c r="M268" s="106" t="s">
        <v>1622</v>
      </c>
      <c r="N268" s="113"/>
    </row>
    <row r="269">
      <c r="A269" s="20" t="s">
        <v>214</v>
      </c>
      <c r="B269" s="28"/>
      <c r="C269" s="22">
        <v>6.87E7</v>
      </c>
      <c r="D269" s="26">
        <v>2020.0</v>
      </c>
      <c r="E269" s="26" t="s">
        <v>2212</v>
      </c>
      <c r="F269" s="26" t="s">
        <v>28</v>
      </c>
      <c r="G269" s="26" t="s">
        <v>23</v>
      </c>
      <c r="H269" s="28"/>
      <c r="I269" s="26">
        <v>1.0</v>
      </c>
      <c r="J269" s="513">
        <v>6.87E7</v>
      </c>
      <c r="K269" s="28"/>
      <c r="L269" s="53" t="s">
        <v>1625</v>
      </c>
      <c r="M269" s="106" t="s">
        <v>1626</v>
      </c>
      <c r="N269" s="113"/>
    </row>
    <row r="270">
      <c r="A270" s="114" t="s">
        <v>1627</v>
      </c>
      <c r="B270" s="130" t="s">
        <v>1628</v>
      </c>
      <c r="C270" s="22">
        <v>1700000.0</v>
      </c>
      <c r="D270" s="26">
        <v>2020.0</v>
      </c>
      <c r="E270" s="26" t="s">
        <v>2371</v>
      </c>
      <c r="F270" s="130" t="s">
        <v>2514</v>
      </c>
      <c r="G270" s="26" t="s">
        <v>1034</v>
      </c>
      <c r="H270" s="28"/>
      <c r="I270" s="26">
        <v>4.0</v>
      </c>
      <c r="J270" s="515"/>
      <c r="K270" s="53"/>
      <c r="L270" s="34" t="s">
        <v>1630</v>
      </c>
      <c r="M270" s="135" t="s">
        <v>1631</v>
      </c>
      <c r="N270" s="19"/>
    </row>
    <row r="271">
      <c r="A271" s="114" t="s">
        <v>1632</v>
      </c>
      <c r="B271" s="28"/>
      <c r="C271" s="22">
        <v>231400.0</v>
      </c>
      <c r="D271" s="26">
        <v>2020.0</v>
      </c>
      <c r="E271" s="111" t="s">
        <v>2443</v>
      </c>
      <c r="F271" s="130" t="s">
        <v>2514</v>
      </c>
      <c r="G271" s="130" t="s">
        <v>23</v>
      </c>
      <c r="H271" s="130" t="s">
        <v>29</v>
      </c>
      <c r="I271" s="26">
        <v>2.0</v>
      </c>
      <c r="J271" s="515"/>
      <c r="K271" s="53"/>
      <c r="L271" s="34" t="s">
        <v>1634</v>
      </c>
      <c r="M271" s="135" t="s">
        <v>1635</v>
      </c>
      <c r="N271" s="136"/>
    </row>
    <row r="272">
      <c r="A272" s="165" t="s">
        <v>1636</v>
      </c>
      <c r="B272" s="28"/>
      <c r="C272" s="22">
        <v>800000.0</v>
      </c>
      <c r="D272" s="26">
        <v>2020.0</v>
      </c>
      <c r="E272" s="26" t="s">
        <v>2403</v>
      </c>
      <c r="F272" s="130" t="s">
        <v>2514</v>
      </c>
      <c r="G272" s="26" t="s">
        <v>1034</v>
      </c>
      <c r="H272" s="28"/>
      <c r="I272" s="26">
        <v>5.0</v>
      </c>
      <c r="J272" s="515"/>
      <c r="K272" s="28"/>
      <c r="L272" s="105" t="s">
        <v>1638</v>
      </c>
      <c r="M272" s="106" t="s">
        <v>1639</v>
      </c>
      <c r="N272" s="113"/>
    </row>
    <row r="273">
      <c r="A273" s="165" t="s">
        <v>1640</v>
      </c>
      <c r="B273" s="130" t="s">
        <v>1641</v>
      </c>
      <c r="C273" s="22">
        <v>2300000.0</v>
      </c>
      <c r="D273" s="26">
        <v>2020.0</v>
      </c>
      <c r="E273" s="26" t="s">
        <v>2358</v>
      </c>
      <c r="F273" s="130" t="s">
        <v>28</v>
      </c>
      <c r="G273" s="130" t="s">
        <v>23</v>
      </c>
      <c r="H273" s="28"/>
      <c r="I273" s="26">
        <v>3.0</v>
      </c>
      <c r="J273" s="515"/>
      <c r="K273" s="28"/>
      <c r="L273" s="34" t="s">
        <v>1643</v>
      </c>
      <c r="M273" s="106" t="s">
        <v>1644</v>
      </c>
      <c r="N273" s="113"/>
    </row>
    <row r="274">
      <c r="A274" s="114" t="s">
        <v>1645</v>
      </c>
      <c r="B274" s="28"/>
      <c r="C274" s="22">
        <v>156000.0</v>
      </c>
      <c r="D274" s="26">
        <v>2020.0</v>
      </c>
      <c r="E274" s="26" t="s">
        <v>2461</v>
      </c>
      <c r="F274" s="130" t="s">
        <v>2514</v>
      </c>
      <c r="G274" s="130" t="s">
        <v>23</v>
      </c>
      <c r="H274" s="28"/>
      <c r="I274" s="26">
        <v>4.0</v>
      </c>
      <c r="J274" s="515"/>
      <c r="K274" s="28"/>
      <c r="L274" s="34" t="s">
        <v>1647</v>
      </c>
      <c r="M274" s="135" t="s">
        <v>1648</v>
      </c>
      <c r="N274" s="136"/>
    </row>
    <row r="275">
      <c r="A275" s="165" t="s">
        <v>1649</v>
      </c>
      <c r="B275" s="28"/>
      <c r="C275" s="22">
        <v>43000.0</v>
      </c>
      <c r="D275" s="26">
        <v>2020.0</v>
      </c>
      <c r="E275" s="26" t="s">
        <v>2495</v>
      </c>
      <c r="F275" s="130" t="s">
        <v>2060</v>
      </c>
      <c r="G275" s="419" t="s">
        <v>142</v>
      </c>
      <c r="H275" s="28"/>
      <c r="I275" s="26">
        <v>2.0</v>
      </c>
      <c r="J275" s="515"/>
      <c r="K275" s="28"/>
      <c r="L275" s="34" t="s">
        <v>918</v>
      </c>
      <c r="M275" s="106" t="s">
        <v>1651</v>
      </c>
      <c r="N275" s="113"/>
    </row>
    <row r="276">
      <c r="A276" s="165" t="s">
        <v>1652</v>
      </c>
      <c r="B276" s="28"/>
      <c r="C276" s="22">
        <v>34000.0</v>
      </c>
      <c r="D276" s="26">
        <v>2020.0</v>
      </c>
      <c r="E276" s="26" t="s">
        <v>2500</v>
      </c>
      <c r="F276" s="130" t="s">
        <v>2153</v>
      </c>
      <c r="G276" s="26" t="s">
        <v>1034</v>
      </c>
      <c r="H276" s="130" t="s">
        <v>29</v>
      </c>
      <c r="I276" s="26">
        <v>3.0</v>
      </c>
      <c r="J276" s="515"/>
      <c r="K276" s="28"/>
      <c r="L276" s="34" t="s">
        <v>829</v>
      </c>
      <c r="M276" s="106" t="s">
        <v>1654</v>
      </c>
      <c r="N276" s="113"/>
    </row>
    <row r="277">
      <c r="A277" s="165" t="s">
        <v>1655</v>
      </c>
      <c r="B277" s="28"/>
      <c r="C277" s="22">
        <v>3500000.0</v>
      </c>
      <c r="D277" s="26">
        <v>2020.0</v>
      </c>
      <c r="E277" s="26" t="s">
        <v>2339</v>
      </c>
      <c r="F277" s="130" t="s">
        <v>64</v>
      </c>
      <c r="G277" s="419" t="s">
        <v>142</v>
      </c>
      <c r="H277" s="28"/>
      <c r="I277" s="26">
        <v>2.0</v>
      </c>
      <c r="J277" s="515"/>
      <c r="K277" s="28"/>
      <c r="L277" s="34" t="s">
        <v>1657</v>
      </c>
      <c r="M277" s="106" t="s">
        <v>1658</v>
      </c>
      <c r="N277" s="113"/>
    </row>
    <row r="278">
      <c r="A278" s="20" t="s">
        <v>1659</v>
      </c>
      <c r="B278" s="26" t="s">
        <v>1660</v>
      </c>
      <c r="C278" s="22">
        <v>3000000.0</v>
      </c>
      <c r="D278" s="26">
        <v>2020.0</v>
      </c>
      <c r="E278" s="26" t="s">
        <v>2348</v>
      </c>
      <c r="F278" s="26" t="s">
        <v>28</v>
      </c>
      <c r="G278" s="26" t="s">
        <v>23</v>
      </c>
      <c r="H278" s="28"/>
      <c r="I278" s="26">
        <v>1.0</v>
      </c>
      <c r="J278" s="515"/>
      <c r="K278" s="110"/>
      <c r="L278" s="34" t="s">
        <v>507</v>
      </c>
      <c r="M278" s="106" t="s">
        <v>1662</v>
      </c>
      <c r="N278" s="113"/>
    </row>
    <row r="279">
      <c r="A279" s="165" t="s">
        <v>1663</v>
      </c>
      <c r="B279" s="28"/>
      <c r="C279" s="22">
        <v>7.7E7</v>
      </c>
      <c r="D279" s="26">
        <v>2020.0</v>
      </c>
      <c r="E279" s="26" t="s">
        <v>2236</v>
      </c>
      <c r="F279" s="130" t="s">
        <v>236</v>
      </c>
      <c r="G279" s="130" t="s">
        <v>23</v>
      </c>
      <c r="H279" s="130" t="s">
        <v>29</v>
      </c>
      <c r="I279" s="130">
        <v>1.0</v>
      </c>
      <c r="J279" s="515"/>
      <c r="K279" s="28"/>
      <c r="L279" s="34" t="s">
        <v>1665</v>
      </c>
      <c r="M279" s="106" t="s">
        <v>1666</v>
      </c>
      <c r="N279" s="113"/>
    </row>
    <row r="280">
      <c r="A280" s="165" t="s">
        <v>1667</v>
      </c>
      <c r="B280" s="28"/>
      <c r="C280" s="22">
        <v>123461.0</v>
      </c>
      <c r="D280" s="26">
        <v>2020.0</v>
      </c>
      <c r="E280" s="26" t="s">
        <v>2469</v>
      </c>
      <c r="F280" s="130" t="s">
        <v>64</v>
      </c>
      <c r="G280" s="26" t="s">
        <v>23</v>
      </c>
      <c r="H280" s="28"/>
      <c r="I280" s="26">
        <v>3.0</v>
      </c>
      <c r="J280" s="515"/>
      <c r="K280" s="28"/>
      <c r="L280" s="53" t="s">
        <v>1608</v>
      </c>
      <c r="M280" s="106" t="s">
        <v>1669</v>
      </c>
      <c r="N280" s="113"/>
    </row>
    <row r="281">
      <c r="A281" s="114" t="s">
        <v>1670</v>
      </c>
      <c r="B281" s="28"/>
      <c r="C281" s="22">
        <v>73000.0</v>
      </c>
      <c r="D281" s="26">
        <v>2020.0</v>
      </c>
      <c r="E281" s="184" t="s">
        <v>2488</v>
      </c>
      <c r="F281" s="26" t="s">
        <v>2060</v>
      </c>
      <c r="G281" s="130" t="s">
        <v>23</v>
      </c>
      <c r="H281" s="28"/>
      <c r="I281" s="26">
        <v>2.0</v>
      </c>
      <c r="J281" s="515"/>
      <c r="K281" s="28"/>
      <c r="L281" s="34" t="s">
        <v>571</v>
      </c>
      <c r="M281" s="106" t="s">
        <v>1672</v>
      </c>
      <c r="N281" s="113"/>
    </row>
    <row r="282">
      <c r="A282" s="165" t="s">
        <v>1673</v>
      </c>
      <c r="B282" s="26" t="s">
        <v>1674</v>
      </c>
      <c r="C282" s="22">
        <v>935000.0</v>
      </c>
      <c r="D282" s="26">
        <v>2020.0</v>
      </c>
      <c r="E282" s="26" t="s">
        <v>2398</v>
      </c>
      <c r="F282" s="130" t="s">
        <v>1676</v>
      </c>
      <c r="G282" s="26" t="s">
        <v>23</v>
      </c>
      <c r="H282" s="28"/>
      <c r="I282" s="225" t="s">
        <v>1677</v>
      </c>
      <c r="J282" s="515"/>
      <c r="K282" s="28"/>
      <c r="L282" s="105" t="s">
        <v>688</v>
      </c>
      <c r="M282" s="106" t="s">
        <v>1678</v>
      </c>
      <c r="N282" s="113"/>
    </row>
    <row r="283">
      <c r="A283" s="20" t="s">
        <v>1679</v>
      </c>
      <c r="B283" s="28"/>
      <c r="C283" s="22">
        <v>1.0E7</v>
      </c>
      <c r="D283" s="26">
        <v>2020.0</v>
      </c>
      <c r="E283" s="26" t="s">
        <v>2294</v>
      </c>
      <c r="F283" s="130" t="s">
        <v>28</v>
      </c>
      <c r="G283" s="130" t="s">
        <v>23</v>
      </c>
      <c r="H283" s="28"/>
      <c r="I283" s="130">
        <v>1.0</v>
      </c>
      <c r="J283" s="515"/>
      <c r="K283" s="28"/>
      <c r="L283" s="105" t="s">
        <v>1681</v>
      </c>
      <c r="M283" s="106" t="s">
        <v>1682</v>
      </c>
      <c r="N283" s="113"/>
    </row>
    <row r="284">
      <c r="A284" s="114" t="s">
        <v>1683</v>
      </c>
      <c r="B284" s="28"/>
      <c r="C284" s="22">
        <v>300000.0</v>
      </c>
      <c r="D284" s="26">
        <v>2020.0</v>
      </c>
      <c r="E284" s="26" t="s">
        <v>2436</v>
      </c>
      <c r="F284" s="130" t="s">
        <v>2514</v>
      </c>
      <c r="G284" s="130" t="s">
        <v>23</v>
      </c>
      <c r="H284" s="28"/>
      <c r="I284" s="26">
        <v>2.0</v>
      </c>
      <c r="J284" s="515"/>
      <c r="K284" s="28"/>
      <c r="L284" s="105" t="s">
        <v>1026</v>
      </c>
      <c r="M284" s="106" t="s">
        <v>1685</v>
      </c>
      <c r="N284" s="113"/>
    </row>
    <row r="285">
      <c r="A285" s="185" t="s">
        <v>1686</v>
      </c>
      <c r="B285" s="130" t="s">
        <v>1687</v>
      </c>
      <c r="C285" s="22">
        <v>62000.0</v>
      </c>
      <c r="D285" s="26">
        <v>2020.0</v>
      </c>
      <c r="E285" s="26" t="s">
        <v>2490</v>
      </c>
      <c r="F285" s="130" t="s">
        <v>28</v>
      </c>
      <c r="G285" s="130" t="s">
        <v>23</v>
      </c>
      <c r="H285" s="28"/>
      <c r="I285" s="130">
        <v>1.0</v>
      </c>
      <c r="J285" s="515"/>
      <c r="K285" s="28"/>
      <c r="L285" s="120" t="s">
        <v>629</v>
      </c>
      <c r="M285" s="135" t="s">
        <v>1689</v>
      </c>
      <c r="N285" s="113"/>
    </row>
    <row r="286">
      <c r="A286" s="165" t="s">
        <v>1690</v>
      </c>
      <c r="B286" s="130" t="s">
        <v>1691</v>
      </c>
      <c r="C286" s="22">
        <v>200000.0</v>
      </c>
      <c r="D286" s="26">
        <v>2020.0</v>
      </c>
      <c r="E286" s="26" t="s">
        <v>2449</v>
      </c>
      <c r="F286" s="130" t="s">
        <v>236</v>
      </c>
      <c r="G286" s="130" t="s">
        <v>23</v>
      </c>
      <c r="H286" s="28"/>
      <c r="I286" s="130">
        <v>1.0</v>
      </c>
      <c r="J286" s="515"/>
      <c r="K286" s="28"/>
      <c r="L286" s="53" t="s">
        <v>1608</v>
      </c>
      <c r="M286" s="106" t="s">
        <v>1693</v>
      </c>
      <c r="N286" s="113"/>
    </row>
    <row r="287">
      <c r="A287" s="165" t="s">
        <v>1694</v>
      </c>
      <c r="B287" s="28"/>
      <c r="C287" s="22">
        <v>1290755.0</v>
      </c>
      <c r="D287" s="26">
        <v>2020.0</v>
      </c>
      <c r="E287" s="26" t="s">
        <v>2385</v>
      </c>
      <c r="F287" s="130" t="s">
        <v>236</v>
      </c>
      <c r="G287" s="130" t="s">
        <v>23</v>
      </c>
      <c r="H287" s="28"/>
      <c r="I287" s="26">
        <v>2.0</v>
      </c>
      <c r="J287" s="515"/>
      <c r="K287" s="28"/>
      <c r="L287" s="34" t="s">
        <v>571</v>
      </c>
      <c r="M287" s="106" t="s">
        <v>1696</v>
      </c>
      <c r="N287" s="113"/>
    </row>
    <row r="288">
      <c r="A288" s="165" t="s">
        <v>1400</v>
      </c>
      <c r="B288" s="28"/>
      <c r="C288" s="22">
        <v>210000.0</v>
      </c>
      <c r="D288" s="26">
        <v>2020.0</v>
      </c>
      <c r="E288" s="26" t="s">
        <v>2445</v>
      </c>
      <c r="F288" s="130" t="s">
        <v>2153</v>
      </c>
      <c r="G288" s="130" t="s">
        <v>23</v>
      </c>
      <c r="H288" s="28"/>
      <c r="I288" s="26">
        <v>3.0</v>
      </c>
      <c r="J288" s="515"/>
      <c r="K288" s="28"/>
      <c r="L288" s="34" t="s">
        <v>1608</v>
      </c>
      <c r="M288" s="106" t="s">
        <v>1698</v>
      </c>
      <c r="N288" s="113"/>
    </row>
    <row r="289">
      <c r="A289" s="165" t="s">
        <v>1334</v>
      </c>
      <c r="B289" s="28"/>
      <c r="C289" s="22">
        <v>1000000.0</v>
      </c>
      <c r="D289" s="26">
        <v>2020.0</v>
      </c>
      <c r="E289" s="26" t="s">
        <v>2395</v>
      </c>
      <c r="F289" s="130" t="s">
        <v>28</v>
      </c>
      <c r="G289" s="130" t="s">
        <v>23</v>
      </c>
      <c r="H289" s="130" t="s">
        <v>29</v>
      </c>
      <c r="I289" s="130">
        <v>1.0</v>
      </c>
      <c r="J289" s="515"/>
      <c r="K289" s="28"/>
      <c r="L289" s="34" t="s">
        <v>1665</v>
      </c>
      <c r="M289" s="106" t="s">
        <v>1700</v>
      </c>
      <c r="N289" s="113"/>
    </row>
    <row r="290">
      <c r="A290" s="114" t="s">
        <v>1701</v>
      </c>
      <c r="B290" s="28"/>
      <c r="C290" s="22">
        <v>175350.0</v>
      </c>
      <c r="D290" s="26">
        <v>2020.0</v>
      </c>
      <c r="E290" s="26" t="s">
        <v>2454</v>
      </c>
      <c r="F290" s="130" t="s">
        <v>2514</v>
      </c>
      <c r="G290" s="130" t="s">
        <v>51</v>
      </c>
      <c r="H290" s="28"/>
      <c r="I290" s="26">
        <v>2.0</v>
      </c>
      <c r="J290" s="515"/>
      <c r="K290" s="28"/>
      <c r="L290" s="105" t="s">
        <v>1026</v>
      </c>
      <c r="M290" s="106" t="s">
        <v>1703</v>
      </c>
      <c r="N290" s="136"/>
    </row>
    <row r="291">
      <c r="A291" s="165" t="s">
        <v>710</v>
      </c>
      <c r="B291" s="28"/>
      <c r="C291" s="22">
        <v>1270000.0</v>
      </c>
      <c r="D291" s="26">
        <v>2020.0</v>
      </c>
      <c r="E291" s="26" t="s">
        <v>2386</v>
      </c>
      <c r="F291" s="130" t="s">
        <v>2007</v>
      </c>
      <c r="G291" s="130" t="s">
        <v>23</v>
      </c>
      <c r="H291" s="28"/>
      <c r="I291" s="26">
        <v>2.0</v>
      </c>
      <c r="J291" s="515"/>
      <c r="K291" s="28"/>
      <c r="L291" s="34" t="s">
        <v>629</v>
      </c>
      <c r="M291" s="106" t="s">
        <v>1705</v>
      </c>
      <c r="N291" s="113"/>
    </row>
    <row r="292">
      <c r="A292" s="165" t="s">
        <v>1706</v>
      </c>
      <c r="B292" s="115" t="s">
        <v>1707</v>
      </c>
      <c r="C292" s="22">
        <v>1900000.0</v>
      </c>
      <c r="D292" s="26">
        <v>2020.0</v>
      </c>
      <c r="E292" s="26" t="s">
        <v>2368</v>
      </c>
      <c r="F292" s="130" t="s">
        <v>2514</v>
      </c>
      <c r="G292" s="26" t="s">
        <v>1034</v>
      </c>
      <c r="H292" s="28"/>
      <c r="I292" s="225" t="s">
        <v>1677</v>
      </c>
      <c r="J292" s="515"/>
      <c r="K292" s="28"/>
      <c r="L292" s="34" t="s">
        <v>1709</v>
      </c>
      <c r="M292" s="106" t="s">
        <v>1710</v>
      </c>
      <c r="N292" s="109"/>
    </row>
    <row r="293">
      <c r="A293" s="114" t="s">
        <v>1711</v>
      </c>
      <c r="B293" s="130" t="s">
        <v>1712</v>
      </c>
      <c r="C293" s="22">
        <v>514330.0</v>
      </c>
      <c r="D293" s="26">
        <v>2020.0</v>
      </c>
      <c r="E293" s="111" t="s">
        <v>2416</v>
      </c>
      <c r="F293" s="130" t="s">
        <v>2514</v>
      </c>
      <c r="G293" s="26" t="s">
        <v>1034</v>
      </c>
      <c r="H293" s="28"/>
      <c r="I293" s="26">
        <v>4.0</v>
      </c>
      <c r="J293" s="515"/>
      <c r="K293" s="53"/>
      <c r="L293" s="34" t="s">
        <v>1714</v>
      </c>
      <c r="M293" s="135" t="s">
        <v>1715</v>
      </c>
      <c r="N293" s="136"/>
    </row>
    <row r="294">
      <c r="A294" s="114" t="s">
        <v>1716</v>
      </c>
      <c r="B294" s="28"/>
      <c r="C294" s="22">
        <v>400000.0</v>
      </c>
      <c r="D294" s="26">
        <v>2020.0</v>
      </c>
      <c r="E294" s="26" t="s">
        <v>2426</v>
      </c>
      <c r="F294" s="130" t="s">
        <v>2514</v>
      </c>
      <c r="G294" s="26" t="s">
        <v>1034</v>
      </c>
      <c r="H294" s="28"/>
      <c r="I294" s="26">
        <v>4.0</v>
      </c>
      <c r="J294" s="515"/>
      <c r="K294" s="53"/>
      <c r="L294" s="34" t="s">
        <v>1718</v>
      </c>
      <c r="M294" s="135" t="s">
        <v>1719</v>
      </c>
      <c r="N294" s="136"/>
    </row>
    <row r="295">
      <c r="A295" s="165" t="s">
        <v>1720</v>
      </c>
      <c r="B295" s="130" t="s">
        <v>1721</v>
      </c>
      <c r="C295" s="22">
        <v>8600000.0</v>
      </c>
      <c r="D295" s="26">
        <v>2020.0</v>
      </c>
      <c r="E295" s="26" t="s">
        <v>2299</v>
      </c>
      <c r="F295" s="130" t="s">
        <v>2514</v>
      </c>
      <c r="G295" s="26" t="s">
        <v>1034</v>
      </c>
      <c r="H295" s="130" t="s">
        <v>29</v>
      </c>
      <c r="I295" s="26">
        <v>4.0</v>
      </c>
      <c r="J295" s="515"/>
      <c r="K295" s="28"/>
      <c r="L295" s="105" t="s">
        <v>1723</v>
      </c>
      <c r="M295" s="106" t="s">
        <v>1724</v>
      </c>
      <c r="N295" s="113"/>
    </row>
    <row r="296">
      <c r="A296" s="114" t="s">
        <v>1725</v>
      </c>
      <c r="B296" s="28"/>
      <c r="C296" s="22">
        <v>180000.0</v>
      </c>
      <c r="D296" s="26">
        <v>2020.0</v>
      </c>
      <c r="E296" s="26" t="s">
        <v>2453</v>
      </c>
      <c r="F296" s="130" t="s">
        <v>64</v>
      </c>
      <c r="G296" s="130" t="s">
        <v>23</v>
      </c>
      <c r="H296" s="28"/>
      <c r="I296" s="130">
        <v>1.0</v>
      </c>
      <c r="J296" s="515"/>
      <c r="K296" s="28"/>
      <c r="L296" s="53" t="s">
        <v>1613</v>
      </c>
      <c r="M296" s="106" t="s">
        <v>1727</v>
      </c>
      <c r="N296" s="113"/>
    </row>
    <row r="297">
      <c r="A297" s="165" t="s">
        <v>1728</v>
      </c>
      <c r="B297" s="28"/>
      <c r="C297" s="22">
        <v>2.46E7</v>
      </c>
      <c r="D297" s="26">
        <v>2020.0</v>
      </c>
      <c r="E297" s="26" t="s">
        <v>2268</v>
      </c>
      <c r="F297" s="130" t="s">
        <v>236</v>
      </c>
      <c r="G297" s="130" t="s">
        <v>23</v>
      </c>
      <c r="H297" s="28"/>
      <c r="I297" s="26">
        <v>3.0</v>
      </c>
      <c r="J297" s="515"/>
      <c r="K297" s="28"/>
      <c r="L297" s="34" t="s">
        <v>1224</v>
      </c>
      <c r="M297" s="106" t="s">
        <v>1730</v>
      </c>
      <c r="N297" s="113"/>
    </row>
    <row r="298">
      <c r="A298" s="165" t="s">
        <v>1731</v>
      </c>
      <c r="B298" s="53"/>
      <c r="C298" s="22">
        <v>283000.0</v>
      </c>
      <c r="D298" s="26">
        <v>2020.0</v>
      </c>
      <c r="E298" s="26" t="s">
        <v>2437</v>
      </c>
      <c r="F298" s="130" t="s">
        <v>43</v>
      </c>
      <c r="G298" s="26" t="s">
        <v>23</v>
      </c>
      <c r="H298" s="130" t="s">
        <v>29</v>
      </c>
      <c r="I298" s="26">
        <v>2.0</v>
      </c>
      <c r="J298" s="515"/>
      <c r="K298" s="28"/>
      <c r="L298" s="34" t="s">
        <v>1733</v>
      </c>
      <c r="M298" s="106" t="s">
        <v>1734</v>
      </c>
      <c r="N298" s="113"/>
    </row>
    <row r="299">
      <c r="A299" s="165" t="s">
        <v>1735</v>
      </c>
      <c r="B299" s="130" t="s">
        <v>1736</v>
      </c>
      <c r="C299" s="22">
        <v>210000.0</v>
      </c>
      <c r="D299" s="26">
        <v>2020.0</v>
      </c>
      <c r="E299" s="26" t="s">
        <v>2446</v>
      </c>
      <c r="F299" s="130" t="s">
        <v>64</v>
      </c>
      <c r="G299" s="26" t="s">
        <v>23</v>
      </c>
      <c r="H299" s="130" t="s">
        <v>29</v>
      </c>
      <c r="I299" s="26">
        <v>5.0</v>
      </c>
      <c r="J299" s="515"/>
      <c r="K299" s="28"/>
      <c r="L299" s="105" t="s">
        <v>918</v>
      </c>
      <c r="M299" s="106" t="s">
        <v>1738</v>
      </c>
      <c r="N299" s="113"/>
    </row>
    <row r="300">
      <c r="A300" s="165" t="s">
        <v>1739</v>
      </c>
      <c r="B300" s="28"/>
      <c r="C300" s="22">
        <v>1000000.0</v>
      </c>
      <c r="D300" s="26">
        <v>2020.0</v>
      </c>
      <c r="E300" s="26" t="s">
        <v>2396</v>
      </c>
      <c r="F300" s="130" t="s">
        <v>64</v>
      </c>
      <c r="G300" s="26" t="s">
        <v>23</v>
      </c>
      <c r="H300" s="28"/>
      <c r="I300" s="26">
        <v>2.0</v>
      </c>
      <c r="J300" s="515"/>
      <c r="K300" s="28"/>
      <c r="L300" s="34" t="s">
        <v>1026</v>
      </c>
      <c r="M300" s="106" t="s">
        <v>1741</v>
      </c>
      <c r="N300" s="113"/>
    </row>
    <row r="301">
      <c r="A301" s="165" t="s">
        <v>1742</v>
      </c>
      <c r="B301" s="419" t="s">
        <v>1743</v>
      </c>
      <c r="C301" s="22">
        <v>3.5E7</v>
      </c>
      <c r="D301" s="26">
        <v>2020.0</v>
      </c>
      <c r="E301" s="26" t="s">
        <v>2257</v>
      </c>
      <c r="F301" s="130" t="s">
        <v>28</v>
      </c>
      <c r="G301" s="130" t="s">
        <v>23</v>
      </c>
      <c r="H301" s="28"/>
      <c r="I301" s="26">
        <v>3.0</v>
      </c>
      <c r="J301" s="515"/>
      <c r="K301" s="28"/>
      <c r="L301" s="53" t="s">
        <v>1745</v>
      </c>
      <c r="M301" s="106" t="s">
        <v>1746</v>
      </c>
      <c r="N301" s="113"/>
    </row>
    <row r="302">
      <c r="A302" s="165" t="s">
        <v>1747</v>
      </c>
      <c r="B302" s="130" t="s">
        <v>1748</v>
      </c>
      <c r="C302" s="22">
        <v>200000.0</v>
      </c>
      <c r="D302" s="26">
        <v>2020.0</v>
      </c>
      <c r="E302" s="26" t="s">
        <v>1749</v>
      </c>
      <c r="F302" s="130" t="s">
        <v>43</v>
      </c>
      <c r="G302" s="130" t="s">
        <v>23</v>
      </c>
      <c r="H302" s="28"/>
      <c r="I302" s="26">
        <v>3.0</v>
      </c>
      <c r="J302" s="515"/>
      <c r="K302" s="28"/>
      <c r="L302" s="105" t="s">
        <v>918</v>
      </c>
      <c r="M302" s="106" t="s">
        <v>1750</v>
      </c>
      <c r="N302" s="113"/>
    </row>
    <row r="303">
      <c r="A303" s="165" t="s">
        <v>1751</v>
      </c>
      <c r="B303" s="419" t="s">
        <v>1752</v>
      </c>
      <c r="C303" s="22">
        <v>1.32E7</v>
      </c>
      <c r="D303" s="26">
        <v>2020.0</v>
      </c>
      <c r="E303" s="26" t="s">
        <v>2284</v>
      </c>
      <c r="F303" s="130" t="s">
        <v>28</v>
      </c>
      <c r="G303" s="130" t="s">
        <v>23</v>
      </c>
      <c r="H303" s="28"/>
      <c r="I303" s="26">
        <v>2.0</v>
      </c>
      <c r="J303" s="515"/>
      <c r="K303" s="28"/>
      <c r="L303" s="34" t="s">
        <v>286</v>
      </c>
      <c r="M303" s="106" t="s">
        <v>1754</v>
      </c>
      <c r="N303" s="113"/>
    </row>
    <row r="304">
      <c r="A304" s="114" t="s">
        <v>1755</v>
      </c>
      <c r="B304" s="130" t="s">
        <v>1756</v>
      </c>
      <c r="C304" s="22">
        <v>1600000.0</v>
      </c>
      <c r="D304" s="26">
        <v>2020.0</v>
      </c>
      <c r="E304" s="26" t="s">
        <v>2374</v>
      </c>
      <c r="F304" s="130" t="s">
        <v>2514</v>
      </c>
      <c r="G304" s="26" t="s">
        <v>1034</v>
      </c>
      <c r="H304" s="28"/>
      <c r="I304" s="26">
        <v>4.0</v>
      </c>
      <c r="J304" s="515"/>
      <c r="K304" s="53"/>
      <c r="L304" s="34" t="s">
        <v>1758</v>
      </c>
      <c r="M304" s="135" t="s">
        <v>1759</v>
      </c>
      <c r="N304" s="136"/>
    </row>
    <row r="305">
      <c r="A305" s="114" t="s">
        <v>1760</v>
      </c>
      <c r="B305" s="28"/>
      <c r="C305" s="22">
        <v>4243434.0</v>
      </c>
      <c r="D305" s="26">
        <v>2020.0</v>
      </c>
      <c r="E305" s="26" t="s">
        <v>2323</v>
      </c>
      <c r="F305" s="130" t="s">
        <v>2514</v>
      </c>
      <c r="G305" s="26" t="s">
        <v>1034</v>
      </c>
      <c r="H305" s="28"/>
      <c r="I305" s="26">
        <v>2.0</v>
      </c>
      <c r="J305" s="515"/>
      <c r="K305" s="53"/>
      <c r="L305" s="105" t="s">
        <v>1106</v>
      </c>
      <c r="M305" s="135" t="s">
        <v>1762</v>
      </c>
      <c r="N305" s="136"/>
    </row>
    <row r="306">
      <c r="A306" s="165" t="s">
        <v>1763</v>
      </c>
      <c r="B306" s="130" t="s">
        <v>1764</v>
      </c>
      <c r="C306" s="22">
        <v>4901432.0</v>
      </c>
      <c r="D306" s="26">
        <v>2020.0</v>
      </c>
      <c r="E306" s="26" t="s">
        <v>2319</v>
      </c>
      <c r="F306" s="130" t="s">
        <v>2521</v>
      </c>
      <c r="G306" s="26" t="s">
        <v>1034</v>
      </c>
      <c r="H306" s="28"/>
      <c r="I306" s="26">
        <v>4.0</v>
      </c>
      <c r="J306" s="515"/>
      <c r="K306" s="28"/>
      <c r="L306" s="34" t="s">
        <v>286</v>
      </c>
      <c r="M306" s="106" t="s">
        <v>1767</v>
      </c>
      <c r="N306" s="113"/>
    </row>
    <row r="307">
      <c r="A307" s="114" t="s">
        <v>1768</v>
      </c>
      <c r="B307" s="28"/>
      <c r="C307" s="22">
        <v>1220000.0</v>
      </c>
      <c r="D307" s="26">
        <v>2020.0</v>
      </c>
      <c r="E307" s="26" t="s">
        <v>2387</v>
      </c>
      <c r="F307" s="130" t="s">
        <v>2514</v>
      </c>
      <c r="G307" s="26" t="s">
        <v>1034</v>
      </c>
      <c r="H307" s="28"/>
      <c r="I307" s="225" t="s">
        <v>1770</v>
      </c>
      <c r="J307" s="515"/>
      <c r="K307" s="53"/>
      <c r="L307" s="34" t="s">
        <v>1771</v>
      </c>
      <c r="M307" s="135" t="s">
        <v>1772</v>
      </c>
      <c r="N307" s="432"/>
    </row>
    <row r="308">
      <c r="A308" s="165" t="s">
        <v>1773</v>
      </c>
      <c r="B308" s="130" t="s">
        <v>1774</v>
      </c>
      <c r="C308" s="22">
        <v>1023209.0</v>
      </c>
      <c r="D308" s="26">
        <v>2020.0</v>
      </c>
      <c r="E308" s="26" t="s">
        <v>2391</v>
      </c>
      <c r="F308" s="130" t="s">
        <v>2514</v>
      </c>
      <c r="G308" s="26" t="s">
        <v>1034</v>
      </c>
      <c r="H308" s="130" t="s">
        <v>29</v>
      </c>
      <c r="I308" s="26">
        <v>2.0</v>
      </c>
      <c r="J308" s="515"/>
      <c r="K308" s="28"/>
      <c r="L308" s="34" t="s">
        <v>1026</v>
      </c>
      <c r="M308" s="106" t="s">
        <v>1776</v>
      </c>
      <c r="N308" s="109"/>
    </row>
    <row r="309">
      <c r="A309" s="165" t="s">
        <v>1777</v>
      </c>
      <c r="B309" s="115" t="s">
        <v>1778</v>
      </c>
      <c r="C309" s="22">
        <v>260000.0</v>
      </c>
      <c r="D309" s="26">
        <v>2020.0</v>
      </c>
      <c r="E309" s="34" t="s">
        <v>2441</v>
      </c>
      <c r="F309" s="130" t="s">
        <v>1676</v>
      </c>
      <c r="G309" s="130" t="s">
        <v>59</v>
      </c>
      <c r="H309" s="130" t="s">
        <v>29</v>
      </c>
      <c r="I309" s="26">
        <v>5.0</v>
      </c>
      <c r="J309" s="515"/>
      <c r="K309" s="28"/>
      <c r="L309" s="53" t="s">
        <v>507</v>
      </c>
      <c r="M309" s="106" t="s">
        <v>1780</v>
      </c>
      <c r="N309" s="113"/>
    </row>
    <row r="310">
      <c r="A310" s="181" t="s">
        <v>1781</v>
      </c>
      <c r="B310" s="130" t="s">
        <v>1782</v>
      </c>
      <c r="C310" s="22">
        <v>1500000.0</v>
      </c>
      <c r="D310" s="26">
        <v>2020.0</v>
      </c>
      <c r="E310" s="26" t="s">
        <v>2380</v>
      </c>
      <c r="F310" s="130" t="s">
        <v>28</v>
      </c>
      <c r="G310" s="130" t="s">
        <v>23</v>
      </c>
      <c r="H310" s="28"/>
      <c r="I310" s="26">
        <v>2.0</v>
      </c>
      <c r="J310" s="515"/>
      <c r="K310" s="28"/>
      <c r="L310" s="53" t="s">
        <v>507</v>
      </c>
      <c r="M310" s="106" t="s">
        <v>1784</v>
      </c>
      <c r="N310" s="166" t="s">
        <v>1785</v>
      </c>
    </row>
    <row r="311">
      <c r="A311" s="114" t="s">
        <v>1786</v>
      </c>
      <c r="B311" s="130" t="s">
        <v>1787</v>
      </c>
      <c r="C311" s="22">
        <v>398000.0</v>
      </c>
      <c r="D311" s="26">
        <v>2020.0</v>
      </c>
      <c r="E311" s="26" t="s">
        <v>2427</v>
      </c>
      <c r="F311" s="130" t="s">
        <v>2514</v>
      </c>
      <c r="G311" s="26" t="s">
        <v>1034</v>
      </c>
      <c r="H311" s="28"/>
      <c r="I311" s="26">
        <v>4.0</v>
      </c>
      <c r="J311" s="515"/>
      <c r="K311" s="53"/>
      <c r="L311" s="53" t="s">
        <v>1026</v>
      </c>
      <c r="M311" s="135" t="s">
        <v>1789</v>
      </c>
      <c r="N311" s="19"/>
    </row>
    <row r="312">
      <c r="A312" s="165" t="s">
        <v>1790</v>
      </c>
      <c r="B312" s="28"/>
      <c r="C312" s="22">
        <v>760000.0</v>
      </c>
      <c r="D312" s="26">
        <v>2020.0</v>
      </c>
      <c r="E312" s="26" t="s">
        <v>2407</v>
      </c>
      <c r="F312" s="130" t="s">
        <v>2060</v>
      </c>
      <c r="G312" s="130" t="s">
        <v>23</v>
      </c>
      <c r="H312" s="28"/>
      <c r="I312" s="26">
        <v>2.0</v>
      </c>
      <c r="J312" s="515"/>
      <c r="K312" s="28"/>
      <c r="L312" s="105" t="s">
        <v>1792</v>
      </c>
      <c r="M312" s="106" t="s">
        <v>1793</v>
      </c>
      <c r="N312" s="113"/>
    </row>
    <row r="313">
      <c r="A313" s="114" t="s">
        <v>1794</v>
      </c>
      <c r="B313" s="130" t="s">
        <v>1795</v>
      </c>
      <c r="C313" s="22">
        <v>180111.0</v>
      </c>
      <c r="D313" s="26">
        <v>2020.0</v>
      </c>
      <c r="E313" s="26" t="s">
        <v>2452</v>
      </c>
      <c r="F313" s="130" t="s">
        <v>2514</v>
      </c>
      <c r="G313" s="26" t="s">
        <v>1034</v>
      </c>
      <c r="H313" s="28"/>
      <c r="I313" s="26">
        <v>4.0</v>
      </c>
      <c r="J313" s="515"/>
      <c r="K313" s="53"/>
      <c r="L313" s="34" t="s">
        <v>1797</v>
      </c>
      <c r="M313" s="135" t="s">
        <v>1798</v>
      </c>
      <c r="N313" s="136"/>
    </row>
    <row r="314">
      <c r="A314" s="114" t="s">
        <v>1799</v>
      </c>
      <c r="B314" s="115" t="s">
        <v>1800</v>
      </c>
      <c r="C314" s="22">
        <v>105470.0</v>
      </c>
      <c r="D314" s="26">
        <v>2020.0</v>
      </c>
      <c r="E314" s="26" t="s">
        <v>2474</v>
      </c>
      <c r="F314" s="130" t="s">
        <v>2514</v>
      </c>
      <c r="G314" s="26" t="s">
        <v>1034</v>
      </c>
      <c r="H314" s="28"/>
      <c r="I314" s="26">
        <v>2.0</v>
      </c>
      <c r="J314" s="515"/>
      <c r="K314" s="28"/>
      <c r="L314" s="34" t="s">
        <v>1026</v>
      </c>
      <c r="M314" s="135" t="s">
        <v>1802</v>
      </c>
      <c r="N314" s="136"/>
    </row>
    <row r="315">
      <c r="A315" s="165" t="s">
        <v>244</v>
      </c>
      <c r="B315" s="130" t="s">
        <v>1803</v>
      </c>
      <c r="C315" s="22">
        <v>114000.0</v>
      </c>
      <c r="D315" s="26">
        <v>2020.0</v>
      </c>
      <c r="E315" s="26" t="s">
        <v>2470</v>
      </c>
      <c r="F315" s="130" t="s">
        <v>129</v>
      </c>
      <c r="G315" s="130" t="s">
        <v>23</v>
      </c>
      <c r="H315" s="130" t="s">
        <v>29</v>
      </c>
      <c r="I315" s="130">
        <v>1.0</v>
      </c>
      <c r="J315" s="515"/>
      <c r="K315" s="28"/>
      <c r="L315" s="53" t="s">
        <v>507</v>
      </c>
      <c r="M315" s="106" t="s">
        <v>1805</v>
      </c>
      <c r="N315" s="113"/>
    </row>
    <row r="316">
      <c r="A316" s="114" t="s">
        <v>1806</v>
      </c>
      <c r="B316" s="28"/>
      <c r="C316" s="22">
        <v>130495.0</v>
      </c>
      <c r="D316" s="26">
        <v>2020.0</v>
      </c>
      <c r="E316" s="26" t="s">
        <v>2465</v>
      </c>
      <c r="F316" s="130" t="s">
        <v>2514</v>
      </c>
      <c r="G316" s="26" t="s">
        <v>1034</v>
      </c>
      <c r="H316" s="28"/>
      <c r="I316" s="26">
        <v>4.0</v>
      </c>
      <c r="J316" s="515"/>
      <c r="K316" s="28"/>
      <c r="L316" s="34" t="s">
        <v>1808</v>
      </c>
      <c r="M316" s="135" t="s">
        <v>1809</v>
      </c>
      <c r="N316" s="136"/>
    </row>
    <row r="317">
      <c r="A317" s="165" t="s">
        <v>1810</v>
      </c>
      <c r="B317" s="130" t="s">
        <v>1811</v>
      </c>
      <c r="C317" s="22">
        <v>3300000.0</v>
      </c>
      <c r="D317" s="26">
        <v>2020.0</v>
      </c>
      <c r="E317" s="26" t="s">
        <v>2341</v>
      </c>
      <c r="F317" s="130" t="s">
        <v>2153</v>
      </c>
      <c r="G317" s="26" t="s">
        <v>1034</v>
      </c>
      <c r="H317" s="130" t="s">
        <v>29</v>
      </c>
      <c r="I317" s="26">
        <v>2.0</v>
      </c>
      <c r="J317" s="515"/>
      <c r="K317" s="28"/>
      <c r="L317" s="105" t="s">
        <v>1813</v>
      </c>
      <c r="M317" s="135" t="s">
        <v>1814</v>
      </c>
      <c r="N317" s="113"/>
    </row>
    <row r="318">
      <c r="A318" s="539" t="s">
        <v>2538</v>
      </c>
      <c r="B318" s="541" t="s">
        <v>2539</v>
      </c>
      <c r="C318" s="525">
        <v>251000.0</v>
      </c>
      <c r="D318" s="26">
        <v>2020.0</v>
      </c>
      <c r="E318" s="529" t="s">
        <v>2540</v>
      </c>
      <c r="F318" s="541" t="s">
        <v>64</v>
      </c>
      <c r="G318" s="541" t="s">
        <v>59</v>
      </c>
      <c r="H318" s="527"/>
      <c r="I318" s="526">
        <v>5.0</v>
      </c>
      <c r="J318" s="542"/>
      <c r="K318" s="527"/>
      <c r="L318" s="529" t="s">
        <v>2541</v>
      </c>
      <c r="M318" s="536" t="s">
        <v>2542</v>
      </c>
      <c r="N318" s="536" t="s">
        <v>2543</v>
      </c>
    </row>
    <row r="319">
      <c r="A319" s="165" t="s">
        <v>1815</v>
      </c>
      <c r="B319" s="28"/>
      <c r="C319" s="22">
        <v>400000.0</v>
      </c>
      <c r="D319" s="26">
        <v>2020.0</v>
      </c>
      <c r="E319" s="26" t="s">
        <v>1816</v>
      </c>
      <c r="F319" s="130" t="s">
        <v>2153</v>
      </c>
      <c r="G319" s="130" t="s">
        <v>23</v>
      </c>
      <c r="H319" s="28"/>
      <c r="I319" s="26">
        <v>3.0</v>
      </c>
      <c r="J319" s="515"/>
      <c r="K319" s="28"/>
      <c r="L319" s="34" t="s">
        <v>1817</v>
      </c>
      <c r="M319" s="106" t="s">
        <v>1818</v>
      </c>
      <c r="N319" s="113"/>
    </row>
    <row r="320">
      <c r="A320" s="165" t="s">
        <v>1819</v>
      </c>
      <c r="B320" s="28"/>
      <c r="C320" s="22">
        <v>392000.0</v>
      </c>
      <c r="D320" s="26">
        <v>2020.0</v>
      </c>
      <c r="E320" s="111" t="s">
        <v>2428</v>
      </c>
      <c r="F320" s="130" t="s">
        <v>64</v>
      </c>
      <c r="G320" s="130" t="s">
        <v>59</v>
      </c>
      <c r="H320" s="28"/>
      <c r="I320" s="26">
        <v>2.0</v>
      </c>
      <c r="J320" s="515"/>
      <c r="K320" s="28"/>
      <c r="L320" s="53" t="s">
        <v>278</v>
      </c>
      <c r="M320" s="106" t="s">
        <v>1821</v>
      </c>
      <c r="N320" s="113"/>
    </row>
    <row r="321">
      <c r="A321" s="545" t="s">
        <v>2544</v>
      </c>
      <c r="B321" s="527"/>
      <c r="C321" s="525">
        <v>115000.0</v>
      </c>
      <c r="D321" s="26">
        <v>2020.0</v>
      </c>
      <c r="E321" s="526" t="s">
        <v>2545</v>
      </c>
      <c r="F321" s="541" t="s">
        <v>2514</v>
      </c>
      <c r="G321" s="541" t="s">
        <v>23</v>
      </c>
      <c r="H321" s="527"/>
      <c r="I321" s="526">
        <v>4.0</v>
      </c>
      <c r="J321" s="542"/>
      <c r="K321" s="543"/>
      <c r="L321" s="529" t="s">
        <v>2546</v>
      </c>
      <c r="M321" s="546" t="s">
        <v>2547</v>
      </c>
      <c r="N321" s="547"/>
    </row>
    <row r="322">
      <c r="A322" s="165" t="s">
        <v>1822</v>
      </c>
      <c r="B322" s="130" t="s">
        <v>1823</v>
      </c>
      <c r="C322" s="22">
        <v>1.3E8</v>
      </c>
      <c r="D322" s="26">
        <v>2020.0</v>
      </c>
      <c r="E322" s="26" t="s">
        <v>2199</v>
      </c>
      <c r="F322" s="130" t="s">
        <v>2153</v>
      </c>
      <c r="G322" s="130" t="s">
        <v>23</v>
      </c>
      <c r="H322" s="130" t="s">
        <v>29</v>
      </c>
      <c r="I322" s="26">
        <v>3.0</v>
      </c>
      <c r="J322" s="513">
        <v>1.3E8</v>
      </c>
      <c r="K322" s="28"/>
      <c r="L322" s="105" t="s">
        <v>1826</v>
      </c>
      <c r="M322" s="106" t="s">
        <v>1827</v>
      </c>
      <c r="N322" s="109"/>
    </row>
    <row r="323" ht="17.25" customHeight="1">
      <c r="A323" s="165" t="s">
        <v>1828</v>
      </c>
      <c r="B323" s="28"/>
      <c r="C323" s="22">
        <v>131000.0</v>
      </c>
      <c r="D323" s="26">
        <v>2020.0</v>
      </c>
      <c r="E323" s="26" t="s">
        <v>2464</v>
      </c>
      <c r="F323" s="130" t="s">
        <v>1676</v>
      </c>
      <c r="G323" s="26" t="s">
        <v>1034</v>
      </c>
      <c r="H323" s="130" t="s">
        <v>29</v>
      </c>
      <c r="I323" s="26">
        <v>2.0</v>
      </c>
      <c r="J323" s="515"/>
      <c r="K323" s="28"/>
      <c r="L323" s="105" t="s">
        <v>1088</v>
      </c>
      <c r="M323" s="106" t="s">
        <v>1830</v>
      </c>
      <c r="N323" s="113"/>
    </row>
    <row r="324">
      <c r="A324" s="165" t="s">
        <v>1831</v>
      </c>
      <c r="B324" s="130" t="s">
        <v>1832</v>
      </c>
      <c r="C324" s="22">
        <v>3.2E7</v>
      </c>
      <c r="D324" s="26">
        <v>2020.0</v>
      </c>
      <c r="E324" s="26" t="s">
        <v>2260</v>
      </c>
      <c r="F324" s="130" t="s">
        <v>1834</v>
      </c>
      <c r="G324" s="130" t="s">
        <v>23</v>
      </c>
      <c r="H324" s="130" t="s">
        <v>29</v>
      </c>
      <c r="I324" s="26">
        <v>1.0</v>
      </c>
      <c r="J324" s="515"/>
      <c r="K324" s="28"/>
      <c r="L324" s="120" t="s">
        <v>34</v>
      </c>
      <c r="M324" s="106" t="s">
        <v>1835</v>
      </c>
      <c r="N324" s="113"/>
    </row>
    <row r="325">
      <c r="A325" s="165" t="s">
        <v>1836</v>
      </c>
      <c r="B325" s="130" t="s">
        <v>1837</v>
      </c>
      <c r="C325" s="22">
        <v>5000000.0</v>
      </c>
      <c r="D325" s="26">
        <v>2020.0</v>
      </c>
      <c r="E325" s="26" t="s">
        <v>2318</v>
      </c>
      <c r="F325" s="130" t="s">
        <v>2153</v>
      </c>
      <c r="G325" s="130" t="s">
        <v>23</v>
      </c>
      <c r="H325" s="130" t="s">
        <v>29</v>
      </c>
      <c r="I325" s="130">
        <v>1.0</v>
      </c>
      <c r="J325" s="515"/>
      <c r="K325" s="28"/>
      <c r="L325" s="120" t="s">
        <v>1839</v>
      </c>
      <c r="M325" s="106" t="s">
        <v>1840</v>
      </c>
      <c r="N325" s="113"/>
    </row>
    <row r="326">
      <c r="A326" s="165" t="s">
        <v>1841</v>
      </c>
      <c r="B326" s="130" t="s">
        <v>1842</v>
      </c>
      <c r="C326" s="22">
        <v>573000.0</v>
      </c>
      <c r="D326" s="26">
        <v>2020.0</v>
      </c>
      <c r="E326" s="26" t="s">
        <v>2412</v>
      </c>
      <c r="F326" s="26" t="s">
        <v>28</v>
      </c>
      <c r="G326" s="130" t="s">
        <v>23</v>
      </c>
      <c r="H326" s="28"/>
      <c r="I326" s="26">
        <v>3.0</v>
      </c>
      <c r="J326" s="515"/>
      <c r="K326" s="28"/>
      <c r="L326" s="34" t="s">
        <v>710</v>
      </c>
      <c r="M326" s="106" t="s">
        <v>1844</v>
      </c>
      <c r="N326" s="432"/>
    </row>
    <row r="327">
      <c r="A327" s="165" t="s">
        <v>1845</v>
      </c>
      <c r="B327" s="28"/>
      <c r="C327" s="22">
        <v>531400.0</v>
      </c>
      <c r="D327" s="26">
        <v>2020.0</v>
      </c>
      <c r="E327" s="26" t="s">
        <v>2415</v>
      </c>
      <c r="F327" s="130" t="s">
        <v>2514</v>
      </c>
      <c r="G327" s="130" t="s">
        <v>23</v>
      </c>
      <c r="H327" s="130" t="s">
        <v>29</v>
      </c>
      <c r="I327" s="26">
        <v>2.0</v>
      </c>
      <c r="J327" s="515"/>
      <c r="K327" s="28"/>
      <c r="L327" s="34" t="s">
        <v>1847</v>
      </c>
      <c r="M327" s="106" t="s">
        <v>1848</v>
      </c>
      <c r="N327" s="113"/>
    </row>
    <row r="328">
      <c r="A328" s="539" t="s">
        <v>2548</v>
      </c>
      <c r="B328" s="527"/>
      <c r="C328" s="525">
        <v>8257378.0</v>
      </c>
      <c r="D328" s="26">
        <v>2020.0</v>
      </c>
      <c r="E328" s="526" t="s">
        <v>2549</v>
      </c>
      <c r="F328" s="541" t="s">
        <v>2520</v>
      </c>
      <c r="G328" s="541" t="s">
        <v>23</v>
      </c>
      <c r="H328" s="541" t="s">
        <v>29</v>
      </c>
      <c r="I328" s="526">
        <v>4.0</v>
      </c>
      <c r="J328" s="542"/>
      <c r="K328" s="527"/>
      <c r="L328" s="537" t="s">
        <v>710</v>
      </c>
      <c r="M328" s="536" t="s">
        <v>2550</v>
      </c>
      <c r="N328" s="538"/>
    </row>
    <row r="329">
      <c r="A329" s="165" t="s">
        <v>1849</v>
      </c>
      <c r="B329" s="130" t="s">
        <v>1850</v>
      </c>
      <c r="C329" s="22">
        <v>160000.0</v>
      </c>
      <c r="D329" s="26">
        <v>2020.0</v>
      </c>
      <c r="E329" s="26" t="s">
        <v>2458</v>
      </c>
      <c r="F329" s="130" t="s">
        <v>2060</v>
      </c>
      <c r="G329" s="130" t="s">
        <v>23</v>
      </c>
      <c r="H329" s="28"/>
      <c r="I329" s="26">
        <v>3.0</v>
      </c>
      <c r="J329" s="515"/>
      <c r="K329" s="28"/>
      <c r="L329" s="105" t="s">
        <v>1599</v>
      </c>
      <c r="M329" s="106" t="s">
        <v>1852</v>
      </c>
      <c r="N329" s="113"/>
    </row>
    <row r="330">
      <c r="A330" s="165" t="s">
        <v>1853</v>
      </c>
      <c r="B330" s="130" t="s">
        <v>1854</v>
      </c>
      <c r="C330" s="22">
        <v>1500000.0</v>
      </c>
      <c r="D330" s="26">
        <v>2020.0</v>
      </c>
      <c r="E330" s="26" t="s">
        <v>2381</v>
      </c>
      <c r="F330" s="130" t="s">
        <v>2514</v>
      </c>
      <c r="G330" s="26" t="s">
        <v>1034</v>
      </c>
      <c r="H330" s="130" t="s">
        <v>29</v>
      </c>
      <c r="I330" s="26">
        <v>4.0</v>
      </c>
      <c r="J330" s="515"/>
      <c r="K330" s="28"/>
      <c r="L330" s="120" t="s">
        <v>1839</v>
      </c>
      <c r="M330" s="106" t="s">
        <v>1856</v>
      </c>
      <c r="N330" s="113"/>
    </row>
    <row r="331">
      <c r="A331" s="165" t="s">
        <v>1777</v>
      </c>
      <c r="B331" s="28"/>
      <c r="C331" s="22">
        <v>7.6E7</v>
      </c>
      <c r="D331" s="26">
        <v>2020.0</v>
      </c>
      <c r="E331" s="26" t="s">
        <v>2237</v>
      </c>
      <c r="F331" s="130" t="s">
        <v>1676</v>
      </c>
      <c r="G331" s="26" t="s">
        <v>1034</v>
      </c>
      <c r="H331" s="130" t="s">
        <v>29</v>
      </c>
      <c r="I331" s="26">
        <v>2.0</v>
      </c>
      <c r="J331" s="515"/>
      <c r="K331" s="28"/>
      <c r="L331" s="105" t="s">
        <v>410</v>
      </c>
      <c r="M331" s="106" t="s">
        <v>1858</v>
      </c>
      <c r="N331" s="113"/>
    </row>
    <row r="332">
      <c r="A332" s="165" t="s">
        <v>1859</v>
      </c>
      <c r="B332" s="28"/>
      <c r="C332" s="22">
        <v>1000000.0</v>
      </c>
      <c r="D332" s="26">
        <v>2020.0</v>
      </c>
      <c r="E332" s="26" t="s">
        <v>2397</v>
      </c>
      <c r="F332" s="130" t="s">
        <v>2153</v>
      </c>
      <c r="G332" s="130" t="s">
        <v>59</v>
      </c>
      <c r="H332" s="130" t="s">
        <v>29</v>
      </c>
      <c r="I332" s="26">
        <v>3.0</v>
      </c>
      <c r="J332" s="515"/>
      <c r="K332" s="28"/>
      <c r="L332" s="34" t="s">
        <v>1224</v>
      </c>
      <c r="M332" s="106" t="s">
        <v>1861</v>
      </c>
      <c r="N332" s="432"/>
    </row>
    <row r="333">
      <c r="A333" s="165" t="s">
        <v>1862</v>
      </c>
      <c r="B333" s="130" t="s">
        <v>1863</v>
      </c>
      <c r="C333" s="22">
        <v>4200000.0</v>
      </c>
      <c r="D333" s="26">
        <v>2020.0</v>
      </c>
      <c r="E333" s="34" t="s">
        <v>2325</v>
      </c>
      <c r="F333" s="130" t="s">
        <v>43</v>
      </c>
      <c r="G333" s="130" t="s">
        <v>23</v>
      </c>
      <c r="H333" s="28"/>
      <c r="I333" s="26">
        <v>3.0</v>
      </c>
      <c r="J333" s="515"/>
      <c r="K333" s="28"/>
      <c r="L333" s="34" t="s">
        <v>1865</v>
      </c>
      <c r="M333" s="106" t="s">
        <v>1866</v>
      </c>
      <c r="N333" s="113"/>
    </row>
    <row r="334">
      <c r="A334" s="165" t="s">
        <v>1867</v>
      </c>
      <c r="B334" s="28"/>
      <c r="C334" s="22">
        <v>2100000.0</v>
      </c>
      <c r="D334" s="26">
        <v>2020.0</v>
      </c>
      <c r="E334" s="26" t="s">
        <v>2361</v>
      </c>
      <c r="F334" s="130" t="s">
        <v>2060</v>
      </c>
      <c r="G334" s="26" t="s">
        <v>1034</v>
      </c>
      <c r="H334" s="28"/>
      <c r="I334" s="26">
        <v>3.0</v>
      </c>
      <c r="J334" s="515"/>
      <c r="K334" s="28"/>
      <c r="L334" s="105" t="s">
        <v>1869</v>
      </c>
      <c r="M334" s="106" t="s">
        <v>1870</v>
      </c>
      <c r="N334" s="113"/>
    </row>
    <row r="335">
      <c r="A335" s="165" t="s">
        <v>1871</v>
      </c>
      <c r="B335" s="130" t="s">
        <v>1872</v>
      </c>
      <c r="C335" s="22">
        <v>4500000.0</v>
      </c>
      <c r="D335" s="26">
        <v>2020.0</v>
      </c>
      <c r="E335" s="26" t="s">
        <v>2322</v>
      </c>
      <c r="F335" s="130" t="s">
        <v>2153</v>
      </c>
      <c r="G335" s="26" t="s">
        <v>1034</v>
      </c>
      <c r="H335" s="28"/>
      <c r="I335" s="130">
        <v>1.0</v>
      </c>
      <c r="J335" s="515"/>
      <c r="K335" s="28"/>
      <c r="L335" s="105" t="s">
        <v>286</v>
      </c>
      <c r="M335" s="106" t="s">
        <v>1874</v>
      </c>
      <c r="N335" s="113"/>
    </row>
    <row r="336">
      <c r="A336" s="165" t="s">
        <v>1875</v>
      </c>
      <c r="B336" s="130" t="s">
        <v>1876</v>
      </c>
      <c r="C336" s="22">
        <v>2500000.0</v>
      </c>
      <c r="D336" s="26">
        <v>2020.0</v>
      </c>
      <c r="E336" s="111" t="s">
        <v>2353</v>
      </c>
      <c r="F336" s="130" t="s">
        <v>2153</v>
      </c>
      <c r="G336" s="130" t="s">
        <v>59</v>
      </c>
      <c r="H336" s="28"/>
      <c r="I336" s="26">
        <v>2.0</v>
      </c>
      <c r="J336" s="515"/>
      <c r="K336" s="28"/>
      <c r="L336" s="34" t="s">
        <v>1878</v>
      </c>
      <c r="M336" s="106" t="s">
        <v>1879</v>
      </c>
      <c r="N336" s="113"/>
    </row>
    <row r="337">
      <c r="A337" s="165" t="s">
        <v>1880</v>
      </c>
      <c r="B337" s="28"/>
      <c r="C337" s="22">
        <v>84000.0</v>
      </c>
      <c r="D337" s="26">
        <v>2020.0</v>
      </c>
      <c r="E337" s="111" t="s">
        <v>2484</v>
      </c>
      <c r="F337" s="130" t="s">
        <v>64</v>
      </c>
      <c r="G337" s="26" t="s">
        <v>1034</v>
      </c>
      <c r="H337" s="28"/>
      <c r="I337" s="26">
        <v>2.0</v>
      </c>
      <c r="J337" s="515"/>
      <c r="K337" s="28"/>
      <c r="L337" s="53" t="s">
        <v>1882</v>
      </c>
      <c r="M337" s="106" t="s">
        <v>1883</v>
      </c>
      <c r="N337" s="113"/>
    </row>
    <row r="338">
      <c r="A338" s="539" t="s">
        <v>1875</v>
      </c>
      <c r="B338" s="541" t="s">
        <v>2551</v>
      </c>
      <c r="C338" s="525">
        <v>2600000.0</v>
      </c>
      <c r="D338" s="26">
        <v>2020.0</v>
      </c>
      <c r="E338" s="529" t="s">
        <v>2552</v>
      </c>
      <c r="F338" s="541" t="s">
        <v>2153</v>
      </c>
      <c r="G338" s="541" t="s">
        <v>59</v>
      </c>
      <c r="H338" s="527"/>
      <c r="I338" s="526">
        <v>3.0</v>
      </c>
      <c r="J338" s="542"/>
      <c r="K338" s="527"/>
      <c r="L338" s="537" t="s">
        <v>1865</v>
      </c>
      <c r="M338" s="536" t="s">
        <v>2553</v>
      </c>
      <c r="N338" s="538"/>
    </row>
    <row r="339">
      <c r="A339" s="165" t="s">
        <v>1884</v>
      </c>
      <c r="B339" s="130" t="s">
        <v>1885</v>
      </c>
      <c r="C339" s="22">
        <v>1500000.0</v>
      </c>
      <c r="D339" s="26">
        <v>2020.0</v>
      </c>
      <c r="E339" s="26" t="s">
        <v>2382</v>
      </c>
      <c r="F339" s="130" t="s">
        <v>2153</v>
      </c>
      <c r="G339" s="130" t="s">
        <v>23</v>
      </c>
      <c r="H339" s="28"/>
      <c r="I339" s="225" t="s">
        <v>1562</v>
      </c>
      <c r="J339" s="515"/>
      <c r="K339" s="28"/>
      <c r="L339" s="120" t="s">
        <v>227</v>
      </c>
      <c r="M339" s="106" t="s">
        <v>1887</v>
      </c>
      <c r="N339" s="113"/>
    </row>
    <row r="340">
      <c r="A340" s="159" t="s">
        <v>1888</v>
      </c>
      <c r="B340" s="115" t="s">
        <v>1889</v>
      </c>
      <c r="C340" s="22">
        <v>1.8E7</v>
      </c>
      <c r="D340" s="26">
        <v>2020.0</v>
      </c>
      <c r="E340" s="34" t="s">
        <v>2275</v>
      </c>
      <c r="F340" s="115" t="s">
        <v>28</v>
      </c>
      <c r="G340" s="115" t="s">
        <v>23</v>
      </c>
      <c r="H340" s="53"/>
      <c r="I340" s="26">
        <v>3.0</v>
      </c>
      <c r="J340" s="515"/>
      <c r="K340" s="53"/>
      <c r="L340" s="34" t="s">
        <v>1826</v>
      </c>
      <c r="M340" s="135" t="s">
        <v>1891</v>
      </c>
      <c r="N340" s="19"/>
    </row>
    <row r="341">
      <c r="A341" s="165" t="s">
        <v>1892</v>
      </c>
      <c r="B341" s="130" t="s">
        <v>1893</v>
      </c>
      <c r="C341" s="22">
        <v>1.11E7</v>
      </c>
      <c r="D341" s="26">
        <v>2020.0</v>
      </c>
      <c r="E341" s="26" t="s">
        <v>2288</v>
      </c>
      <c r="F341" s="130" t="s">
        <v>2125</v>
      </c>
      <c r="G341" s="130" t="s">
        <v>59</v>
      </c>
      <c r="H341" s="28"/>
      <c r="I341" s="26">
        <v>2.0</v>
      </c>
      <c r="J341" s="515"/>
      <c r="K341" s="28"/>
      <c r="L341" s="34" t="s">
        <v>1895</v>
      </c>
      <c r="M341" s="106" t="s">
        <v>1896</v>
      </c>
      <c r="N341" s="432"/>
    </row>
    <row r="342">
      <c r="A342" s="165" t="s">
        <v>244</v>
      </c>
      <c r="B342" s="28"/>
      <c r="C342" s="22">
        <v>113000.0</v>
      </c>
      <c r="D342" s="26">
        <v>2020.0</v>
      </c>
      <c r="E342" s="26" t="s">
        <v>2471</v>
      </c>
      <c r="F342" s="130" t="s">
        <v>129</v>
      </c>
      <c r="G342" s="26" t="s">
        <v>1034</v>
      </c>
      <c r="H342" s="130" t="s">
        <v>29</v>
      </c>
      <c r="I342" s="130">
        <v>1.0</v>
      </c>
      <c r="J342" s="515"/>
      <c r="K342" s="28"/>
      <c r="L342" s="105" t="s">
        <v>1865</v>
      </c>
      <c r="M342" s="106" t="s">
        <v>1898</v>
      </c>
      <c r="N342" s="113"/>
    </row>
    <row r="343">
      <c r="A343" s="165" t="s">
        <v>149</v>
      </c>
      <c r="B343" s="28"/>
      <c r="C343" s="22">
        <v>72000.0</v>
      </c>
      <c r="D343" s="26">
        <v>2020.0</v>
      </c>
      <c r="E343" s="26" t="s">
        <v>2489</v>
      </c>
      <c r="F343" s="130" t="s">
        <v>2060</v>
      </c>
      <c r="G343" s="26" t="s">
        <v>1034</v>
      </c>
      <c r="H343" s="28"/>
      <c r="I343" s="26">
        <v>2.0</v>
      </c>
      <c r="J343" s="515"/>
      <c r="K343" s="28"/>
      <c r="L343" s="105" t="s">
        <v>1900</v>
      </c>
      <c r="M343" s="106" t="s">
        <v>1901</v>
      </c>
      <c r="N343" s="432"/>
    </row>
    <row r="344">
      <c r="A344" s="165" t="s">
        <v>1902</v>
      </c>
      <c r="B344" s="130" t="s">
        <v>1903</v>
      </c>
      <c r="C344" s="22">
        <v>2200000.0</v>
      </c>
      <c r="D344" s="26">
        <v>2020.0</v>
      </c>
      <c r="E344" s="26" t="s">
        <v>2360</v>
      </c>
      <c r="F344" s="130" t="s">
        <v>2060</v>
      </c>
      <c r="G344" s="26" t="s">
        <v>1034</v>
      </c>
      <c r="H344" s="130" t="s">
        <v>29</v>
      </c>
      <c r="I344" s="26">
        <v>4.0</v>
      </c>
      <c r="J344" s="515"/>
      <c r="K344" s="28"/>
      <c r="L344" s="34" t="s">
        <v>1905</v>
      </c>
      <c r="M344" s="106" t="s">
        <v>1906</v>
      </c>
      <c r="N344" s="113"/>
    </row>
    <row r="345">
      <c r="A345" s="165" t="s">
        <v>1907</v>
      </c>
      <c r="B345" s="28"/>
      <c r="C345" s="22">
        <v>6000000.0</v>
      </c>
      <c r="D345" s="26">
        <v>2020.0</v>
      </c>
      <c r="E345" s="26" t="s">
        <v>2311</v>
      </c>
      <c r="F345" s="130" t="s">
        <v>64</v>
      </c>
      <c r="G345" s="26" t="s">
        <v>23</v>
      </c>
      <c r="H345" s="28"/>
      <c r="I345" s="130">
        <v>1.0</v>
      </c>
      <c r="J345" s="515"/>
      <c r="K345" s="28"/>
      <c r="L345" s="120" t="s">
        <v>905</v>
      </c>
      <c r="M345" s="106" t="s">
        <v>1909</v>
      </c>
      <c r="N345" s="166" t="s">
        <v>1910</v>
      </c>
    </row>
    <row r="346">
      <c r="A346" s="539" t="s">
        <v>2554</v>
      </c>
      <c r="B346" s="541" t="s">
        <v>2555</v>
      </c>
      <c r="C346" s="525">
        <v>1600000.0</v>
      </c>
      <c r="D346" s="26">
        <v>2020.0</v>
      </c>
      <c r="E346" s="526" t="s">
        <v>2556</v>
      </c>
      <c r="F346" s="541" t="s">
        <v>64</v>
      </c>
      <c r="G346" s="537" t="s">
        <v>142</v>
      </c>
      <c r="H346" s="541" t="s">
        <v>29</v>
      </c>
      <c r="I346" s="526">
        <v>2.0</v>
      </c>
      <c r="J346" s="542"/>
      <c r="K346" s="527"/>
      <c r="L346" s="537" t="s">
        <v>2557</v>
      </c>
      <c r="M346" s="536" t="s">
        <v>2558</v>
      </c>
      <c r="N346" s="548"/>
    </row>
    <row r="347">
      <c r="A347" s="165" t="s">
        <v>1911</v>
      </c>
      <c r="B347" s="28"/>
      <c r="C347" s="22">
        <v>89000.0</v>
      </c>
      <c r="D347" s="26">
        <v>2020.0</v>
      </c>
      <c r="E347" s="26" t="s">
        <v>2483</v>
      </c>
      <c r="F347" s="130" t="s">
        <v>64</v>
      </c>
      <c r="G347" s="130" t="s">
        <v>59</v>
      </c>
      <c r="H347" s="28"/>
      <c r="I347" s="26">
        <v>2.0</v>
      </c>
      <c r="J347" s="515"/>
      <c r="K347" s="28"/>
      <c r="L347" s="105" t="s">
        <v>1913</v>
      </c>
      <c r="M347" s="106" t="s">
        <v>1914</v>
      </c>
      <c r="N347" s="113"/>
    </row>
    <row r="348">
      <c r="A348" s="165" t="s">
        <v>1915</v>
      </c>
      <c r="B348" s="28"/>
      <c r="C348" s="22">
        <v>97000.0</v>
      </c>
      <c r="D348" s="26">
        <v>2020.0</v>
      </c>
      <c r="E348" s="26" t="s">
        <v>2481</v>
      </c>
      <c r="F348" s="130" t="s">
        <v>43</v>
      </c>
      <c r="G348" s="26" t="s">
        <v>1034</v>
      </c>
      <c r="H348" s="130" t="s">
        <v>29</v>
      </c>
      <c r="I348" s="26">
        <v>2.0</v>
      </c>
      <c r="J348" s="515"/>
      <c r="K348" s="28"/>
      <c r="L348" s="53" t="s">
        <v>1917</v>
      </c>
      <c r="M348" s="106" t="s">
        <v>1918</v>
      </c>
      <c r="N348" s="432"/>
    </row>
    <row r="349">
      <c r="A349" s="165" t="s">
        <v>1919</v>
      </c>
      <c r="B349" s="28"/>
      <c r="C349" s="22">
        <v>1700000.0</v>
      </c>
      <c r="D349" s="26">
        <v>2020.0</v>
      </c>
      <c r="E349" s="111" t="s">
        <v>2372</v>
      </c>
      <c r="F349" s="130" t="s">
        <v>64</v>
      </c>
      <c r="G349" s="26" t="s">
        <v>1034</v>
      </c>
      <c r="H349" s="130" t="s">
        <v>29</v>
      </c>
      <c r="I349" s="26">
        <v>5.0</v>
      </c>
      <c r="J349" s="515"/>
      <c r="K349" s="28"/>
      <c r="L349" s="53" t="s">
        <v>905</v>
      </c>
      <c r="M349" s="106" t="s">
        <v>1921</v>
      </c>
      <c r="N349" s="113"/>
    </row>
    <row r="350">
      <c r="A350" s="165" t="s">
        <v>1922</v>
      </c>
      <c r="B350" s="28"/>
      <c r="C350" s="22">
        <v>1.7E7</v>
      </c>
      <c r="D350" s="26">
        <v>2020.0</v>
      </c>
      <c r="E350" s="26" t="s">
        <v>2278</v>
      </c>
      <c r="F350" s="130" t="s">
        <v>129</v>
      </c>
      <c r="G350" s="26" t="s">
        <v>1034</v>
      </c>
      <c r="H350" s="28"/>
      <c r="I350" s="130">
        <v>1.0</v>
      </c>
      <c r="J350" s="515"/>
      <c r="K350" s="28"/>
      <c r="L350" s="34" t="s">
        <v>1643</v>
      </c>
      <c r="M350" s="106" t="s">
        <v>1924</v>
      </c>
      <c r="N350" s="109"/>
    </row>
    <row r="351">
      <c r="A351" s="165" t="s">
        <v>1925</v>
      </c>
      <c r="B351" s="28"/>
      <c r="C351" s="22">
        <v>3950000.0</v>
      </c>
      <c r="D351" s="26">
        <v>2020.0</v>
      </c>
      <c r="E351" s="26" t="s">
        <v>2333</v>
      </c>
      <c r="F351" s="130" t="s">
        <v>64</v>
      </c>
      <c r="G351" s="419" t="s">
        <v>142</v>
      </c>
      <c r="H351" s="130" t="s">
        <v>29</v>
      </c>
      <c r="I351" s="26">
        <v>2.0</v>
      </c>
      <c r="J351" s="515"/>
      <c r="K351" s="28"/>
      <c r="L351" s="53" t="s">
        <v>1917</v>
      </c>
      <c r="M351" s="106" t="s">
        <v>1927</v>
      </c>
      <c r="N351" s="113"/>
    </row>
    <row r="352">
      <c r="A352" s="165" t="s">
        <v>1928</v>
      </c>
      <c r="B352" s="53"/>
      <c r="C352" s="22">
        <v>50500.0</v>
      </c>
      <c r="D352" s="26">
        <v>2020.0</v>
      </c>
      <c r="E352" s="26" t="s">
        <v>2492</v>
      </c>
      <c r="F352" s="130" t="s">
        <v>64</v>
      </c>
      <c r="G352" s="26" t="s">
        <v>1034</v>
      </c>
      <c r="H352" s="28"/>
      <c r="I352" s="26">
        <v>2.0</v>
      </c>
      <c r="J352" s="515"/>
      <c r="K352" s="28"/>
      <c r="L352" s="53" t="s">
        <v>905</v>
      </c>
      <c r="M352" s="106" t="s">
        <v>1930</v>
      </c>
      <c r="N352" s="113"/>
    </row>
    <row r="353">
      <c r="A353" s="181" t="s">
        <v>1931</v>
      </c>
      <c r="B353" s="130" t="s">
        <v>1932</v>
      </c>
      <c r="C353" s="22">
        <v>1600000.0</v>
      </c>
      <c r="D353" s="26">
        <v>2020.0</v>
      </c>
      <c r="E353" s="26" t="s">
        <v>2375</v>
      </c>
      <c r="F353" s="130" t="s">
        <v>28</v>
      </c>
      <c r="G353" s="130" t="s">
        <v>23</v>
      </c>
      <c r="H353" s="130" t="s">
        <v>29</v>
      </c>
      <c r="I353" s="26">
        <v>2.0</v>
      </c>
      <c r="J353" s="515"/>
      <c r="K353" s="28"/>
      <c r="L353" s="53" t="s">
        <v>905</v>
      </c>
      <c r="M353" s="106" t="s">
        <v>1934</v>
      </c>
      <c r="N353" s="113"/>
    </row>
    <row r="354">
      <c r="A354" s="165" t="s">
        <v>1935</v>
      </c>
      <c r="B354" s="28"/>
      <c r="C354" s="22">
        <v>3000000.0</v>
      </c>
      <c r="D354" s="26">
        <v>2020.0</v>
      </c>
      <c r="E354" s="111" t="s">
        <v>2349</v>
      </c>
      <c r="F354" s="130" t="s">
        <v>64</v>
      </c>
      <c r="G354" s="26" t="s">
        <v>1034</v>
      </c>
      <c r="H354" s="28"/>
      <c r="I354" s="26">
        <v>2.0</v>
      </c>
      <c r="J354" s="515"/>
      <c r="K354" s="28"/>
      <c r="L354" s="53" t="s">
        <v>905</v>
      </c>
      <c r="M354" s="106" t="s">
        <v>1937</v>
      </c>
      <c r="N354" s="113"/>
    </row>
    <row r="355">
      <c r="A355" s="165" t="s">
        <v>1938</v>
      </c>
      <c r="B355" s="435"/>
      <c r="C355" s="22">
        <v>8500000.0</v>
      </c>
      <c r="D355" s="26">
        <v>2020.0</v>
      </c>
      <c r="E355" s="26" t="s">
        <v>2300</v>
      </c>
      <c r="F355" s="130" t="s">
        <v>2153</v>
      </c>
      <c r="G355" s="130" t="s">
        <v>59</v>
      </c>
      <c r="H355" s="28"/>
      <c r="I355" s="26">
        <v>3.0</v>
      </c>
      <c r="J355" s="515"/>
      <c r="K355" s="28"/>
      <c r="L355" s="53" t="s">
        <v>1940</v>
      </c>
      <c r="M355" s="106" t="s">
        <v>1941</v>
      </c>
      <c r="N355" s="113"/>
    </row>
    <row r="356">
      <c r="A356" s="165" t="s">
        <v>1942</v>
      </c>
      <c r="B356" s="28"/>
      <c r="C356" s="22">
        <v>160000.0</v>
      </c>
      <c r="D356" s="26">
        <v>2020.0</v>
      </c>
      <c r="E356" s="111" t="s">
        <v>2459</v>
      </c>
      <c r="F356" s="130" t="s">
        <v>64</v>
      </c>
      <c r="G356" s="26" t="s">
        <v>1034</v>
      </c>
      <c r="H356" s="28"/>
      <c r="I356" s="26">
        <v>2.0</v>
      </c>
      <c r="J356" s="515"/>
      <c r="K356" s="28"/>
      <c r="L356" s="53" t="s">
        <v>1224</v>
      </c>
      <c r="M356" s="106" t="s">
        <v>1944</v>
      </c>
      <c r="N356" s="113"/>
    </row>
    <row r="357">
      <c r="A357" s="165" t="s">
        <v>1945</v>
      </c>
      <c r="B357" s="28"/>
      <c r="C357" s="22">
        <v>800000.0</v>
      </c>
      <c r="D357" s="26">
        <v>2020.0</v>
      </c>
      <c r="E357" s="26" t="s">
        <v>2404</v>
      </c>
      <c r="F357" s="130" t="s">
        <v>43</v>
      </c>
      <c r="G357" s="26" t="s">
        <v>1034</v>
      </c>
      <c r="H357" s="28"/>
      <c r="I357" s="26">
        <v>2.0</v>
      </c>
      <c r="J357" s="515"/>
      <c r="K357" s="28"/>
      <c r="L357" s="53" t="s">
        <v>1608</v>
      </c>
      <c r="M357" s="106" t="s">
        <v>1947</v>
      </c>
      <c r="N357" s="113"/>
    </row>
    <row r="358">
      <c r="A358" s="165" t="s">
        <v>1948</v>
      </c>
      <c r="B358" s="130" t="s">
        <v>1949</v>
      </c>
      <c r="C358" s="22">
        <v>8637405.0</v>
      </c>
      <c r="D358" s="26">
        <v>2020.0</v>
      </c>
      <c r="E358" s="26" t="s">
        <v>2298</v>
      </c>
      <c r="F358" s="130" t="s">
        <v>43</v>
      </c>
      <c r="G358" s="130" t="s">
        <v>59</v>
      </c>
      <c r="H358" s="28"/>
      <c r="I358" s="130">
        <v>1.0</v>
      </c>
      <c r="J358" s="515"/>
      <c r="K358" s="28"/>
      <c r="L358" s="34" t="s">
        <v>1951</v>
      </c>
      <c r="M358" s="106" t="s">
        <v>1952</v>
      </c>
      <c r="N358" s="113"/>
    </row>
    <row r="359">
      <c r="A359" s="165" t="s">
        <v>1953</v>
      </c>
      <c r="B359" s="130" t="s">
        <v>1954</v>
      </c>
      <c r="C359" s="22">
        <v>9.4E7</v>
      </c>
      <c r="D359" s="26">
        <v>2020.0</v>
      </c>
      <c r="E359" s="26" t="s">
        <v>2207</v>
      </c>
      <c r="F359" s="130" t="s">
        <v>43</v>
      </c>
      <c r="G359" s="130" t="s">
        <v>23</v>
      </c>
      <c r="H359" s="28"/>
      <c r="I359" s="26">
        <v>3.0</v>
      </c>
      <c r="J359" s="513">
        <v>9.4E7</v>
      </c>
      <c r="K359" s="28"/>
      <c r="L359" s="120" t="s">
        <v>608</v>
      </c>
      <c r="M359" s="106" t="s">
        <v>1957</v>
      </c>
      <c r="N359" s="109"/>
    </row>
    <row r="360">
      <c r="A360" s="165" t="s">
        <v>1354</v>
      </c>
      <c r="B360" s="28"/>
      <c r="C360" s="22">
        <v>2600000.0</v>
      </c>
      <c r="D360" s="26">
        <v>2020.0</v>
      </c>
      <c r="E360" s="26" t="s">
        <v>2351</v>
      </c>
      <c r="F360" s="130" t="s">
        <v>2153</v>
      </c>
      <c r="G360" s="26" t="s">
        <v>1034</v>
      </c>
      <c r="H360" s="130" t="s">
        <v>29</v>
      </c>
      <c r="I360" s="26">
        <v>3.0</v>
      </c>
      <c r="J360" s="515"/>
      <c r="K360" s="28"/>
      <c r="L360" s="105" t="s">
        <v>1608</v>
      </c>
      <c r="M360" s="106" t="s">
        <v>1959</v>
      </c>
      <c r="N360" s="113"/>
    </row>
    <row r="361">
      <c r="A361" s="165" t="s">
        <v>1960</v>
      </c>
      <c r="B361" s="130" t="s">
        <v>1961</v>
      </c>
      <c r="C361" s="22">
        <v>2.5E7</v>
      </c>
      <c r="D361" s="26">
        <v>2020.0</v>
      </c>
      <c r="E361" s="26" t="s">
        <v>2267</v>
      </c>
      <c r="F361" s="130" t="s">
        <v>64</v>
      </c>
      <c r="G361" s="26" t="s">
        <v>1034</v>
      </c>
      <c r="H361" s="28"/>
      <c r="I361" s="130">
        <v>1.0</v>
      </c>
      <c r="J361" s="515"/>
      <c r="K361" s="28"/>
      <c r="L361" s="53" t="s">
        <v>905</v>
      </c>
      <c r="M361" s="106" t="s">
        <v>1963</v>
      </c>
      <c r="N361" s="113"/>
    </row>
    <row r="362">
      <c r="A362" s="165" t="s">
        <v>1964</v>
      </c>
      <c r="B362" s="130" t="s">
        <v>1965</v>
      </c>
      <c r="C362" s="22">
        <v>6300000.0</v>
      </c>
      <c r="D362" s="26">
        <v>2020.0</v>
      </c>
      <c r="E362" s="26" t="s">
        <v>2307</v>
      </c>
      <c r="F362" s="130" t="s">
        <v>2153</v>
      </c>
      <c r="G362" s="130" t="s">
        <v>23</v>
      </c>
      <c r="H362" s="28"/>
      <c r="I362" s="130">
        <v>1.0</v>
      </c>
      <c r="J362" s="515"/>
      <c r="K362" s="28"/>
      <c r="L362" s="105" t="s">
        <v>1967</v>
      </c>
      <c r="M362" s="106" t="s">
        <v>1968</v>
      </c>
      <c r="N362" s="106" t="s">
        <v>1969</v>
      </c>
    </row>
    <row r="363">
      <c r="A363" s="165" t="s">
        <v>1324</v>
      </c>
      <c r="B363" s="111" t="s">
        <v>1970</v>
      </c>
      <c r="C363" s="22">
        <v>2.0E7</v>
      </c>
      <c r="D363" s="26">
        <v>2020.0</v>
      </c>
      <c r="E363" s="26" t="s">
        <v>2274</v>
      </c>
      <c r="F363" s="130" t="s">
        <v>28</v>
      </c>
      <c r="G363" s="419" t="s">
        <v>142</v>
      </c>
      <c r="H363" s="130" t="s">
        <v>29</v>
      </c>
      <c r="I363" s="130">
        <v>1.0</v>
      </c>
      <c r="J363" s="515"/>
      <c r="K363" s="28"/>
      <c r="L363" s="120" t="s">
        <v>34</v>
      </c>
      <c r="M363" s="106" t="s">
        <v>1972</v>
      </c>
      <c r="N363" s="113"/>
    </row>
    <row r="364">
      <c r="A364" s="165" t="s">
        <v>1973</v>
      </c>
      <c r="B364" s="28"/>
      <c r="C364" s="22">
        <v>2.65E7</v>
      </c>
      <c r="D364" s="26">
        <v>2020.0</v>
      </c>
      <c r="E364" s="26" t="s">
        <v>2265</v>
      </c>
      <c r="F364" s="130" t="s">
        <v>1975</v>
      </c>
      <c r="G364" s="26" t="s">
        <v>1034</v>
      </c>
      <c r="H364" s="28"/>
      <c r="I364" s="26">
        <v>2.0</v>
      </c>
      <c r="J364" s="515"/>
      <c r="K364" s="28"/>
      <c r="L364" s="105" t="s">
        <v>1976</v>
      </c>
      <c r="M364" s="106" t="s">
        <v>1977</v>
      </c>
      <c r="N364" s="106" t="s">
        <v>1978</v>
      </c>
    </row>
    <row r="365">
      <c r="A365" s="165" t="s">
        <v>1979</v>
      </c>
      <c r="B365" s="130" t="s">
        <v>1980</v>
      </c>
      <c r="C365" s="22">
        <v>125000.0</v>
      </c>
      <c r="D365" s="26">
        <v>2020.0</v>
      </c>
      <c r="E365" s="34" t="s">
        <v>2468</v>
      </c>
      <c r="F365" s="130" t="s">
        <v>2153</v>
      </c>
      <c r="G365" s="130" t="s">
        <v>51</v>
      </c>
      <c r="H365" s="28"/>
      <c r="I365" s="26">
        <v>2.0</v>
      </c>
      <c r="J365" s="515"/>
      <c r="K365" s="28"/>
      <c r="L365" s="53" t="s">
        <v>829</v>
      </c>
      <c r="M365" s="106" t="s">
        <v>1982</v>
      </c>
      <c r="N365" s="113"/>
    </row>
    <row r="366">
      <c r="A366" s="165" t="s">
        <v>1983</v>
      </c>
      <c r="B366" s="130" t="s">
        <v>1984</v>
      </c>
      <c r="C366" s="22">
        <v>4000000.0</v>
      </c>
      <c r="D366" s="26">
        <v>2020.0</v>
      </c>
      <c r="E366" s="26" t="s">
        <v>2332</v>
      </c>
      <c r="F366" s="130" t="s">
        <v>129</v>
      </c>
      <c r="G366" s="130" t="s">
        <v>23</v>
      </c>
      <c r="H366" s="130" t="s">
        <v>29</v>
      </c>
      <c r="I366" s="130">
        <v>1.0</v>
      </c>
      <c r="J366" s="515"/>
      <c r="K366" s="28"/>
      <c r="L366" s="120" t="s">
        <v>1839</v>
      </c>
      <c r="M366" s="106" t="s">
        <v>1986</v>
      </c>
      <c r="N366" s="113"/>
    </row>
    <row r="367">
      <c r="A367" s="165" t="s">
        <v>1987</v>
      </c>
      <c r="B367" s="28"/>
      <c r="C367" s="22">
        <v>200000.0</v>
      </c>
      <c r="D367" s="26">
        <v>2020.0</v>
      </c>
      <c r="E367" s="111" t="s">
        <v>2450</v>
      </c>
      <c r="F367" s="130" t="s">
        <v>1612</v>
      </c>
      <c r="G367" s="26" t="s">
        <v>1034</v>
      </c>
      <c r="H367" s="130" t="s">
        <v>29</v>
      </c>
      <c r="I367" s="26">
        <v>2.0</v>
      </c>
      <c r="J367" s="515"/>
      <c r="K367" s="28"/>
      <c r="L367" s="34" t="s">
        <v>1224</v>
      </c>
      <c r="M367" s="106" t="s">
        <v>1989</v>
      </c>
      <c r="N367" s="113"/>
    </row>
    <row r="368">
      <c r="A368" s="165" t="s">
        <v>1990</v>
      </c>
      <c r="B368" s="419" t="s">
        <v>1991</v>
      </c>
      <c r="C368" s="22">
        <v>200000.0</v>
      </c>
      <c r="D368" s="26">
        <v>2020.0</v>
      </c>
      <c r="E368" s="26" t="s">
        <v>2451</v>
      </c>
      <c r="F368" s="130" t="s">
        <v>2153</v>
      </c>
      <c r="G368" s="26" t="s">
        <v>1034</v>
      </c>
      <c r="H368" s="28"/>
      <c r="I368" s="26">
        <v>2.0</v>
      </c>
      <c r="J368" s="515"/>
      <c r="K368" s="28"/>
      <c r="L368" s="53" t="s">
        <v>1993</v>
      </c>
      <c r="M368" s="106" t="s">
        <v>1994</v>
      </c>
      <c r="N368" s="113"/>
    </row>
    <row r="369">
      <c r="A369" s="165" t="s">
        <v>1400</v>
      </c>
      <c r="B369" s="28"/>
      <c r="C369" s="22">
        <v>3900000.0</v>
      </c>
      <c r="D369" s="26">
        <v>2020.0</v>
      </c>
      <c r="E369" s="26" t="s">
        <v>2335</v>
      </c>
      <c r="F369" s="130" t="s">
        <v>2153</v>
      </c>
      <c r="G369" s="26" t="s">
        <v>1034</v>
      </c>
      <c r="H369" s="130" t="s">
        <v>29</v>
      </c>
      <c r="I369" s="26">
        <v>3.0</v>
      </c>
      <c r="J369" s="515"/>
      <c r="K369" s="28"/>
      <c r="L369" s="120" t="s">
        <v>841</v>
      </c>
      <c r="M369" s="135" t="s">
        <v>1996</v>
      </c>
      <c r="N369" s="113"/>
    </row>
    <row r="370">
      <c r="A370" s="165" t="s">
        <v>1997</v>
      </c>
      <c r="B370" s="130" t="s">
        <v>1998</v>
      </c>
      <c r="C370" s="22">
        <v>4.0E7</v>
      </c>
      <c r="D370" s="26">
        <v>2020.0</v>
      </c>
      <c r="E370" s="26" t="s">
        <v>2254</v>
      </c>
      <c r="F370" s="130" t="s">
        <v>2153</v>
      </c>
      <c r="G370" s="130" t="s">
        <v>23</v>
      </c>
      <c r="H370" s="130" t="s">
        <v>29</v>
      </c>
      <c r="I370" s="26">
        <v>3.0</v>
      </c>
      <c r="J370" s="515"/>
      <c r="K370" s="28"/>
      <c r="L370" s="34" t="s">
        <v>410</v>
      </c>
      <c r="M370" s="106" t="s">
        <v>2000</v>
      </c>
      <c r="N370" s="113"/>
    </row>
    <row r="371">
      <c r="A371" s="165" t="s">
        <v>1324</v>
      </c>
      <c r="B371" s="111" t="s">
        <v>1970</v>
      </c>
      <c r="C371" s="22">
        <v>9.2E7</v>
      </c>
      <c r="D371" s="26">
        <v>2020.0</v>
      </c>
      <c r="E371" s="26" t="s">
        <v>2208</v>
      </c>
      <c r="F371" s="130" t="s">
        <v>28</v>
      </c>
      <c r="G371" s="26" t="s">
        <v>59</v>
      </c>
      <c r="H371" s="28"/>
      <c r="I371" s="130">
        <v>1.0</v>
      </c>
      <c r="J371" s="513">
        <v>9.2E7</v>
      </c>
      <c r="K371" s="28"/>
      <c r="L371" s="120" t="s">
        <v>1088</v>
      </c>
      <c r="M371" s="106" t="s">
        <v>2003</v>
      </c>
      <c r="N371" s="109"/>
    </row>
    <row r="372">
      <c r="A372" s="165"/>
      <c r="B372" s="51"/>
      <c r="C372" s="22"/>
      <c r="D372" s="26"/>
      <c r="E372" s="26"/>
      <c r="F372" s="130"/>
      <c r="G372" s="26"/>
      <c r="H372" s="28"/>
      <c r="I372" s="130"/>
      <c r="J372" s="27"/>
      <c r="K372" s="28"/>
      <c r="L372" s="53"/>
      <c r="M372" s="31"/>
      <c r="N372" s="31"/>
    </row>
  </sheetData>
  <hyperlinks>
    <hyperlink r:id="rId1" ref="M3"/>
    <hyperlink r:id="rId2" ref="M4"/>
    <hyperlink r:id="rId3" ref="M5"/>
    <hyperlink r:id="rId4" ref="M6"/>
    <hyperlink r:id="rId5" ref="M7"/>
    <hyperlink r:id="rId6" ref="M8"/>
    <hyperlink r:id="rId7" location="91076484d1b3" ref="M9"/>
    <hyperlink r:id="rId8" ref="M10"/>
    <hyperlink r:id="rId9" ref="M11"/>
    <hyperlink r:id="rId10" ref="M12"/>
    <hyperlink r:id="rId11" ref="M13"/>
    <hyperlink r:id="rId12" ref="M14"/>
    <hyperlink r:id="rId13" ref="M15"/>
    <hyperlink r:id="rId14" ref="M16"/>
    <hyperlink r:id="rId15" ref="M17"/>
    <hyperlink r:id="rId16" ref="M18"/>
    <hyperlink r:id="rId17" ref="M19"/>
    <hyperlink r:id="rId18" ref="M20"/>
    <hyperlink r:id="rId19" ref="M21"/>
    <hyperlink r:id="rId20" ref="M22"/>
    <hyperlink r:id="rId21" ref="M23"/>
    <hyperlink r:id="rId22" ref="M24"/>
    <hyperlink r:id="rId23" ref="M25"/>
    <hyperlink r:id="rId24" ref="M26"/>
    <hyperlink r:id="rId25" ref="M27"/>
    <hyperlink r:id="rId26" ref="M28"/>
    <hyperlink r:id="rId27" ref="N28"/>
    <hyperlink r:id="rId28" ref="M29"/>
    <hyperlink r:id="rId29" ref="M30"/>
    <hyperlink r:id="rId30" ref="N30"/>
    <hyperlink r:id="rId31" ref="M31"/>
    <hyperlink r:id="rId32" ref="M32"/>
    <hyperlink r:id="rId33" ref="M33"/>
    <hyperlink r:id="rId34" ref="M34"/>
    <hyperlink r:id="rId35" ref="M35"/>
    <hyperlink r:id="rId36" ref="M36"/>
    <hyperlink r:id="rId37" ref="M37"/>
    <hyperlink r:id="rId38" ref="M38"/>
    <hyperlink r:id="rId39" ref="M39"/>
    <hyperlink r:id="rId40" ref="M40"/>
    <hyperlink r:id="rId41" ref="M41"/>
    <hyperlink r:id="rId42" ref="M42"/>
    <hyperlink r:id="rId43" ref="M43"/>
    <hyperlink r:id="rId44" ref="M44"/>
    <hyperlink r:id="rId45" ref="M45"/>
    <hyperlink r:id="rId46" ref="M46"/>
    <hyperlink r:id="rId47" ref="A47"/>
    <hyperlink r:id="rId48" ref="M47"/>
    <hyperlink r:id="rId49" ref="M48"/>
    <hyperlink r:id="rId50" ref="M49"/>
    <hyperlink r:id="rId51" ref="M50"/>
    <hyperlink r:id="rId52" ref="M51"/>
    <hyperlink r:id="rId53" ref="M52"/>
    <hyperlink r:id="rId54" ref="M53"/>
    <hyperlink r:id="rId55" ref="M54"/>
    <hyperlink r:id="rId56" ref="M55"/>
    <hyperlink r:id="rId57" ref="M56"/>
    <hyperlink r:id="rId58" location="2a5cb36b41d2" ref="M57"/>
    <hyperlink r:id="rId59" ref="M58"/>
    <hyperlink r:id="rId60" ref="M59"/>
    <hyperlink r:id="rId61" ref="M60"/>
    <hyperlink r:id="rId62" ref="M61"/>
    <hyperlink r:id="rId63" ref="M62"/>
    <hyperlink r:id="rId64" ref="M63"/>
    <hyperlink r:id="rId65" ref="M64"/>
    <hyperlink r:id="rId66" ref="M65"/>
    <hyperlink r:id="rId67" ref="M66"/>
    <hyperlink r:id="rId68" ref="A67"/>
    <hyperlink r:id="rId69" ref="M67"/>
    <hyperlink r:id="rId70" ref="M68"/>
    <hyperlink r:id="rId71" ref="M69"/>
    <hyperlink r:id="rId72" ref="M70"/>
    <hyperlink r:id="rId73" ref="N70"/>
    <hyperlink r:id="rId74" ref="M71"/>
    <hyperlink r:id="rId75" ref="M72"/>
    <hyperlink r:id="rId76" ref="M73"/>
    <hyperlink r:id="rId77" ref="N73"/>
    <hyperlink r:id="rId78" ref="M74"/>
    <hyperlink r:id="rId79" ref="M75"/>
    <hyperlink r:id="rId80" ref="M76"/>
    <hyperlink r:id="rId81" ref="N76"/>
    <hyperlink r:id="rId82" ref="M77"/>
    <hyperlink r:id="rId83" ref="M78"/>
    <hyperlink r:id="rId84" ref="M79"/>
    <hyperlink r:id="rId85" ref="M80"/>
    <hyperlink r:id="rId86" ref="M81"/>
    <hyperlink r:id="rId87" ref="M82"/>
    <hyperlink r:id="rId88" ref="M83"/>
    <hyperlink r:id="rId89" ref="M84"/>
    <hyperlink r:id="rId90" ref="M85"/>
    <hyperlink r:id="rId91" ref="M86"/>
    <hyperlink r:id="rId92" ref="M87"/>
    <hyperlink r:id="rId93" ref="M88"/>
    <hyperlink r:id="rId94" ref="M89"/>
    <hyperlink r:id="rId95" ref="M90"/>
    <hyperlink r:id="rId96" ref="M91"/>
    <hyperlink r:id="rId97" ref="M92"/>
    <hyperlink r:id="rId98" ref="M93"/>
    <hyperlink r:id="rId99" ref="M94"/>
    <hyperlink r:id="rId100" ref="M96"/>
    <hyperlink r:id="rId101" ref="M97"/>
    <hyperlink r:id="rId102" ref="M98"/>
    <hyperlink r:id="rId103" ref="M99"/>
    <hyperlink r:id="rId104" ref="M100"/>
    <hyperlink r:id="rId105" ref="M101"/>
    <hyperlink r:id="rId106" ref="M102"/>
    <hyperlink r:id="rId107" ref="M103"/>
    <hyperlink r:id="rId108" ref="M104"/>
    <hyperlink r:id="rId109" ref="M105"/>
    <hyperlink r:id="rId110" ref="M106"/>
    <hyperlink r:id="rId111" ref="N106"/>
    <hyperlink r:id="rId112" ref="M107"/>
    <hyperlink r:id="rId113" ref="M108"/>
    <hyperlink r:id="rId114" ref="M109"/>
    <hyperlink r:id="rId115" ref="M110"/>
    <hyperlink r:id="rId116" ref="M111"/>
    <hyperlink r:id="rId117" ref="M112"/>
    <hyperlink r:id="rId118" ref="M113"/>
    <hyperlink r:id="rId119" ref="M114"/>
    <hyperlink r:id="rId120" ref="M115"/>
    <hyperlink r:id="rId121" ref="M116"/>
    <hyperlink r:id="rId122" ref="M117"/>
    <hyperlink r:id="rId123" ref="M118"/>
    <hyperlink r:id="rId124" ref="M119"/>
    <hyperlink r:id="rId125" ref="M120"/>
    <hyperlink r:id="rId126" ref="M121"/>
    <hyperlink r:id="rId127" ref="M122"/>
    <hyperlink r:id="rId128" ref="M123"/>
    <hyperlink r:id="rId129" ref="M124"/>
    <hyperlink r:id="rId130" ref="M125"/>
    <hyperlink r:id="rId131" ref="M126"/>
    <hyperlink r:id="rId132" ref="M127"/>
    <hyperlink r:id="rId133" ref="M128"/>
    <hyperlink r:id="rId134" ref="M129"/>
    <hyperlink r:id="rId135" ref="M130"/>
    <hyperlink r:id="rId136" ref="M131"/>
    <hyperlink r:id="rId137" ref="M132"/>
    <hyperlink r:id="rId138" ref="M133"/>
    <hyperlink r:id="rId139" ref="M134"/>
    <hyperlink r:id="rId140" ref="M135"/>
    <hyperlink r:id="rId141" ref="N135"/>
    <hyperlink r:id="rId142" ref="M136"/>
    <hyperlink r:id="rId143" ref="M137"/>
    <hyperlink r:id="rId144" ref="M138"/>
    <hyperlink r:id="rId145" ref="M139"/>
    <hyperlink r:id="rId146" ref="M140"/>
    <hyperlink r:id="rId147" ref="M141"/>
    <hyperlink r:id="rId148" ref="M142"/>
    <hyperlink r:id="rId149" ref="M143"/>
    <hyperlink r:id="rId150" ref="M144"/>
    <hyperlink r:id="rId151" ref="M145"/>
    <hyperlink r:id="rId152" ref="A146"/>
    <hyperlink r:id="rId153" ref="M146"/>
    <hyperlink r:id="rId154" ref="M147"/>
    <hyperlink r:id="rId155" location="260a2f727bab" ref="M148"/>
    <hyperlink r:id="rId156" ref="M149"/>
    <hyperlink r:id="rId157" ref="M150"/>
    <hyperlink r:id="rId158" ref="M151"/>
    <hyperlink r:id="rId159" ref="M152"/>
    <hyperlink r:id="rId160" ref="M153"/>
    <hyperlink r:id="rId161" ref="M154"/>
    <hyperlink r:id="rId162" ref="M155"/>
    <hyperlink r:id="rId163" ref="M156"/>
    <hyperlink r:id="rId164" ref="M157"/>
    <hyperlink r:id="rId165" ref="M158"/>
    <hyperlink r:id="rId166" ref="M159"/>
    <hyperlink r:id="rId167" ref="M160"/>
    <hyperlink r:id="rId168" ref="M161"/>
    <hyperlink r:id="rId169" ref="M162"/>
    <hyperlink r:id="rId170" location="assets_129" ref="M163"/>
    <hyperlink r:id="rId171" ref="M164"/>
    <hyperlink r:id="rId172" ref="M165"/>
    <hyperlink r:id="rId173" ref="M166"/>
    <hyperlink r:id="rId174" ref="M167"/>
    <hyperlink r:id="rId175" ref="M168"/>
    <hyperlink r:id="rId176" ref="M169"/>
    <hyperlink r:id="rId177" ref="M170"/>
    <hyperlink r:id="rId178" ref="M171"/>
    <hyperlink r:id="rId179" ref="N171"/>
    <hyperlink r:id="rId180" ref="M172"/>
    <hyperlink r:id="rId181" ref="N172"/>
    <hyperlink r:id="rId182" ref="M173"/>
    <hyperlink r:id="rId183" ref="M174"/>
    <hyperlink r:id="rId184" ref="M175"/>
    <hyperlink r:id="rId185" ref="N175"/>
    <hyperlink r:id="rId186" ref="M176"/>
    <hyperlink r:id="rId187" ref="A177"/>
    <hyperlink r:id="rId188" ref="M177"/>
    <hyperlink r:id="rId189" ref="M178"/>
    <hyperlink r:id="rId190" ref="N178"/>
    <hyperlink r:id="rId191" ref="M179"/>
    <hyperlink r:id="rId192" ref="M180"/>
    <hyperlink r:id="rId193" ref="M181"/>
    <hyperlink r:id="rId194" ref="M182"/>
    <hyperlink r:id="rId195" ref="M183"/>
    <hyperlink r:id="rId196" ref="M184"/>
    <hyperlink r:id="rId197" ref="M185"/>
    <hyperlink r:id="rId198" ref="N185"/>
    <hyperlink r:id="rId199" ref="M186"/>
    <hyperlink r:id="rId200" ref="M187"/>
    <hyperlink r:id="rId201" ref="M188"/>
    <hyperlink r:id="rId202" ref="M189"/>
    <hyperlink r:id="rId203" ref="M190"/>
    <hyperlink r:id="rId204" ref="M191"/>
    <hyperlink r:id="rId205" ref="M192"/>
    <hyperlink r:id="rId206" ref="N192"/>
    <hyperlink r:id="rId207" ref="M193"/>
    <hyperlink r:id="rId208" ref="M194"/>
    <hyperlink r:id="rId209" ref="M195"/>
    <hyperlink r:id="rId210" ref="M196"/>
    <hyperlink r:id="rId211" ref="M197"/>
    <hyperlink r:id="rId212" ref="N197"/>
    <hyperlink r:id="rId213" ref="M198"/>
    <hyperlink r:id="rId214" ref="M199"/>
    <hyperlink r:id="rId215" ref="M200"/>
    <hyperlink r:id="rId216" ref="M201"/>
    <hyperlink r:id="rId217" ref="M202"/>
    <hyperlink r:id="rId218" ref="M203"/>
    <hyperlink r:id="rId219" ref="M204"/>
    <hyperlink r:id="rId220" ref="N204"/>
    <hyperlink r:id="rId221" ref="M205"/>
    <hyperlink r:id="rId222" ref="M206"/>
    <hyperlink r:id="rId223" ref="M207"/>
    <hyperlink r:id="rId224" ref="M208"/>
    <hyperlink r:id="rId225" ref="M209"/>
    <hyperlink r:id="rId226" ref="M210"/>
    <hyperlink r:id="rId227" ref="M211"/>
    <hyperlink r:id="rId228" ref="M212"/>
    <hyperlink r:id="rId229" ref="M213"/>
    <hyperlink r:id="rId230" ref="M214"/>
    <hyperlink r:id="rId231" ref="N214"/>
    <hyperlink r:id="rId232" ref="M215"/>
    <hyperlink r:id="rId233" ref="N215"/>
    <hyperlink r:id="rId234" ref="M216"/>
    <hyperlink r:id="rId235" ref="M217"/>
    <hyperlink r:id="rId236" ref="N217"/>
    <hyperlink r:id="rId237" ref="M218"/>
    <hyperlink r:id="rId238" ref="N218"/>
    <hyperlink r:id="rId239" ref="M219"/>
    <hyperlink r:id="rId240" ref="M220"/>
    <hyperlink r:id="rId241" ref="M221"/>
    <hyperlink r:id="rId242" ref="M222"/>
    <hyperlink r:id="rId243" ref="M223"/>
    <hyperlink r:id="rId244" ref="M224"/>
    <hyperlink r:id="rId245" ref="M225"/>
    <hyperlink r:id="rId246" ref="M226"/>
    <hyperlink r:id="rId247" ref="M227"/>
    <hyperlink r:id="rId248" ref="M228"/>
    <hyperlink r:id="rId249" ref="M229"/>
    <hyperlink r:id="rId250" ref="M230"/>
    <hyperlink r:id="rId251" ref="M231"/>
    <hyperlink r:id="rId252" ref="M232"/>
    <hyperlink r:id="rId253" ref="M233"/>
    <hyperlink r:id="rId254" ref="M234"/>
    <hyperlink r:id="rId255" ref="N234"/>
    <hyperlink r:id="rId256" ref="M235"/>
    <hyperlink r:id="rId257" ref="M236"/>
    <hyperlink r:id="rId258" ref="M237"/>
    <hyperlink r:id="rId259" ref="M238"/>
    <hyperlink r:id="rId260" ref="N238"/>
    <hyperlink r:id="rId261" ref="M239"/>
    <hyperlink r:id="rId262" ref="N239"/>
    <hyperlink r:id="rId263" ref="A240"/>
    <hyperlink r:id="rId264" ref="M240"/>
    <hyperlink r:id="rId265" ref="M241"/>
    <hyperlink r:id="rId266" ref="N241"/>
    <hyperlink r:id="rId267" ref="M242"/>
    <hyperlink r:id="rId268" ref="M243"/>
    <hyperlink r:id="rId269" ref="M244"/>
    <hyperlink r:id="rId270" ref="N244"/>
    <hyperlink r:id="rId271" ref="A245"/>
    <hyperlink r:id="rId272" ref="M245"/>
    <hyperlink r:id="rId273" ref="M246"/>
    <hyperlink r:id="rId274" ref="M247"/>
    <hyperlink r:id="rId275" ref="M248"/>
    <hyperlink r:id="rId276" ref="M249"/>
    <hyperlink r:id="rId277" ref="M250"/>
    <hyperlink r:id="rId278" ref="M251"/>
    <hyperlink r:id="rId279" ref="M252"/>
    <hyperlink r:id="rId280" ref="M253"/>
    <hyperlink r:id="rId281" ref="M254"/>
    <hyperlink r:id="rId282" location="6dfbcdc355d1" ref="M255"/>
    <hyperlink r:id="rId283" ref="M256"/>
    <hyperlink r:id="rId284" ref="M257"/>
    <hyperlink r:id="rId285" ref="M258"/>
    <hyperlink r:id="rId286" ref="M259"/>
    <hyperlink r:id="rId287" ref="M260"/>
    <hyperlink r:id="rId288" ref="N260"/>
    <hyperlink r:id="rId289" ref="M261"/>
    <hyperlink r:id="rId290" ref="A262"/>
    <hyperlink r:id="rId291" ref="M262"/>
    <hyperlink r:id="rId292" ref="N262"/>
    <hyperlink r:id="rId293" ref="M263"/>
    <hyperlink r:id="rId294" ref="M264"/>
    <hyperlink r:id="rId295" ref="A265"/>
    <hyperlink r:id="rId296" ref="M265"/>
    <hyperlink r:id="rId297" ref="M266"/>
    <hyperlink r:id="rId298" ref="N266"/>
    <hyperlink r:id="rId299" ref="M267"/>
    <hyperlink r:id="rId300" ref="M268"/>
    <hyperlink r:id="rId301" ref="M269"/>
    <hyperlink r:id="rId302" ref="M270"/>
    <hyperlink r:id="rId303" ref="M271"/>
    <hyperlink r:id="rId304" ref="M272"/>
    <hyperlink r:id="rId305" ref="M273"/>
    <hyperlink r:id="rId306" ref="M274"/>
    <hyperlink r:id="rId307" ref="M275"/>
    <hyperlink r:id="rId308" ref="M276"/>
    <hyperlink r:id="rId309" ref="M277"/>
    <hyperlink r:id="rId310" ref="M278"/>
    <hyperlink r:id="rId311" ref="M279"/>
    <hyperlink r:id="rId312" ref="M280"/>
    <hyperlink r:id="rId313" ref="M281"/>
    <hyperlink r:id="rId314" ref="M282"/>
    <hyperlink r:id="rId315" ref="M283"/>
    <hyperlink r:id="rId316" ref="M284"/>
    <hyperlink r:id="rId317" ref="A285"/>
    <hyperlink r:id="rId318" ref="M285"/>
    <hyperlink r:id="rId319" ref="M286"/>
    <hyperlink r:id="rId320" ref="M287"/>
    <hyperlink r:id="rId321" ref="M288"/>
    <hyperlink r:id="rId322" ref="M289"/>
    <hyperlink r:id="rId323" ref="M290"/>
    <hyperlink r:id="rId324" ref="M291"/>
    <hyperlink r:id="rId325" ref="M292"/>
    <hyperlink r:id="rId326" ref="M293"/>
    <hyperlink r:id="rId327" ref="M294"/>
    <hyperlink r:id="rId328" ref="M295"/>
    <hyperlink r:id="rId329" ref="M296"/>
    <hyperlink r:id="rId330" ref="M297"/>
    <hyperlink r:id="rId331" ref="M298"/>
    <hyperlink r:id="rId332" location=".XAfhPhP7TUI" ref="M299"/>
    <hyperlink r:id="rId333" ref="M300"/>
    <hyperlink r:id="rId334" ref="M301"/>
    <hyperlink r:id="rId335" ref="M302"/>
    <hyperlink r:id="rId336" ref="M303"/>
    <hyperlink r:id="rId337" ref="M304"/>
    <hyperlink r:id="rId338" ref="M305"/>
    <hyperlink r:id="rId339" ref="M306"/>
    <hyperlink r:id="rId340" ref="M307"/>
    <hyperlink r:id="rId341" ref="M308"/>
    <hyperlink r:id="rId342" ref="M309"/>
    <hyperlink r:id="rId343" ref="A310"/>
    <hyperlink r:id="rId344" ref="M310"/>
    <hyperlink r:id="rId345" ref="N310"/>
    <hyperlink r:id="rId346" ref="M311"/>
    <hyperlink r:id="rId347" ref="M312"/>
    <hyperlink r:id="rId348" ref="M313"/>
    <hyperlink r:id="rId349" ref="M314"/>
    <hyperlink r:id="rId350" ref="M315"/>
    <hyperlink r:id="rId351" ref="M316"/>
    <hyperlink r:id="rId352" ref="M317"/>
    <hyperlink r:id="rId353" ref="M318"/>
    <hyperlink r:id="rId354" ref="N318"/>
    <hyperlink r:id="rId355" ref="M319"/>
    <hyperlink r:id="rId356" ref="M320"/>
    <hyperlink r:id="rId357" ref="M321"/>
    <hyperlink r:id="rId358" ref="M322"/>
    <hyperlink r:id="rId359" ref="M323"/>
    <hyperlink r:id="rId360" ref="M324"/>
    <hyperlink r:id="rId361" ref="M325"/>
    <hyperlink r:id="rId362" ref="M326"/>
    <hyperlink r:id="rId363" ref="M327"/>
    <hyperlink r:id="rId364" ref="M328"/>
    <hyperlink r:id="rId365" ref="M329"/>
    <hyperlink r:id="rId366" ref="M330"/>
    <hyperlink r:id="rId367" ref="M331"/>
    <hyperlink r:id="rId368" ref="M332"/>
    <hyperlink r:id="rId369" ref="M333"/>
    <hyperlink r:id="rId370" ref="M334"/>
    <hyperlink r:id="rId371" ref="M335"/>
    <hyperlink r:id="rId372" ref="M336"/>
    <hyperlink r:id="rId373" ref="M337"/>
    <hyperlink r:id="rId374" ref="M338"/>
    <hyperlink r:id="rId375" ref="M339"/>
    <hyperlink r:id="rId376" ref="A340"/>
    <hyperlink r:id="rId377" ref="M340"/>
    <hyperlink r:id="rId378" ref="M341"/>
    <hyperlink r:id="rId379" ref="M342"/>
    <hyperlink r:id="rId380" ref="M343"/>
    <hyperlink r:id="rId381" ref="M344"/>
    <hyperlink r:id="rId382" ref="M345"/>
    <hyperlink r:id="rId383" ref="N345"/>
    <hyperlink r:id="rId384" ref="M346"/>
    <hyperlink r:id="rId385" ref="M347"/>
    <hyperlink r:id="rId386" ref="M348"/>
    <hyperlink r:id="rId387" ref="M349"/>
    <hyperlink r:id="rId388" ref="M350"/>
    <hyperlink r:id="rId389" ref="M351"/>
    <hyperlink r:id="rId390" ref="M352"/>
    <hyperlink r:id="rId391" ref="A353"/>
    <hyperlink r:id="rId392" ref="M353"/>
    <hyperlink r:id="rId393" ref="M354"/>
    <hyperlink r:id="rId394" ref="M355"/>
    <hyperlink r:id="rId395" ref="M356"/>
    <hyperlink r:id="rId396" ref="M357"/>
    <hyperlink r:id="rId397" ref="M358"/>
    <hyperlink r:id="rId398" ref="M359"/>
    <hyperlink r:id="rId399" ref="M360"/>
    <hyperlink r:id="rId400" ref="M361"/>
    <hyperlink r:id="rId401" ref="M362"/>
    <hyperlink r:id="rId402" ref="N362"/>
    <hyperlink r:id="rId403" ref="M363"/>
    <hyperlink r:id="rId404" ref="M364"/>
    <hyperlink r:id="rId405" ref="N364"/>
    <hyperlink r:id="rId406" location=".UFcROxgUwaA" ref="M365"/>
    <hyperlink r:id="rId407" ref="M366"/>
    <hyperlink r:id="rId408" ref="M367"/>
    <hyperlink r:id="rId409" ref="M368"/>
    <hyperlink r:id="rId410" ref="M369"/>
    <hyperlink r:id="rId411" ref="M370"/>
    <hyperlink r:id="rId412" ref="M371"/>
  </hyperlinks>
  <drawing r:id="rId4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2.75"/>
  <cols>
    <col customWidth="1" min="1" max="1" width="29.75"/>
    <col customWidth="1" min="2" max="2" width="31.0"/>
    <col customWidth="1" min="3" max="3" width="53.13"/>
    <col customWidth="1" min="4" max="4" width="10.5"/>
    <col customWidth="1" min="5" max="5" width="14.75"/>
    <col customWidth="1" min="6" max="6" width="13.0"/>
    <col customWidth="1" min="7" max="7" width="14.88"/>
    <col customWidth="1" min="8" max="8" width="10.13"/>
    <col customWidth="1" min="9" max="9" width="11.88"/>
    <col customWidth="1" min="10" max="10" width="12.13"/>
    <col customWidth="1" min="11" max="12" width="15.13"/>
    <col customWidth="1" min="13" max="13" width="8.75"/>
    <col customWidth="1" min="14" max="14" width="2.0"/>
    <col customWidth="1" min="15" max="18" width="15.13"/>
    <col customWidth="1" min="19" max="19" width="8.25"/>
    <col customWidth="1" min="20" max="20" width="8.13"/>
    <col customWidth="1" min="21" max="21" width="7.0"/>
    <col customWidth="1" min="22" max="22" width="9.25"/>
    <col customWidth="1" min="23" max="24" width="9.13"/>
    <col customWidth="1" min="25" max="25" width="1.75"/>
    <col customWidth="1" min="26" max="54" width="15.13"/>
  </cols>
  <sheetData>
    <row r="1">
      <c r="A1" s="549" t="s">
        <v>2559</v>
      </c>
      <c r="B1" s="550" t="s">
        <v>2560</v>
      </c>
      <c r="C1" s="550" t="s">
        <v>2561</v>
      </c>
      <c r="D1" s="550" t="s">
        <v>2562</v>
      </c>
      <c r="E1" s="551" t="s">
        <v>2563</v>
      </c>
      <c r="F1" s="550" t="s">
        <v>2564</v>
      </c>
      <c r="G1" s="550" t="s">
        <v>2565</v>
      </c>
      <c r="H1" s="550" t="s">
        <v>2566</v>
      </c>
      <c r="I1" s="552" t="s">
        <v>2567</v>
      </c>
      <c r="J1" s="550" t="s">
        <v>2568</v>
      </c>
      <c r="K1" s="551" t="s">
        <v>2569</v>
      </c>
      <c r="L1" s="550" t="s">
        <v>2570</v>
      </c>
      <c r="M1" s="550" t="s">
        <v>2571</v>
      </c>
      <c r="N1" s="553"/>
      <c r="O1" s="554" t="s">
        <v>2572</v>
      </c>
      <c r="P1" s="554" t="s">
        <v>2573</v>
      </c>
      <c r="Q1" s="550" t="s">
        <v>2574</v>
      </c>
      <c r="R1" s="555"/>
      <c r="S1" s="555"/>
      <c r="T1" s="555"/>
      <c r="U1" s="555"/>
      <c r="V1" s="555"/>
      <c r="W1" s="555"/>
      <c r="X1" s="555"/>
      <c r="Y1" s="556"/>
      <c r="Z1" s="555"/>
      <c r="AA1" s="555"/>
      <c r="AB1" s="555"/>
      <c r="AC1" s="555"/>
      <c r="AD1" s="555"/>
      <c r="AE1" s="555"/>
      <c r="AF1" s="555"/>
      <c r="AG1" s="555"/>
      <c r="AH1" s="555"/>
      <c r="AI1" s="555"/>
      <c r="AJ1" s="555"/>
      <c r="AK1" s="557"/>
      <c r="AL1" s="557"/>
      <c r="AM1" s="557"/>
      <c r="AN1" s="557"/>
      <c r="AO1" s="557"/>
      <c r="AP1" s="557"/>
      <c r="AQ1" s="557"/>
      <c r="AR1" s="557"/>
      <c r="AS1" s="557"/>
      <c r="AT1" s="557"/>
      <c r="AU1" s="557"/>
      <c r="AV1" s="557"/>
      <c r="AW1" s="557"/>
      <c r="AX1" s="557"/>
      <c r="AY1" s="557"/>
      <c r="AZ1" s="557"/>
      <c r="BA1" s="557"/>
      <c r="BB1" s="557"/>
    </row>
    <row r="2">
      <c r="A2" s="549" t="s">
        <v>2164</v>
      </c>
      <c r="B2" s="549" t="s">
        <v>1</v>
      </c>
      <c r="C2" s="549" t="s">
        <v>5</v>
      </c>
      <c r="D2" s="549" t="s">
        <v>2505</v>
      </c>
      <c r="E2" s="558" t="s">
        <v>2</v>
      </c>
      <c r="F2" s="559" t="s">
        <v>2575</v>
      </c>
      <c r="G2" s="549" t="s">
        <v>2576</v>
      </c>
      <c r="H2" s="549" t="s">
        <v>8</v>
      </c>
      <c r="I2" s="560" t="s">
        <v>2577</v>
      </c>
      <c r="J2" s="549" t="s">
        <v>2508</v>
      </c>
      <c r="K2" s="558" t="s">
        <v>2578</v>
      </c>
      <c r="L2" s="549" t="s">
        <v>2578</v>
      </c>
      <c r="M2" s="549" t="s">
        <v>2579</v>
      </c>
      <c r="N2" s="553"/>
      <c r="O2" s="561" t="s">
        <v>12</v>
      </c>
      <c r="P2" s="561" t="s">
        <v>13</v>
      </c>
      <c r="Q2" s="549" t="s">
        <v>2580</v>
      </c>
      <c r="R2" s="549" t="s">
        <v>11</v>
      </c>
      <c r="S2" s="549" t="s">
        <v>2578</v>
      </c>
      <c r="T2" s="549" t="s">
        <v>2578</v>
      </c>
      <c r="U2" s="549" t="s">
        <v>2578</v>
      </c>
      <c r="V2" s="549" t="s">
        <v>2578</v>
      </c>
      <c r="W2" s="549" t="s">
        <v>2578</v>
      </c>
      <c r="X2" s="549" t="s">
        <v>2578</v>
      </c>
      <c r="Y2" s="556"/>
      <c r="Z2" s="549" t="s">
        <v>2581</v>
      </c>
      <c r="AA2" s="549" t="s">
        <v>2581</v>
      </c>
      <c r="AB2" s="549" t="s">
        <v>2581</v>
      </c>
      <c r="AC2" s="549" t="s">
        <v>2581</v>
      </c>
      <c r="AD2" s="549" t="s">
        <v>2581</v>
      </c>
      <c r="AE2" s="549" t="s">
        <v>2581</v>
      </c>
      <c r="AF2" s="549" t="s">
        <v>2581</v>
      </c>
      <c r="AG2" s="549" t="s">
        <v>2581</v>
      </c>
      <c r="AH2" s="549" t="s">
        <v>2581</v>
      </c>
      <c r="AI2" s="549" t="s">
        <v>2581</v>
      </c>
      <c r="AJ2" s="555"/>
      <c r="AK2" s="557"/>
      <c r="AL2" s="557"/>
      <c r="AM2" s="557"/>
      <c r="AN2" s="557"/>
      <c r="AO2" s="557"/>
      <c r="AP2" s="557"/>
      <c r="AQ2" s="557"/>
      <c r="AR2" s="557"/>
      <c r="AS2" s="557"/>
      <c r="AT2" s="557"/>
      <c r="AU2" s="557"/>
      <c r="AV2" s="557"/>
      <c r="AW2" s="557"/>
      <c r="AX2" s="557"/>
      <c r="AY2" s="557"/>
      <c r="AZ2" s="557"/>
      <c r="BA2" s="557"/>
      <c r="BB2" s="557"/>
    </row>
    <row r="3">
      <c r="A3" s="562"/>
      <c r="B3" s="555"/>
      <c r="C3" s="550" t="s">
        <v>2582</v>
      </c>
      <c r="D3" s="550" t="s">
        <v>2583</v>
      </c>
      <c r="E3" s="551" t="s">
        <v>2584</v>
      </c>
      <c r="F3" s="555"/>
      <c r="G3" s="555"/>
      <c r="H3" s="555"/>
      <c r="I3" s="563"/>
      <c r="J3" s="564" t="s">
        <v>2585</v>
      </c>
      <c r="K3" s="555"/>
      <c r="L3" s="555"/>
      <c r="M3" s="550" t="s">
        <v>2586</v>
      </c>
      <c r="N3" s="565"/>
      <c r="O3" s="566"/>
      <c r="P3" s="566"/>
      <c r="Q3" s="555"/>
      <c r="R3" s="567"/>
      <c r="S3" s="555"/>
      <c r="T3" s="555"/>
      <c r="U3" s="555"/>
      <c r="V3" s="555"/>
      <c r="W3" s="567"/>
      <c r="X3" s="555"/>
      <c r="Y3" s="568"/>
      <c r="Z3" s="555"/>
      <c r="AA3" s="555"/>
      <c r="AB3" s="555"/>
      <c r="AC3" s="555"/>
      <c r="AD3" s="555"/>
      <c r="AE3" s="555"/>
      <c r="AF3" s="555"/>
      <c r="AG3" s="555"/>
      <c r="AH3" s="555"/>
      <c r="AI3" s="555"/>
      <c r="AJ3" s="555"/>
      <c r="AK3" s="557"/>
      <c r="AL3" s="557"/>
      <c r="AM3" s="557"/>
      <c r="AN3" s="557"/>
      <c r="AO3" s="557"/>
      <c r="AP3" s="557"/>
      <c r="AQ3" s="557"/>
      <c r="AR3" s="557"/>
      <c r="AS3" s="557"/>
      <c r="AT3" s="557"/>
      <c r="AU3" s="557"/>
      <c r="AV3" s="557"/>
      <c r="AW3" s="557"/>
      <c r="AX3" s="557"/>
      <c r="AY3" s="557"/>
      <c r="AZ3" s="557"/>
      <c r="BA3" s="557"/>
      <c r="BB3" s="557"/>
    </row>
    <row r="4">
      <c r="A4" s="549" t="s">
        <v>2587</v>
      </c>
      <c r="B4" s="550" t="s">
        <v>2588</v>
      </c>
      <c r="C4" s="555"/>
      <c r="D4" s="550">
        <v>8.0</v>
      </c>
      <c r="E4" s="551">
        <v>8000000.0</v>
      </c>
      <c r="F4" s="550" t="s">
        <v>28</v>
      </c>
      <c r="G4" s="550" t="s">
        <v>23</v>
      </c>
      <c r="H4" s="555"/>
      <c r="I4" s="569" t="s">
        <v>2589</v>
      </c>
      <c r="J4" s="550">
        <v>1.0</v>
      </c>
      <c r="K4" s="555"/>
      <c r="L4" s="555"/>
      <c r="M4" s="555"/>
      <c r="N4" s="565"/>
      <c r="O4" s="570" t="s">
        <v>1603</v>
      </c>
      <c r="P4" s="566"/>
      <c r="Q4" s="555"/>
      <c r="R4" s="571"/>
      <c r="S4" s="571"/>
      <c r="T4" s="555"/>
      <c r="U4" s="555"/>
      <c r="V4" s="555"/>
      <c r="W4" s="555"/>
      <c r="X4" s="555"/>
      <c r="Y4" s="568"/>
      <c r="Z4" s="555"/>
      <c r="AA4" s="555"/>
      <c r="AB4" s="555"/>
      <c r="AC4" s="555"/>
      <c r="AD4" s="555"/>
      <c r="AE4" s="555"/>
      <c r="AF4" s="555"/>
      <c r="AG4" s="555"/>
      <c r="AH4" s="555"/>
      <c r="AI4" s="555"/>
      <c r="AJ4" s="555"/>
      <c r="AK4" s="557"/>
      <c r="AL4" s="557"/>
      <c r="AM4" s="557"/>
      <c r="AN4" s="557"/>
      <c r="AO4" s="557"/>
      <c r="AP4" s="557"/>
      <c r="AQ4" s="557"/>
      <c r="AR4" s="557"/>
      <c r="AS4" s="557"/>
      <c r="AT4" s="557"/>
      <c r="AU4" s="557"/>
      <c r="AV4" s="557"/>
      <c r="AW4" s="557"/>
      <c r="AX4" s="557"/>
      <c r="AY4" s="557"/>
      <c r="AZ4" s="557"/>
      <c r="BA4" s="557"/>
      <c r="BB4" s="557"/>
    </row>
    <row r="5">
      <c r="A5" s="572" t="s">
        <v>1296</v>
      </c>
      <c r="B5" s="573"/>
      <c r="C5" s="418" t="s">
        <v>2590</v>
      </c>
      <c r="D5" s="550">
        <v>12.0</v>
      </c>
      <c r="E5" s="551">
        <v>1.5E7</v>
      </c>
      <c r="F5" s="573" t="s">
        <v>28</v>
      </c>
      <c r="G5" s="573" t="s">
        <v>23</v>
      </c>
      <c r="H5" s="574"/>
      <c r="I5" s="569" t="s">
        <v>2591</v>
      </c>
      <c r="J5" s="575">
        <v>3.0</v>
      </c>
      <c r="K5" s="574"/>
      <c r="L5" s="574"/>
      <c r="M5" s="574"/>
      <c r="N5" s="574"/>
      <c r="O5" s="415" t="s">
        <v>1298</v>
      </c>
      <c r="P5" s="576"/>
      <c r="Q5" s="574"/>
      <c r="R5" s="557"/>
      <c r="S5" s="557"/>
      <c r="T5" s="574"/>
      <c r="U5" s="574"/>
      <c r="V5" s="574"/>
      <c r="W5" s="574"/>
      <c r="X5" s="574"/>
      <c r="Y5" s="577"/>
      <c r="Z5" s="574"/>
      <c r="AA5" s="574"/>
      <c r="AB5" s="574"/>
      <c r="AC5" s="574"/>
      <c r="AD5" s="574"/>
      <c r="AE5" s="574"/>
      <c r="AF5" s="574"/>
      <c r="AG5" s="574"/>
      <c r="AH5" s="574"/>
      <c r="AI5" s="574"/>
      <c r="AJ5" s="574"/>
      <c r="AK5" s="557"/>
      <c r="AL5" s="557"/>
      <c r="AM5" s="557"/>
      <c r="AN5" s="557"/>
      <c r="AO5" s="557"/>
      <c r="AP5" s="557"/>
      <c r="AQ5" s="557"/>
      <c r="AR5" s="557"/>
      <c r="AS5" s="557"/>
      <c r="AT5" s="557"/>
      <c r="AU5" s="557"/>
      <c r="AV5" s="557"/>
      <c r="AW5" s="557"/>
      <c r="AX5" s="557"/>
      <c r="AY5" s="557"/>
      <c r="AZ5" s="557"/>
      <c r="BA5" s="557"/>
      <c r="BB5" s="557"/>
    </row>
    <row r="6">
      <c r="A6" s="578" t="s">
        <v>1303</v>
      </c>
      <c r="B6" s="573" t="s">
        <v>1304</v>
      </c>
      <c r="C6" s="574"/>
      <c r="D6" s="550">
        <v>12.0</v>
      </c>
      <c r="E6" s="551">
        <v>2700000.0</v>
      </c>
      <c r="F6" s="573" t="s">
        <v>28</v>
      </c>
      <c r="G6" s="573" t="s">
        <v>23</v>
      </c>
      <c r="H6" s="574"/>
      <c r="I6" s="569" t="s">
        <v>2592</v>
      </c>
      <c r="J6" s="550">
        <v>5.0</v>
      </c>
      <c r="K6" s="574"/>
      <c r="L6" s="574"/>
      <c r="M6" s="574"/>
      <c r="N6" s="574"/>
      <c r="O6" s="579" t="s">
        <v>1306</v>
      </c>
      <c r="P6" s="576"/>
      <c r="Q6" s="574"/>
      <c r="R6" s="557"/>
      <c r="S6" s="557"/>
      <c r="T6" s="574"/>
      <c r="U6" s="574"/>
      <c r="V6" s="574"/>
      <c r="W6" s="574"/>
      <c r="X6" s="574"/>
      <c r="Y6" s="577"/>
      <c r="Z6" s="574"/>
      <c r="AA6" s="574"/>
      <c r="AB6" s="574"/>
      <c r="AC6" s="574"/>
      <c r="AD6" s="574"/>
      <c r="AE6" s="574"/>
      <c r="AF6" s="574"/>
      <c r="AG6" s="574"/>
      <c r="AH6" s="574"/>
      <c r="AI6" s="574"/>
      <c r="AJ6" s="574"/>
      <c r="AK6" s="557"/>
      <c r="AL6" s="557"/>
      <c r="AM6" s="557"/>
      <c r="AN6" s="557"/>
      <c r="AO6" s="557"/>
      <c r="AP6" s="557"/>
      <c r="AQ6" s="557"/>
      <c r="AR6" s="557"/>
      <c r="AS6" s="557"/>
      <c r="AT6" s="557"/>
      <c r="AU6" s="557"/>
      <c r="AV6" s="557"/>
      <c r="AW6" s="557"/>
      <c r="AX6" s="557"/>
      <c r="AY6" s="557"/>
      <c r="AZ6" s="557"/>
      <c r="BA6" s="557"/>
      <c r="BB6" s="557"/>
    </row>
    <row r="7">
      <c r="A7" s="580" t="s">
        <v>1258</v>
      </c>
      <c r="B7" s="573" t="s">
        <v>1259</v>
      </c>
      <c r="C7" s="573" t="s">
        <v>2593</v>
      </c>
      <c r="D7" s="550">
        <v>12.0</v>
      </c>
      <c r="E7" s="551">
        <v>3.7E7</v>
      </c>
      <c r="F7" s="573" t="s">
        <v>28</v>
      </c>
      <c r="G7" s="573" t="s">
        <v>23</v>
      </c>
      <c r="H7" s="574"/>
      <c r="I7" s="569" t="s">
        <v>2594</v>
      </c>
      <c r="J7" s="550">
        <v>4.0</v>
      </c>
      <c r="K7" s="574"/>
      <c r="L7" s="574"/>
      <c r="M7" s="574"/>
      <c r="N7" s="574"/>
      <c r="O7" s="579" t="s">
        <v>1261</v>
      </c>
      <c r="P7" s="576"/>
      <c r="Q7" s="574"/>
      <c r="R7" s="557"/>
      <c r="S7" s="557"/>
      <c r="T7" s="574"/>
      <c r="U7" s="574"/>
      <c r="V7" s="574"/>
      <c r="W7" s="574"/>
      <c r="X7" s="574"/>
      <c r="Y7" s="577"/>
      <c r="Z7" s="574"/>
      <c r="AA7" s="574"/>
      <c r="AB7" s="574"/>
      <c r="AC7" s="574"/>
      <c r="AD7" s="574"/>
      <c r="AE7" s="574"/>
      <c r="AF7" s="574"/>
      <c r="AG7" s="574"/>
      <c r="AH7" s="574"/>
      <c r="AI7" s="574"/>
      <c r="AJ7" s="574"/>
      <c r="AK7" s="557"/>
      <c r="AL7" s="557"/>
      <c r="AM7" s="557"/>
      <c r="AN7" s="557"/>
      <c r="AO7" s="557"/>
      <c r="AP7" s="557"/>
      <c r="AQ7" s="557"/>
      <c r="AR7" s="557"/>
      <c r="AS7" s="557"/>
      <c r="AT7" s="557"/>
      <c r="AU7" s="557"/>
      <c r="AV7" s="557"/>
      <c r="AW7" s="557"/>
      <c r="AX7" s="557"/>
      <c r="AY7" s="557"/>
      <c r="AZ7" s="557"/>
      <c r="BA7" s="557"/>
      <c r="BB7" s="557"/>
    </row>
    <row r="8">
      <c r="A8" s="578" t="s">
        <v>1262</v>
      </c>
      <c r="B8" s="574"/>
      <c r="C8" s="573" t="s">
        <v>2595</v>
      </c>
      <c r="D8" s="550">
        <v>12.0</v>
      </c>
      <c r="E8" s="551">
        <v>1.4E7</v>
      </c>
      <c r="F8" s="573" t="s">
        <v>64</v>
      </c>
      <c r="G8" s="573" t="s">
        <v>23</v>
      </c>
      <c r="H8" s="574"/>
      <c r="I8" s="569" t="s">
        <v>2596</v>
      </c>
      <c r="J8" s="550">
        <v>3.0</v>
      </c>
      <c r="K8" s="574"/>
      <c r="L8" s="574"/>
      <c r="M8" s="574"/>
      <c r="N8" s="574"/>
      <c r="O8" s="579" t="s">
        <v>1264</v>
      </c>
      <c r="P8" s="576"/>
      <c r="Q8" s="574"/>
      <c r="R8" s="557"/>
      <c r="S8" s="557"/>
      <c r="T8" s="574"/>
      <c r="U8" s="574"/>
      <c r="V8" s="574"/>
      <c r="W8" s="574"/>
      <c r="X8" s="574"/>
      <c r="Y8" s="577"/>
      <c r="Z8" s="574"/>
      <c r="AA8" s="574"/>
      <c r="AB8" s="574"/>
      <c r="AC8" s="574"/>
      <c r="AD8" s="574"/>
      <c r="AE8" s="574"/>
      <c r="AF8" s="574"/>
      <c r="AG8" s="574"/>
      <c r="AH8" s="574"/>
      <c r="AI8" s="574"/>
      <c r="AJ8" s="574"/>
      <c r="AK8" s="557"/>
      <c r="AL8" s="557"/>
      <c r="AM8" s="557"/>
      <c r="AN8" s="557"/>
      <c r="AO8" s="557"/>
      <c r="AP8" s="557"/>
      <c r="AQ8" s="557"/>
      <c r="AR8" s="557"/>
      <c r="AS8" s="557"/>
      <c r="AT8" s="557"/>
      <c r="AU8" s="557"/>
      <c r="AV8" s="557"/>
      <c r="AW8" s="557"/>
      <c r="AX8" s="557"/>
      <c r="AY8" s="557"/>
      <c r="AZ8" s="557"/>
      <c r="BA8" s="557"/>
      <c r="BB8" s="557"/>
    </row>
    <row r="9">
      <c r="A9" s="578" t="s">
        <v>1272</v>
      </c>
      <c r="B9" s="573" t="s">
        <v>1273</v>
      </c>
      <c r="C9" s="573" t="s">
        <v>2597</v>
      </c>
      <c r="D9" s="550">
        <v>12.0</v>
      </c>
      <c r="E9" s="551">
        <v>100000.0</v>
      </c>
      <c r="F9" s="573" t="s">
        <v>64</v>
      </c>
      <c r="G9" s="573" t="s">
        <v>51</v>
      </c>
      <c r="H9" s="574"/>
      <c r="I9" s="569" t="s">
        <v>2598</v>
      </c>
      <c r="J9" s="550">
        <v>1.0</v>
      </c>
      <c r="K9" s="574"/>
      <c r="L9" s="574"/>
      <c r="M9" s="574"/>
      <c r="N9" s="574"/>
      <c r="O9" s="579" t="s">
        <v>1275</v>
      </c>
      <c r="P9" s="576"/>
      <c r="Q9" s="574"/>
      <c r="R9" s="557"/>
      <c r="S9" s="557"/>
      <c r="T9" s="574"/>
      <c r="U9" s="574"/>
      <c r="V9" s="574"/>
      <c r="W9" s="574"/>
      <c r="X9" s="574"/>
      <c r="Y9" s="577"/>
      <c r="Z9" s="574"/>
      <c r="AA9" s="574"/>
      <c r="AB9" s="574"/>
      <c r="AC9" s="574"/>
      <c r="AD9" s="574"/>
      <c r="AE9" s="574"/>
      <c r="AF9" s="574"/>
      <c r="AG9" s="574"/>
      <c r="AH9" s="574"/>
      <c r="AI9" s="574"/>
      <c r="AJ9" s="574"/>
      <c r="AK9" s="557"/>
      <c r="AL9" s="557"/>
      <c r="AM9" s="557"/>
      <c r="AN9" s="557"/>
      <c r="AO9" s="557"/>
      <c r="AP9" s="557"/>
      <c r="AQ9" s="557"/>
      <c r="AR9" s="557"/>
      <c r="AS9" s="557"/>
      <c r="AT9" s="557"/>
      <c r="AU9" s="557"/>
      <c r="AV9" s="557"/>
      <c r="AW9" s="557"/>
      <c r="AX9" s="557"/>
      <c r="AY9" s="557"/>
      <c r="AZ9" s="557"/>
      <c r="BA9" s="557"/>
      <c r="BB9" s="557"/>
    </row>
    <row r="10">
      <c r="A10" s="578" t="s">
        <v>1280</v>
      </c>
      <c r="B10" s="573" t="s">
        <v>1281</v>
      </c>
      <c r="C10" s="573" t="s">
        <v>2599</v>
      </c>
      <c r="D10" s="550">
        <v>12.0</v>
      </c>
      <c r="E10" s="551">
        <v>3900000.0</v>
      </c>
      <c r="F10" s="573" t="s">
        <v>28</v>
      </c>
      <c r="G10" s="573" t="s">
        <v>23</v>
      </c>
      <c r="H10" s="574"/>
      <c r="I10" s="569" t="s">
        <v>2600</v>
      </c>
      <c r="J10" s="550">
        <v>1.0</v>
      </c>
      <c r="K10" s="574"/>
      <c r="L10" s="574"/>
      <c r="M10" s="574"/>
      <c r="N10" s="574"/>
      <c r="O10" s="580" t="s">
        <v>1284</v>
      </c>
      <c r="P10" s="576"/>
      <c r="Q10" s="574"/>
      <c r="R10" s="557"/>
      <c r="S10" s="557"/>
      <c r="T10" s="574"/>
      <c r="U10" s="574"/>
      <c r="V10" s="574"/>
      <c r="W10" s="574"/>
      <c r="X10" s="574"/>
      <c r="Y10" s="577"/>
      <c r="Z10" s="574"/>
      <c r="AA10" s="574"/>
      <c r="AB10" s="574"/>
      <c r="AC10" s="574"/>
      <c r="AD10" s="574"/>
      <c r="AE10" s="574"/>
      <c r="AF10" s="574"/>
      <c r="AG10" s="574"/>
      <c r="AH10" s="574"/>
      <c r="AI10" s="574"/>
      <c r="AJ10" s="574"/>
      <c r="AK10" s="557"/>
      <c r="AL10" s="557"/>
      <c r="AM10" s="557"/>
      <c r="AN10" s="557"/>
      <c r="AO10" s="557"/>
      <c r="AP10" s="557"/>
      <c r="AQ10" s="557"/>
      <c r="AR10" s="557"/>
      <c r="AS10" s="557"/>
      <c r="AT10" s="557"/>
      <c r="AU10" s="557"/>
      <c r="AV10" s="557"/>
      <c r="AW10" s="557"/>
      <c r="AX10" s="557"/>
      <c r="AY10" s="557"/>
      <c r="AZ10" s="557"/>
      <c r="BA10" s="557"/>
      <c r="BB10" s="557"/>
    </row>
    <row r="11">
      <c r="A11" s="578" t="s">
        <v>1276</v>
      </c>
      <c r="B11" s="573" t="s">
        <v>1277</v>
      </c>
      <c r="C11" s="573" t="s">
        <v>2601</v>
      </c>
      <c r="D11" s="550">
        <v>12.0</v>
      </c>
      <c r="E11" s="551">
        <v>400000.0</v>
      </c>
      <c r="F11" s="573" t="s">
        <v>50</v>
      </c>
      <c r="G11" s="573" t="s">
        <v>23</v>
      </c>
      <c r="H11" s="574"/>
      <c r="I11" s="569" t="s">
        <v>2602</v>
      </c>
      <c r="J11" s="550">
        <v>3.0</v>
      </c>
      <c r="K11" s="574"/>
      <c r="L11" s="574"/>
      <c r="M11" s="574"/>
      <c r="N11" s="574"/>
      <c r="O11" s="581" t="s">
        <v>1279</v>
      </c>
      <c r="P11" s="576"/>
      <c r="Q11" s="574"/>
      <c r="R11" s="557"/>
      <c r="S11" s="557"/>
      <c r="T11" s="574"/>
      <c r="U11" s="574"/>
      <c r="V11" s="574"/>
      <c r="W11" s="574"/>
      <c r="X11" s="574"/>
      <c r="Y11" s="577"/>
      <c r="Z11" s="574"/>
      <c r="AA11" s="574"/>
      <c r="AB11" s="574"/>
      <c r="AC11" s="574"/>
      <c r="AD11" s="574"/>
      <c r="AE11" s="574"/>
      <c r="AF11" s="574"/>
      <c r="AG11" s="574"/>
      <c r="AH11" s="574"/>
      <c r="AI11" s="574"/>
      <c r="AJ11" s="574"/>
      <c r="AK11" s="557"/>
      <c r="AL11" s="557"/>
      <c r="AM11" s="557"/>
      <c r="AN11" s="557"/>
      <c r="AO11" s="557"/>
      <c r="AP11" s="557"/>
      <c r="AQ11" s="557"/>
      <c r="AR11" s="557"/>
      <c r="AS11" s="557"/>
      <c r="AT11" s="557"/>
      <c r="AU11" s="557"/>
      <c r="AV11" s="557"/>
      <c r="AW11" s="557"/>
      <c r="AX11" s="557"/>
      <c r="AY11" s="557"/>
      <c r="AZ11" s="557"/>
      <c r="BA11" s="557"/>
      <c r="BB11" s="557"/>
    </row>
    <row r="12">
      <c r="A12" s="582" t="s">
        <v>1269</v>
      </c>
      <c r="B12" s="79"/>
      <c r="C12" s="583" t="s">
        <v>2603</v>
      </c>
      <c r="D12" s="584">
        <v>12.0</v>
      </c>
      <c r="E12" s="564" t="s">
        <v>2604</v>
      </c>
      <c r="F12" s="584" t="s">
        <v>64</v>
      </c>
      <c r="G12" s="584" t="s">
        <v>2605</v>
      </c>
      <c r="H12" s="79"/>
      <c r="I12" s="569" t="s">
        <v>2606</v>
      </c>
      <c r="J12" s="584">
        <v>5.0</v>
      </c>
      <c r="K12" s="79"/>
      <c r="L12" s="79"/>
      <c r="M12" s="79"/>
      <c r="N12" s="585"/>
      <c r="O12" s="586" t="s">
        <v>1271</v>
      </c>
      <c r="P12" s="587"/>
      <c r="Q12" s="587"/>
      <c r="R12" s="21"/>
      <c r="S12" s="79"/>
      <c r="T12" s="79"/>
      <c r="U12" s="79"/>
      <c r="V12" s="79"/>
      <c r="W12" s="588"/>
      <c r="X12" s="588"/>
      <c r="Y12" s="58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row>
    <row r="13">
      <c r="A13" s="578" t="s">
        <v>882</v>
      </c>
      <c r="B13" s="590" t="s">
        <v>1307</v>
      </c>
      <c r="C13" s="557"/>
      <c r="D13" s="590">
        <v>12.0</v>
      </c>
      <c r="E13" s="590" t="s">
        <v>2607</v>
      </c>
      <c r="F13" s="590" t="s">
        <v>43</v>
      </c>
      <c r="G13" s="550" t="s">
        <v>23</v>
      </c>
      <c r="H13" s="557"/>
      <c r="I13" s="569" t="s">
        <v>2606</v>
      </c>
      <c r="J13" s="591">
        <v>1.0</v>
      </c>
      <c r="K13" s="557"/>
      <c r="L13" s="557"/>
      <c r="M13" s="557"/>
      <c r="N13" s="557"/>
      <c r="O13" s="592" t="s">
        <v>1309</v>
      </c>
      <c r="P13" s="557"/>
      <c r="Q13" s="557"/>
      <c r="R13" s="557"/>
      <c r="S13" s="557"/>
      <c r="T13" s="557"/>
      <c r="U13" s="557"/>
      <c r="V13" s="557"/>
      <c r="W13" s="557"/>
      <c r="X13" s="557"/>
      <c r="Y13" s="557"/>
      <c r="Z13" s="557"/>
      <c r="AA13" s="557"/>
      <c r="AB13" s="557"/>
      <c r="AC13" s="557"/>
      <c r="AD13" s="557"/>
      <c r="AE13" s="557"/>
      <c r="AF13" s="557"/>
      <c r="AG13" s="557"/>
      <c r="AH13" s="557"/>
      <c r="AI13" s="557"/>
      <c r="AJ13" s="557"/>
      <c r="AK13" s="557"/>
      <c r="AL13" s="557"/>
      <c r="AM13" s="557"/>
      <c r="AN13" s="557"/>
      <c r="AO13" s="557"/>
      <c r="AP13" s="557"/>
      <c r="AQ13" s="557"/>
      <c r="AR13" s="557"/>
      <c r="AS13" s="557"/>
      <c r="AT13" s="557"/>
      <c r="AU13" s="557"/>
      <c r="AV13" s="557"/>
      <c r="AW13" s="557"/>
      <c r="AX13" s="557"/>
      <c r="AY13" s="557"/>
      <c r="AZ13" s="557"/>
      <c r="BA13" s="557"/>
      <c r="BB13" s="557"/>
    </row>
    <row r="14">
      <c r="A14" s="593"/>
      <c r="B14" s="557"/>
      <c r="C14" s="557"/>
      <c r="D14" s="557"/>
      <c r="E14" s="557"/>
      <c r="F14" s="557"/>
      <c r="G14" s="557"/>
      <c r="H14" s="557"/>
      <c r="I14" s="594"/>
      <c r="J14" s="571"/>
      <c r="K14" s="557"/>
      <c r="L14" s="557"/>
      <c r="M14" s="557"/>
      <c r="N14" s="557"/>
      <c r="O14" s="557"/>
      <c r="P14" s="557"/>
      <c r="Q14" s="557"/>
      <c r="R14" s="557"/>
      <c r="S14" s="557"/>
      <c r="T14" s="557"/>
      <c r="U14" s="557"/>
      <c r="V14" s="557"/>
      <c r="W14" s="557"/>
      <c r="X14" s="557"/>
      <c r="Y14" s="557"/>
      <c r="Z14" s="557"/>
      <c r="AA14" s="557"/>
      <c r="AB14" s="557"/>
      <c r="AC14" s="557"/>
      <c r="AD14" s="557"/>
      <c r="AE14" s="557"/>
      <c r="AF14" s="557"/>
      <c r="AG14" s="557"/>
      <c r="AH14" s="557"/>
      <c r="AI14" s="557"/>
      <c r="AJ14" s="557"/>
      <c r="AK14" s="557"/>
      <c r="AL14" s="557"/>
      <c r="AM14" s="557"/>
      <c r="AN14" s="557"/>
      <c r="AO14" s="557"/>
      <c r="AP14" s="557"/>
      <c r="AQ14" s="557"/>
      <c r="AR14" s="557"/>
      <c r="AS14" s="557"/>
      <c r="AT14" s="557"/>
      <c r="AU14" s="557"/>
      <c r="AV14" s="557"/>
      <c r="AW14" s="557"/>
      <c r="AX14" s="557"/>
      <c r="AY14" s="557"/>
      <c r="AZ14" s="557"/>
      <c r="BA14" s="557"/>
      <c r="BB14" s="557"/>
    </row>
    <row r="15">
      <c r="A15" s="593"/>
      <c r="B15" s="557"/>
      <c r="C15" s="557"/>
      <c r="D15" s="557"/>
      <c r="E15" s="557"/>
      <c r="F15" s="557"/>
      <c r="G15" s="557"/>
      <c r="H15" s="557"/>
      <c r="I15" s="594"/>
      <c r="J15" s="571"/>
      <c r="K15" s="557"/>
      <c r="L15" s="557"/>
      <c r="M15" s="557"/>
      <c r="N15" s="557"/>
      <c r="O15" s="557"/>
      <c r="P15" s="557"/>
      <c r="Q15" s="557"/>
      <c r="R15" s="557"/>
      <c r="S15" s="557"/>
      <c r="T15" s="557"/>
      <c r="U15" s="557"/>
      <c r="V15" s="557"/>
      <c r="W15" s="557"/>
      <c r="X15" s="557"/>
      <c r="Y15" s="557"/>
      <c r="Z15" s="557"/>
      <c r="AA15" s="557"/>
      <c r="AB15" s="557"/>
      <c r="AC15" s="557"/>
      <c r="AD15" s="557"/>
      <c r="AE15" s="557"/>
      <c r="AF15" s="557"/>
      <c r="AG15" s="557"/>
      <c r="AH15" s="557"/>
      <c r="AI15" s="557"/>
      <c r="AJ15" s="557"/>
      <c r="AK15" s="557"/>
      <c r="AL15" s="557"/>
      <c r="AM15" s="557"/>
      <c r="AN15" s="557"/>
      <c r="AO15" s="557"/>
      <c r="AP15" s="557"/>
      <c r="AQ15" s="557"/>
      <c r="AR15" s="557"/>
      <c r="AS15" s="557"/>
      <c r="AT15" s="557"/>
      <c r="AU15" s="557"/>
      <c r="AV15" s="557"/>
      <c r="AW15" s="557"/>
      <c r="AX15" s="557"/>
      <c r="AY15" s="557"/>
      <c r="AZ15" s="557"/>
      <c r="BA15" s="557"/>
      <c r="BB15" s="557"/>
    </row>
    <row r="16">
      <c r="A16" s="549" t="s">
        <v>2587</v>
      </c>
      <c r="B16" s="595"/>
      <c r="C16" s="550" t="s">
        <v>2587</v>
      </c>
      <c r="D16" s="550">
        <v>10.0</v>
      </c>
      <c r="E16" s="551">
        <v>860000.0</v>
      </c>
      <c r="F16" s="550" t="s">
        <v>28</v>
      </c>
      <c r="G16" s="550" t="s">
        <v>23</v>
      </c>
      <c r="H16" s="555"/>
      <c r="I16" s="569" t="s">
        <v>2608</v>
      </c>
      <c r="J16" s="550">
        <v>1.0</v>
      </c>
      <c r="K16" s="555"/>
      <c r="L16" s="555"/>
      <c r="M16" s="555"/>
      <c r="N16" s="565"/>
      <c r="O16" s="570" t="s">
        <v>1505</v>
      </c>
      <c r="P16" s="566"/>
      <c r="Q16" s="555"/>
      <c r="R16" s="571"/>
      <c r="S16" s="571"/>
      <c r="T16" s="555"/>
      <c r="U16" s="555"/>
      <c r="V16" s="555"/>
      <c r="W16" s="555"/>
      <c r="X16" s="555"/>
      <c r="Y16" s="568"/>
      <c r="Z16" s="555"/>
      <c r="AA16" s="555"/>
      <c r="AB16" s="555"/>
      <c r="AC16" s="555"/>
      <c r="AD16" s="555"/>
      <c r="AE16" s="555"/>
      <c r="AF16" s="555"/>
      <c r="AG16" s="555"/>
      <c r="AH16" s="555"/>
      <c r="AI16" s="555"/>
      <c r="AJ16" s="555"/>
      <c r="AK16" s="557"/>
      <c r="AL16" s="557"/>
      <c r="AM16" s="557"/>
      <c r="AN16" s="557"/>
      <c r="AO16" s="557"/>
      <c r="AP16" s="557"/>
      <c r="AQ16" s="557"/>
      <c r="AR16" s="557"/>
      <c r="AS16" s="557"/>
      <c r="AT16" s="557"/>
      <c r="AU16" s="557"/>
      <c r="AV16" s="557"/>
      <c r="AW16" s="557"/>
      <c r="AX16" s="557"/>
      <c r="AY16" s="557"/>
      <c r="AZ16" s="557"/>
      <c r="BA16" s="557"/>
      <c r="BB16" s="557"/>
    </row>
    <row r="17">
      <c r="A17" s="562"/>
      <c r="B17" s="595"/>
      <c r="C17" s="555"/>
      <c r="D17" s="555"/>
      <c r="E17" s="595"/>
      <c r="F17" s="555"/>
      <c r="G17" s="555"/>
      <c r="H17" s="555"/>
      <c r="I17" s="596"/>
      <c r="J17" s="555"/>
      <c r="K17" s="555"/>
      <c r="L17" s="555"/>
      <c r="M17" s="555"/>
      <c r="N17" s="565"/>
      <c r="O17" s="566"/>
      <c r="P17" s="566"/>
      <c r="Q17" s="555"/>
      <c r="R17" s="571"/>
      <c r="S17" s="571"/>
      <c r="T17" s="555"/>
      <c r="U17" s="555"/>
      <c r="V17" s="555"/>
      <c r="W17" s="555"/>
      <c r="X17" s="555"/>
      <c r="Y17" s="568"/>
      <c r="Z17" s="555"/>
      <c r="AA17" s="555"/>
      <c r="AB17" s="555"/>
      <c r="AC17" s="555"/>
      <c r="AD17" s="555"/>
      <c r="AE17" s="555"/>
      <c r="AF17" s="555"/>
      <c r="AG17" s="555"/>
      <c r="AH17" s="555"/>
      <c r="AI17" s="555"/>
      <c r="AJ17" s="555"/>
      <c r="AK17" s="557"/>
      <c r="AL17" s="557"/>
      <c r="AM17" s="557"/>
      <c r="AN17" s="557"/>
      <c r="AO17" s="557"/>
      <c r="AP17" s="557"/>
      <c r="AQ17" s="557"/>
      <c r="AR17" s="557"/>
      <c r="AS17" s="557"/>
      <c r="AT17" s="557"/>
      <c r="AU17" s="557"/>
      <c r="AV17" s="557"/>
      <c r="AW17" s="557"/>
      <c r="AX17" s="557"/>
      <c r="AY17" s="557"/>
      <c r="AZ17" s="557"/>
      <c r="BA17" s="557"/>
      <c r="BB17" s="557"/>
    </row>
    <row r="18">
      <c r="A18" s="578" t="s">
        <v>1334</v>
      </c>
      <c r="B18" s="557"/>
      <c r="C18" s="573" t="s">
        <v>2609</v>
      </c>
      <c r="D18" s="591">
        <v>11.0</v>
      </c>
      <c r="E18" s="591" t="s">
        <v>2610</v>
      </c>
      <c r="F18" s="590" t="s">
        <v>2007</v>
      </c>
      <c r="G18" s="590" t="s">
        <v>23</v>
      </c>
      <c r="H18" s="557"/>
      <c r="I18" s="597" t="s">
        <v>2611</v>
      </c>
      <c r="J18" s="591">
        <v>4.0</v>
      </c>
      <c r="K18" s="557"/>
      <c r="L18" s="557"/>
      <c r="M18" s="557"/>
      <c r="N18" s="557"/>
      <c r="O18" s="592" t="s">
        <v>1337</v>
      </c>
      <c r="P18" s="557"/>
      <c r="Q18" s="557"/>
      <c r="R18" s="557"/>
      <c r="S18" s="557"/>
      <c r="T18" s="557"/>
      <c r="U18" s="557"/>
      <c r="V18" s="557"/>
      <c r="W18" s="557"/>
      <c r="X18" s="557"/>
      <c r="Y18" s="557"/>
      <c r="Z18" s="557"/>
      <c r="AA18" s="557"/>
      <c r="AB18" s="557"/>
      <c r="AC18" s="557"/>
      <c r="AD18" s="557"/>
      <c r="AE18" s="557"/>
      <c r="AF18" s="557"/>
      <c r="AG18" s="557"/>
      <c r="AH18" s="557"/>
      <c r="AI18" s="557"/>
      <c r="AJ18" s="557"/>
      <c r="AK18" s="557"/>
      <c r="AL18" s="557"/>
      <c r="AM18" s="557"/>
      <c r="AN18" s="557"/>
      <c r="AO18" s="557"/>
      <c r="AP18" s="557"/>
      <c r="AQ18" s="557"/>
      <c r="AR18" s="557"/>
      <c r="AS18" s="557"/>
      <c r="AT18" s="557"/>
      <c r="AU18" s="557"/>
      <c r="AV18" s="557"/>
      <c r="AW18" s="557"/>
      <c r="AX18" s="557"/>
      <c r="AY18" s="557"/>
      <c r="AZ18" s="557"/>
      <c r="BA18" s="557"/>
      <c r="BB18" s="557"/>
    </row>
    <row r="19">
      <c r="A19" s="593"/>
      <c r="B19" s="574"/>
      <c r="C19" s="574"/>
      <c r="D19" s="555"/>
      <c r="E19" s="598"/>
      <c r="F19" s="574"/>
      <c r="G19" s="574"/>
      <c r="H19" s="574"/>
      <c r="I19" s="596"/>
      <c r="J19" s="555"/>
      <c r="K19" s="574"/>
      <c r="L19" s="574"/>
      <c r="M19" s="574"/>
      <c r="N19" s="599"/>
      <c r="O19" s="576"/>
      <c r="P19" s="576"/>
      <c r="Q19" s="574"/>
      <c r="R19" s="557"/>
      <c r="S19" s="557"/>
      <c r="T19" s="574"/>
      <c r="U19" s="574"/>
      <c r="V19" s="574"/>
      <c r="W19" s="574"/>
      <c r="X19" s="574"/>
      <c r="Y19" s="577"/>
      <c r="Z19" s="574"/>
      <c r="AA19" s="574"/>
      <c r="AB19" s="574"/>
      <c r="AC19" s="574"/>
      <c r="AD19" s="574"/>
      <c r="AE19" s="574"/>
      <c r="AF19" s="574"/>
      <c r="AG19" s="574"/>
      <c r="AH19" s="574"/>
      <c r="AI19" s="574"/>
      <c r="AJ19" s="574"/>
      <c r="AK19" s="557"/>
      <c r="AL19" s="557"/>
      <c r="AM19" s="557"/>
      <c r="AN19" s="557"/>
      <c r="AO19" s="557"/>
      <c r="AP19" s="557"/>
      <c r="AQ19" s="557"/>
      <c r="AR19" s="557"/>
      <c r="AS19" s="557"/>
      <c r="AT19" s="557"/>
      <c r="AU19" s="557"/>
      <c r="AV19" s="557"/>
      <c r="AW19" s="557"/>
      <c r="AX19" s="557"/>
      <c r="AY19" s="557"/>
      <c r="AZ19" s="557"/>
      <c r="BA19" s="557"/>
      <c r="BB19" s="557"/>
    </row>
    <row r="20">
      <c r="A20" s="600"/>
      <c r="B20" s="584" t="s">
        <v>2612</v>
      </c>
      <c r="C20" s="588"/>
      <c r="D20" s="588"/>
      <c r="E20" s="601"/>
      <c r="F20" s="588"/>
      <c r="G20" s="588"/>
      <c r="H20" s="588"/>
      <c r="I20" s="596"/>
      <c r="J20" s="588"/>
      <c r="K20" s="588"/>
      <c r="L20" s="588"/>
      <c r="M20" s="588"/>
      <c r="N20" s="602"/>
      <c r="O20" s="603"/>
      <c r="P20" s="603"/>
      <c r="Q20" s="588"/>
      <c r="R20" s="604"/>
      <c r="S20" s="588"/>
      <c r="T20" s="588"/>
      <c r="U20" s="588"/>
      <c r="V20" s="588"/>
      <c r="W20" s="588"/>
      <c r="X20" s="588"/>
      <c r="Y20" s="605"/>
      <c r="Z20" s="588"/>
      <c r="AA20" s="588"/>
      <c r="AB20" s="588"/>
      <c r="AC20" s="588"/>
      <c r="AD20" s="588"/>
      <c r="AE20" s="588"/>
      <c r="AF20" s="588"/>
      <c r="AG20" s="588"/>
      <c r="AH20" s="588"/>
      <c r="AI20" s="588"/>
      <c r="AJ20" s="588"/>
      <c r="AK20" s="588"/>
      <c r="AL20" s="588"/>
      <c r="AM20" s="588"/>
      <c r="AN20" s="588"/>
      <c r="AO20" s="588"/>
      <c r="AP20" s="588"/>
      <c r="AQ20" s="588"/>
      <c r="AR20" s="588"/>
      <c r="AS20" s="588"/>
      <c r="AT20" s="588"/>
      <c r="AU20" s="588"/>
      <c r="AV20" s="588"/>
      <c r="AW20" s="588"/>
      <c r="AX20" s="588"/>
      <c r="AY20" s="588"/>
      <c r="AZ20" s="588"/>
      <c r="BA20" s="588"/>
      <c r="BB20" s="588"/>
    </row>
    <row r="21">
      <c r="A21" s="549" t="s">
        <v>2613</v>
      </c>
      <c r="B21" s="595"/>
      <c r="C21" s="581" t="s">
        <v>2614</v>
      </c>
      <c r="D21" s="555"/>
      <c r="E21" s="595"/>
      <c r="F21" s="555"/>
      <c r="G21" s="555"/>
      <c r="H21" s="555"/>
      <c r="I21" s="596"/>
      <c r="J21" s="555"/>
      <c r="K21" s="555"/>
      <c r="L21" s="555"/>
      <c r="M21" s="555"/>
      <c r="N21" s="565"/>
      <c r="O21" s="566"/>
      <c r="P21" s="566"/>
      <c r="Q21" s="555"/>
      <c r="R21" s="571"/>
      <c r="S21" s="571"/>
      <c r="T21" s="555"/>
      <c r="U21" s="555"/>
      <c r="V21" s="555"/>
      <c r="W21" s="555"/>
      <c r="X21" s="555"/>
      <c r="Y21" s="568"/>
      <c r="Z21" s="555"/>
      <c r="AA21" s="555"/>
      <c r="AB21" s="555"/>
      <c r="AC21" s="555"/>
      <c r="AD21" s="555"/>
      <c r="AE21" s="555"/>
      <c r="AF21" s="555"/>
      <c r="AG21" s="555"/>
      <c r="AH21" s="555"/>
      <c r="AI21" s="555"/>
      <c r="AJ21" s="555"/>
      <c r="AK21" s="557"/>
      <c r="AL21" s="557"/>
      <c r="AM21" s="557"/>
      <c r="AN21" s="557"/>
      <c r="AO21" s="557"/>
      <c r="AP21" s="557"/>
      <c r="AQ21" s="557"/>
      <c r="AR21" s="557"/>
      <c r="AS21" s="557"/>
      <c r="AT21" s="557"/>
      <c r="AU21" s="557"/>
      <c r="AV21" s="557"/>
      <c r="AW21" s="557"/>
      <c r="AX21" s="557"/>
      <c r="AY21" s="557"/>
      <c r="AZ21" s="557"/>
      <c r="BA21" s="557"/>
      <c r="BB21" s="557"/>
    </row>
    <row r="22">
      <c r="A22" s="600"/>
      <c r="B22" s="588"/>
      <c r="C22" s="588"/>
      <c r="D22" s="588"/>
      <c r="E22" s="601"/>
      <c r="F22" s="588"/>
      <c r="G22" s="588"/>
      <c r="H22" s="588"/>
      <c r="I22" s="596"/>
      <c r="J22" s="588"/>
      <c r="K22" s="588"/>
      <c r="L22" s="588"/>
      <c r="M22" s="588"/>
      <c r="N22" s="602"/>
      <c r="O22" s="603"/>
      <c r="P22" s="603"/>
      <c r="Q22" s="588"/>
      <c r="R22" s="604"/>
      <c r="S22" s="588"/>
      <c r="T22" s="588"/>
      <c r="U22" s="588"/>
      <c r="V22" s="588"/>
      <c r="W22" s="588"/>
      <c r="X22" s="588"/>
      <c r="Y22" s="605"/>
      <c r="Z22" s="588"/>
      <c r="AA22" s="588"/>
      <c r="AB22" s="588"/>
      <c r="AC22" s="588"/>
      <c r="AD22" s="588"/>
      <c r="AE22" s="588"/>
      <c r="AF22" s="588"/>
      <c r="AG22" s="588"/>
      <c r="AH22" s="588"/>
      <c r="AI22" s="588"/>
      <c r="AJ22" s="588"/>
      <c r="AK22" s="588"/>
      <c r="AL22" s="588"/>
      <c r="AM22" s="588"/>
      <c r="AN22" s="588"/>
      <c r="AO22" s="588"/>
      <c r="AP22" s="588"/>
      <c r="AQ22" s="588"/>
      <c r="AR22" s="588"/>
      <c r="AS22" s="588"/>
      <c r="AT22" s="588"/>
      <c r="AU22" s="588"/>
      <c r="AV22" s="588"/>
      <c r="AW22" s="588"/>
      <c r="AX22" s="588"/>
      <c r="AY22" s="588"/>
      <c r="AZ22" s="588"/>
      <c r="BA22" s="588"/>
      <c r="BB22" s="588"/>
    </row>
    <row r="23">
      <c r="A23" s="606" t="s">
        <v>2615</v>
      </c>
      <c r="B23" s="584" t="s">
        <v>2616</v>
      </c>
      <c r="C23" s="588"/>
      <c r="D23" s="584">
        <v>10.0</v>
      </c>
      <c r="E23" s="564" t="s">
        <v>2617</v>
      </c>
      <c r="F23" s="584" t="s">
        <v>28</v>
      </c>
      <c r="G23" s="584" t="s">
        <v>23</v>
      </c>
      <c r="H23" s="588"/>
      <c r="I23" s="569" t="s">
        <v>2618</v>
      </c>
      <c r="J23" s="584">
        <v>1.0</v>
      </c>
      <c r="K23" s="588"/>
      <c r="L23" s="588"/>
      <c r="M23" s="588"/>
      <c r="N23" s="602"/>
      <c r="O23" s="570" t="s">
        <v>2619</v>
      </c>
      <c r="P23" s="603"/>
      <c r="Q23" s="588"/>
      <c r="R23" s="604"/>
      <c r="S23" s="588"/>
      <c r="T23" s="588"/>
      <c r="U23" s="588"/>
      <c r="V23" s="588"/>
      <c r="W23" s="588"/>
      <c r="X23" s="588"/>
      <c r="Y23" s="605"/>
      <c r="Z23" s="588"/>
      <c r="AA23" s="588"/>
      <c r="AB23" s="588"/>
      <c r="AC23" s="588"/>
      <c r="AD23" s="588"/>
      <c r="AE23" s="588"/>
      <c r="AF23" s="588"/>
      <c r="AG23" s="588"/>
      <c r="AH23" s="588"/>
      <c r="AI23" s="588"/>
      <c r="AJ23" s="588"/>
      <c r="AK23" s="588"/>
      <c r="AL23" s="588"/>
      <c r="AM23" s="588"/>
      <c r="AN23" s="588"/>
      <c r="AO23" s="588"/>
      <c r="AP23" s="588"/>
      <c r="AQ23" s="588"/>
      <c r="AR23" s="588"/>
      <c r="AS23" s="588"/>
      <c r="AT23" s="588"/>
      <c r="AU23" s="588"/>
      <c r="AV23" s="588"/>
      <c r="AW23" s="588"/>
      <c r="AX23" s="588"/>
      <c r="AY23" s="588"/>
      <c r="AZ23" s="588"/>
      <c r="BA23" s="588"/>
      <c r="BB23" s="588"/>
    </row>
    <row r="24">
      <c r="A24" s="549" t="s">
        <v>403</v>
      </c>
      <c r="B24" s="551" t="s">
        <v>2620</v>
      </c>
      <c r="C24" s="575" t="s">
        <v>2621</v>
      </c>
      <c r="D24" s="575">
        <v>12.0</v>
      </c>
      <c r="E24" s="551" t="s">
        <v>2622</v>
      </c>
      <c r="F24" s="575" t="s">
        <v>28</v>
      </c>
      <c r="G24" s="575" t="s">
        <v>23</v>
      </c>
      <c r="H24" s="555"/>
      <c r="I24" s="552" t="s">
        <v>2623</v>
      </c>
      <c r="J24" s="575">
        <v>4.0</v>
      </c>
      <c r="K24" s="555"/>
      <c r="L24" s="555"/>
      <c r="M24" s="555"/>
      <c r="N24" s="565"/>
      <c r="O24" s="607" t="s">
        <v>2624</v>
      </c>
      <c r="P24" s="566"/>
      <c r="Q24" s="555"/>
      <c r="R24" s="571"/>
      <c r="S24" s="571"/>
      <c r="T24" s="555"/>
      <c r="U24" s="555"/>
      <c r="V24" s="555"/>
      <c r="W24" s="555"/>
      <c r="X24" s="555"/>
      <c r="Y24" s="568"/>
      <c r="Z24" s="555"/>
      <c r="AA24" s="555"/>
      <c r="AB24" s="555"/>
      <c r="AC24" s="555"/>
      <c r="AD24" s="555"/>
      <c r="AE24" s="555"/>
      <c r="AF24" s="555"/>
      <c r="AG24" s="555"/>
      <c r="AH24" s="555"/>
      <c r="AI24" s="555"/>
      <c r="AJ24" s="555"/>
      <c r="AK24" s="557"/>
      <c r="AL24" s="557"/>
      <c r="AM24" s="557"/>
      <c r="AN24" s="557"/>
      <c r="AO24" s="557"/>
      <c r="AP24" s="557"/>
      <c r="AQ24" s="557"/>
      <c r="AR24" s="557"/>
      <c r="AS24" s="557"/>
      <c r="AT24" s="557"/>
      <c r="AU24" s="557"/>
      <c r="AV24" s="557"/>
      <c r="AW24" s="557"/>
      <c r="AX24" s="557"/>
      <c r="AY24" s="557"/>
      <c r="AZ24" s="557"/>
      <c r="BA24" s="557"/>
      <c r="BB24" s="557"/>
    </row>
    <row r="25">
      <c r="A25" s="578" t="s">
        <v>1255</v>
      </c>
      <c r="B25" s="574"/>
      <c r="C25" s="573" t="s">
        <v>2625</v>
      </c>
      <c r="D25" s="550">
        <v>12.0</v>
      </c>
      <c r="E25" s="564" t="s">
        <v>2604</v>
      </c>
      <c r="F25" s="573" t="s">
        <v>28</v>
      </c>
      <c r="G25" s="573" t="s">
        <v>23</v>
      </c>
      <c r="H25" s="573" t="s">
        <v>29</v>
      </c>
      <c r="I25" s="569" t="s">
        <v>2606</v>
      </c>
      <c r="J25" s="550">
        <v>5.0</v>
      </c>
      <c r="K25" s="557"/>
      <c r="L25" s="557"/>
      <c r="M25" s="557"/>
      <c r="N25" s="565"/>
      <c r="O25" s="592" t="s">
        <v>1257</v>
      </c>
      <c r="P25" s="557"/>
      <c r="Q25" s="557"/>
      <c r="R25" s="557"/>
      <c r="S25" s="557"/>
      <c r="T25" s="557"/>
      <c r="U25" s="557"/>
      <c r="V25" s="557"/>
      <c r="W25" s="557"/>
      <c r="X25" s="557"/>
      <c r="Y25" s="557"/>
      <c r="Z25" s="557"/>
      <c r="AA25" s="557"/>
      <c r="AB25" s="557"/>
      <c r="AC25" s="557"/>
      <c r="AD25" s="557"/>
      <c r="AE25" s="557"/>
      <c r="AF25" s="557"/>
      <c r="AG25" s="557"/>
      <c r="AH25" s="557"/>
      <c r="AI25" s="557"/>
      <c r="AJ25" s="557"/>
      <c r="AK25" s="557"/>
      <c r="AL25" s="557"/>
      <c r="AM25" s="557"/>
      <c r="AN25" s="557"/>
      <c r="AO25" s="557"/>
      <c r="AP25" s="557"/>
      <c r="AQ25" s="557"/>
      <c r="AR25" s="557"/>
      <c r="AS25" s="557"/>
      <c r="AT25" s="557"/>
      <c r="AU25" s="557"/>
      <c r="AV25" s="557"/>
      <c r="AW25" s="557"/>
      <c r="AX25" s="557"/>
      <c r="AY25" s="557"/>
      <c r="AZ25" s="557"/>
      <c r="BA25" s="557"/>
      <c r="BB25" s="557"/>
    </row>
    <row r="26">
      <c r="A26" s="608" t="s">
        <v>1291</v>
      </c>
      <c r="B26" s="418" t="s">
        <v>1292</v>
      </c>
      <c r="C26" s="575" t="s">
        <v>2626</v>
      </c>
      <c r="D26" s="575">
        <v>12.0</v>
      </c>
      <c r="E26" s="551">
        <v>157000.0</v>
      </c>
      <c r="F26" s="575" t="s">
        <v>28</v>
      </c>
      <c r="G26" s="575" t="s">
        <v>23</v>
      </c>
      <c r="H26" s="555"/>
      <c r="I26" s="569" t="s">
        <v>2627</v>
      </c>
      <c r="J26" s="575">
        <v>2.0</v>
      </c>
      <c r="K26" s="555"/>
      <c r="L26" s="555"/>
      <c r="M26" s="555"/>
      <c r="N26" s="565"/>
      <c r="O26" s="609" t="s">
        <v>2628</v>
      </c>
      <c r="P26" s="607" t="s">
        <v>1295</v>
      </c>
      <c r="Q26" s="607" t="s">
        <v>2629</v>
      </c>
      <c r="S26" s="571"/>
      <c r="T26" s="555"/>
      <c r="U26" s="555"/>
      <c r="V26" s="555"/>
      <c r="W26" s="555"/>
      <c r="X26" s="555"/>
      <c r="Y26" s="568"/>
      <c r="Z26" s="555"/>
      <c r="AA26" s="555"/>
      <c r="AB26" s="555"/>
      <c r="AC26" s="555"/>
      <c r="AD26" s="555"/>
      <c r="AE26" s="555"/>
      <c r="AF26" s="555"/>
      <c r="AG26" s="555"/>
      <c r="AH26" s="555"/>
      <c r="AI26" s="555"/>
      <c r="AJ26" s="555"/>
      <c r="AK26" s="557"/>
      <c r="AL26" s="557"/>
      <c r="AM26" s="557"/>
      <c r="AN26" s="557"/>
      <c r="AO26" s="557"/>
      <c r="AP26" s="557"/>
      <c r="AQ26" s="557"/>
      <c r="AR26" s="557"/>
      <c r="AS26" s="557"/>
      <c r="AT26" s="557"/>
      <c r="AU26" s="557"/>
      <c r="AV26" s="557"/>
      <c r="AW26" s="557"/>
      <c r="AX26" s="557"/>
      <c r="AY26" s="557"/>
      <c r="AZ26" s="557"/>
      <c r="BA26" s="557"/>
      <c r="BB26" s="557"/>
    </row>
    <row r="27">
      <c r="A27" s="608" t="s">
        <v>1285</v>
      </c>
      <c r="B27" s="551" t="s">
        <v>1286</v>
      </c>
      <c r="C27" s="575" t="s">
        <v>2630</v>
      </c>
      <c r="D27" s="575">
        <v>12.0</v>
      </c>
      <c r="E27" s="551" t="s">
        <v>2631</v>
      </c>
      <c r="F27" s="575" t="s">
        <v>28</v>
      </c>
      <c r="G27" s="575" t="s">
        <v>23</v>
      </c>
      <c r="H27" s="555"/>
      <c r="I27" s="552" t="s">
        <v>2632</v>
      </c>
      <c r="J27" s="575">
        <v>5.0</v>
      </c>
      <c r="K27" s="555"/>
      <c r="L27" s="555"/>
      <c r="M27" s="555"/>
      <c r="N27" s="565"/>
      <c r="O27" s="607" t="s">
        <v>1290</v>
      </c>
      <c r="P27" s="566"/>
      <c r="Q27" s="555"/>
      <c r="R27" s="571"/>
      <c r="S27" s="571"/>
      <c r="T27" s="555"/>
      <c r="U27" s="555"/>
      <c r="V27" s="555"/>
      <c r="W27" s="555"/>
      <c r="X27" s="555"/>
      <c r="Y27" s="568"/>
      <c r="Z27" s="555"/>
      <c r="AA27" s="555"/>
      <c r="AB27" s="555"/>
      <c r="AC27" s="555"/>
      <c r="AD27" s="555"/>
      <c r="AE27" s="555"/>
      <c r="AF27" s="555"/>
      <c r="AG27" s="555"/>
      <c r="AH27" s="555"/>
      <c r="AI27" s="555"/>
      <c r="AJ27" s="555"/>
      <c r="AK27" s="557"/>
      <c r="AL27" s="557"/>
      <c r="AM27" s="557"/>
      <c r="AN27" s="557"/>
      <c r="AO27" s="557"/>
      <c r="AP27" s="557"/>
      <c r="AQ27" s="557"/>
      <c r="AR27" s="557"/>
      <c r="AS27" s="557"/>
      <c r="AT27" s="557"/>
      <c r="AU27" s="557"/>
      <c r="AV27" s="557"/>
      <c r="AW27" s="557"/>
      <c r="AX27" s="557"/>
      <c r="AY27" s="557"/>
      <c r="AZ27" s="557"/>
      <c r="BA27" s="557"/>
      <c r="BB27" s="557"/>
    </row>
    <row r="28">
      <c r="A28" s="608" t="s">
        <v>1240</v>
      </c>
      <c r="B28" s="551" t="s">
        <v>1241</v>
      </c>
      <c r="C28" s="575" t="s">
        <v>2633</v>
      </c>
      <c r="D28" s="575">
        <v>12.0</v>
      </c>
      <c r="E28" s="551">
        <v>40000.0</v>
      </c>
      <c r="F28" s="575" t="s">
        <v>2634</v>
      </c>
      <c r="G28" s="575" t="s">
        <v>23</v>
      </c>
      <c r="H28" s="555"/>
      <c r="I28" s="552" t="s">
        <v>2635</v>
      </c>
      <c r="J28" s="575">
        <v>5.0</v>
      </c>
      <c r="K28" s="555"/>
      <c r="L28" s="555"/>
      <c r="M28" s="555"/>
      <c r="N28" s="565"/>
      <c r="O28" s="607" t="s">
        <v>2636</v>
      </c>
      <c r="P28" s="566"/>
      <c r="Q28" s="555"/>
      <c r="R28" s="571"/>
      <c r="S28" s="571"/>
      <c r="T28" s="555"/>
      <c r="U28" s="555"/>
      <c r="V28" s="555"/>
      <c r="W28" s="555"/>
      <c r="X28" s="555"/>
      <c r="Y28" s="568"/>
      <c r="Z28" s="555"/>
      <c r="AA28" s="555"/>
      <c r="AB28" s="555"/>
      <c r="AC28" s="555"/>
      <c r="AD28" s="555"/>
      <c r="AE28" s="555"/>
      <c r="AF28" s="555"/>
      <c r="AG28" s="555"/>
      <c r="AH28" s="555"/>
      <c r="AI28" s="555"/>
      <c r="AJ28" s="555"/>
      <c r="AK28" s="557"/>
      <c r="AL28" s="557"/>
      <c r="AM28" s="557"/>
      <c r="AN28" s="557"/>
      <c r="AO28" s="557"/>
      <c r="AP28" s="557"/>
      <c r="AQ28" s="557"/>
      <c r="AR28" s="557"/>
      <c r="AS28" s="557"/>
      <c r="AT28" s="557"/>
      <c r="AU28" s="557"/>
      <c r="AV28" s="557"/>
      <c r="AW28" s="557"/>
      <c r="AX28" s="557"/>
      <c r="AY28" s="557"/>
      <c r="AZ28" s="557"/>
      <c r="BA28" s="557"/>
      <c r="BB28" s="557"/>
    </row>
    <row r="29">
      <c r="A29" s="610" t="s">
        <v>1235</v>
      </c>
      <c r="B29" s="611" t="s">
        <v>1236</v>
      </c>
      <c r="C29" s="611" t="s">
        <v>2637</v>
      </c>
      <c r="D29" s="611">
        <v>12.0</v>
      </c>
      <c r="E29" s="564" t="s">
        <v>2638</v>
      </c>
      <c r="F29" s="611" t="s">
        <v>28</v>
      </c>
      <c r="G29" s="611" t="s">
        <v>2639</v>
      </c>
      <c r="H29" s="588"/>
      <c r="I29" s="569" t="s">
        <v>2640</v>
      </c>
      <c r="J29" s="611">
        <v>1.0</v>
      </c>
      <c r="K29" s="588"/>
      <c r="L29" s="588"/>
      <c r="M29" s="588"/>
      <c r="N29" s="612"/>
      <c r="O29" s="613" t="s">
        <v>2641</v>
      </c>
      <c r="P29" s="613" t="s">
        <v>1239</v>
      </c>
      <c r="Q29" s="603"/>
      <c r="R29" s="604"/>
      <c r="S29" s="588"/>
      <c r="T29" s="588"/>
      <c r="U29" s="588"/>
      <c r="V29" s="588"/>
      <c r="W29" s="588"/>
      <c r="X29" s="588"/>
      <c r="Y29" s="614"/>
      <c r="Z29" s="588"/>
      <c r="AA29" s="588"/>
      <c r="AB29" s="588"/>
      <c r="AC29" s="588"/>
      <c r="AD29" s="588"/>
      <c r="AE29" s="588"/>
      <c r="AF29" s="588"/>
      <c r="AG29" s="588"/>
      <c r="AH29" s="588"/>
      <c r="AI29" s="588"/>
      <c r="AJ29" s="588"/>
      <c r="AK29" s="588"/>
      <c r="AL29" s="588"/>
      <c r="AM29" s="588"/>
      <c r="AN29" s="588"/>
      <c r="AO29" s="588"/>
      <c r="AP29" s="588"/>
      <c r="AQ29" s="588"/>
      <c r="AR29" s="588"/>
      <c r="AS29" s="588"/>
      <c r="AT29" s="588"/>
      <c r="AU29" s="588"/>
      <c r="AV29" s="588"/>
      <c r="AW29" s="588"/>
      <c r="AX29" s="588"/>
      <c r="AY29" s="588"/>
      <c r="AZ29" s="588"/>
      <c r="BA29" s="588"/>
      <c r="BB29" s="588"/>
    </row>
    <row r="30">
      <c r="A30" s="610" t="s">
        <v>1250</v>
      </c>
      <c r="B30" s="611" t="s">
        <v>1251</v>
      </c>
      <c r="C30" s="611" t="s">
        <v>2642</v>
      </c>
      <c r="D30" s="611">
        <v>12.0</v>
      </c>
      <c r="E30" s="564" t="s">
        <v>2643</v>
      </c>
      <c r="F30" s="611" t="s">
        <v>28</v>
      </c>
      <c r="G30" s="611" t="s">
        <v>51</v>
      </c>
      <c r="H30" s="588"/>
      <c r="I30" s="569" t="s">
        <v>2644</v>
      </c>
      <c r="J30" s="611">
        <v>5.0</v>
      </c>
      <c r="K30" s="588"/>
      <c r="L30" s="588"/>
      <c r="M30" s="588"/>
      <c r="N30" s="612"/>
      <c r="O30" s="613" t="s">
        <v>1253</v>
      </c>
      <c r="P30" s="613" t="s">
        <v>1254</v>
      </c>
      <c r="Q30" s="603"/>
      <c r="R30" s="604"/>
      <c r="S30" s="588"/>
      <c r="T30" s="588"/>
      <c r="U30" s="588"/>
      <c r="V30" s="588"/>
      <c r="W30" s="588"/>
      <c r="X30" s="588"/>
      <c r="Y30" s="614"/>
      <c r="Z30" s="588"/>
      <c r="AA30" s="588"/>
      <c r="AB30" s="588"/>
      <c r="AC30" s="588"/>
      <c r="AD30" s="588"/>
      <c r="AE30" s="588"/>
      <c r="AF30" s="588"/>
      <c r="AG30" s="588"/>
      <c r="AH30" s="588"/>
      <c r="AI30" s="588"/>
      <c r="AJ30" s="588"/>
      <c r="AK30" s="588"/>
      <c r="AL30" s="588"/>
      <c r="AM30" s="588"/>
      <c r="AN30" s="588"/>
      <c r="AO30" s="588"/>
      <c r="AP30" s="588"/>
      <c r="AQ30" s="588"/>
      <c r="AR30" s="588"/>
      <c r="AS30" s="588"/>
      <c r="AT30" s="588"/>
      <c r="AU30" s="588"/>
      <c r="AV30" s="588"/>
      <c r="AW30" s="588"/>
      <c r="AX30" s="588"/>
      <c r="AY30" s="588"/>
      <c r="AZ30" s="588"/>
      <c r="BA30" s="588"/>
      <c r="BB30" s="588"/>
    </row>
    <row r="31">
      <c r="A31" s="608" t="s">
        <v>1245</v>
      </c>
      <c r="B31" s="551" t="s">
        <v>1246</v>
      </c>
      <c r="C31" s="575" t="s">
        <v>2645</v>
      </c>
      <c r="D31" s="575">
        <v>12.0</v>
      </c>
      <c r="E31" s="551" t="s">
        <v>2646</v>
      </c>
      <c r="F31" s="575" t="s">
        <v>28</v>
      </c>
      <c r="G31" s="575" t="s">
        <v>2647</v>
      </c>
      <c r="H31" s="555"/>
      <c r="I31" s="552" t="s">
        <v>2648</v>
      </c>
      <c r="J31" s="575">
        <v>2.0</v>
      </c>
      <c r="K31" s="555"/>
      <c r="L31" s="555"/>
      <c r="M31" s="555"/>
      <c r="N31" s="565"/>
      <c r="O31" s="607" t="s">
        <v>2649</v>
      </c>
      <c r="P31" s="566"/>
      <c r="Q31" s="555"/>
      <c r="R31" s="571"/>
      <c r="S31" s="571"/>
      <c r="T31" s="555"/>
      <c r="U31" s="555"/>
      <c r="V31" s="555"/>
      <c r="W31" s="555"/>
      <c r="X31" s="555"/>
      <c r="Y31" s="568"/>
      <c r="Z31" s="555"/>
      <c r="AA31" s="555"/>
      <c r="AB31" s="555"/>
      <c r="AC31" s="555"/>
      <c r="AD31" s="555"/>
      <c r="AE31" s="555"/>
      <c r="AF31" s="555"/>
      <c r="AG31" s="555"/>
      <c r="AH31" s="555"/>
      <c r="AI31" s="555"/>
      <c r="AJ31" s="555"/>
      <c r="AK31" s="557"/>
      <c r="AL31" s="557"/>
      <c r="AM31" s="557"/>
      <c r="AN31" s="557"/>
      <c r="AO31" s="557"/>
      <c r="AP31" s="557"/>
      <c r="AQ31" s="557"/>
      <c r="AR31" s="557"/>
      <c r="AS31" s="557"/>
      <c r="AT31" s="557"/>
      <c r="AU31" s="557"/>
      <c r="AV31" s="557"/>
      <c r="AW31" s="557"/>
      <c r="AX31" s="557"/>
      <c r="AY31" s="557"/>
      <c r="AZ31" s="557"/>
      <c r="BA31" s="557"/>
      <c r="BB31" s="557"/>
    </row>
    <row r="32">
      <c r="A32" s="608" t="s">
        <v>2650</v>
      </c>
      <c r="B32" s="551"/>
      <c r="C32" s="575" t="s">
        <v>2651</v>
      </c>
      <c r="D32" s="575">
        <v>12.0</v>
      </c>
      <c r="E32" s="551" t="s">
        <v>2652</v>
      </c>
      <c r="F32" s="575" t="s">
        <v>28</v>
      </c>
      <c r="G32" s="575" t="s">
        <v>2647</v>
      </c>
      <c r="H32" s="555"/>
      <c r="I32" s="552" t="s">
        <v>2653</v>
      </c>
      <c r="J32" s="575">
        <v>2.0</v>
      </c>
      <c r="K32" s="555"/>
      <c r="L32" s="555"/>
      <c r="M32" s="555"/>
      <c r="N32" s="565"/>
      <c r="O32" s="607" t="s">
        <v>1233</v>
      </c>
      <c r="P32" s="566"/>
      <c r="Q32" s="555"/>
      <c r="R32" s="571"/>
      <c r="S32" s="571"/>
      <c r="T32" s="555"/>
      <c r="U32" s="555"/>
      <c r="V32" s="555"/>
      <c r="W32" s="555"/>
      <c r="X32" s="555"/>
      <c r="Y32" s="568"/>
      <c r="Z32" s="555"/>
      <c r="AA32" s="555"/>
      <c r="AB32" s="555"/>
      <c r="AC32" s="555"/>
      <c r="AD32" s="555"/>
      <c r="AE32" s="555"/>
      <c r="AF32" s="555"/>
      <c r="AG32" s="555"/>
      <c r="AH32" s="555"/>
      <c r="AI32" s="555"/>
      <c r="AJ32" s="555"/>
      <c r="AK32" s="557"/>
      <c r="AL32" s="557"/>
      <c r="AM32" s="557"/>
      <c r="AN32" s="557"/>
      <c r="AO32" s="557"/>
      <c r="AP32" s="557"/>
      <c r="AQ32" s="557"/>
      <c r="AR32" s="557"/>
      <c r="AS32" s="557"/>
      <c r="AT32" s="557"/>
      <c r="AU32" s="557"/>
      <c r="AV32" s="557"/>
      <c r="AW32" s="557"/>
      <c r="AX32" s="557"/>
      <c r="AY32" s="557"/>
      <c r="AZ32" s="557"/>
      <c r="BA32" s="557"/>
      <c r="BB32" s="557"/>
    </row>
    <row r="33">
      <c r="A33" s="608" t="s">
        <v>2654</v>
      </c>
      <c r="B33" s="595"/>
      <c r="C33" s="575" t="s">
        <v>2655</v>
      </c>
      <c r="D33" s="575">
        <v>12.0</v>
      </c>
      <c r="E33" s="551">
        <v>320000.0</v>
      </c>
      <c r="F33" s="575" t="s">
        <v>28</v>
      </c>
      <c r="G33" s="575" t="s">
        <v>360</v>
      </c>
      <c r="H33" s="555"/>
      <c r="I33" s="552" t="s">
        <v>2656</v>
      </c>
      <c r="J33" s="575">
        <v>1.0</v>
      </c>
      <c r="K33" s="555"/>
      <c r="L33" s="555"/>
      <c r="M33" s="555"/>
      <c r="N33" s="565"/>
      <c r="O33" s="607" t="s">
        <v>2657</v>
      </c>
      <c r="P33" s="566"/>
      <c r="Q33" s="555"/>
      <c r="R33" s="571"/>
      <c r="S33" s="571"/>
      <c r="T33" s="555"/>
      <c r="U33" s="555"/>
      <c r="V33" s="555"/>
      <c r="W33" s="555"/>
      <c r="X33" s="555"/>
      <c r="Y33" s="568"/>
      <c r="Z33" s="555"/>
      <c r="AA33" s="555"/>
      <c r="AB33" s="555"/>
      <c r="AC33" s="555"/>
      <c r="AD33" s="555"/>
      <c r="AE33" s="555"/>
      <c r="AF33" s="555"/>
      <c r="AG33" s="555"/>
      <c r="AH33" s="555"/>
      <c r="AI33" s="555"/>
      <c r="AJ33" s="555"/>
      <c r="AK33" s="557"/>
      <c r="AL33" s="557"/>
      <c r="AM33" s="557"/>
      <c r="AN33" s="557"/>
      <c r="AO33" s="557"/>
      <c r="AP33" s="557"/>
      <c r="AQ33" s="557"/>
      <c r="AR33" s="557"/>
      <c r="AS33" s="557"/>
      <c r="AT33" s="557"/>
      <c r="AU33" s="557"/>
      <c r="AV33" s="557"/>
      <c r="AW33" s="557"/>
      <c r="AX33" s="557"/>
      <c r="AY33" s="557"/>
      <c r="AZ33" s="557"/>
      <c r="BA33" s="557"/>
      <c r="BB33" s="557"/>
    </row>
    <row r="34">
      <c r="A34" s="608" t="s">
        <v>2658</v>
      </c>
      <c r="B34" s="551" t="s">
        <v>2659</v>
      </c>
      <c r="C34" s="615" t="s">
        <v>2660</v>
      </c>
      <c r="D34" s="575">
        <v>12.0</v>
      </c>
      <c r="E34" s="551">
        <v>8.0E7</v>
      </c>
      <c r="F34" s="575" t="s">
        <v>28</v>
      </c>
      <c r="G34" s="575" t="s">
        <v>23</v>
      </c>
      <c r="H34" s="555"/>
      <c r="I34" s="552" t="s">
        <v>2661</v>
      </c>
      <c r="J34" s="575">
        <v>4.0</v>
      </c>
      <c r="K34" s="555"/>
      <c r="L34" s="555"/>
      <c r="M34" s="555"/>
      <c r="N34" s="565"/>
      <c r="O34" s="607" t="s">
        <v>2662</v>
      </c>
      <c r="P34" s="566"/>
      <c r="Q34" s="555"/>
      <c r="R34" s="571"/>
      <c r="S34" s="571"/>
      <c r="T34" s="555"/>
      <c r="U34" s="555"/>
      <c r="V34" s="555"/>
      <c r="W34" s="555"/>
      <c r="X34" s="555"/>
      <c r="Y34" s="568"/>
      <c r="Z34" s="555"/>
      <c r="AA34" s="555"/>
      <c r="AB34" s="555"/>
      <c r="AC34" s="555"/>
      <c r="AD34" s="555"/>
      <c r="AE34" s="555"/>
      <c r="AF34" s="555"/>
      <c r="AG34" s="555"/>
      <c r="AH34" s="555"/>
      <c r="AI34" s="555"/>
      <c r="AJ34" s="555"/>
      <c r="AK34" s="557"/>
      <c r="AL34" s="557"/>
      <c r="AM34" s="557"/>
      <c r="AN34" s="557"/>
      <c r="AO34" s="557"/>
      <c r="AP34" s="557"/>
      <c r="AQ34" s="557"/>
      <c r="AR34" s="557"/>
      <c r="AS34" s="557"/>
      <c r="AT34" s="557"/>
      <c r="AU34" s="557"/>
      <c r="AV34" s="557"/>
      <c r="AW34" s="557"/>
      <c r="AX34" s="557"/>
      <c r="AY34" s="557"/>
      <c r="AZ34" s="557"/>
      <c r="BA34" s="557"/>
      <c r="BB34" s="557"/>
    </row>
    <row r="35">
      <c r="A35" s="608" t="s">
        <v>2663</v>
      </c>
      <c r="B35" s="551" t="s">
        <v>2659</v>
      </c>
      <c r="C35" s="575" t="s">
        <v>2664</v>
      </c>
      <c r="D35" s="575">
        <v>12.0</v>
      </c>
      <c r="E35" s="551">
        <v>1.1E7</v>
      </c>
      <c r="F35" s="575" t="s">
        <v>28</v>
      </c>
      <c r="G35" s="575" t="s">
        <v>23</v>
      </c>
      <c r="H35" s="555"/>
      <c r="I35" s="552" t="s">
        <v>2665</v>
      </c>
      <c r="J35" s="575">
        <v>4.0</v>
      </c>
      <c r="K35" s="555"/>
      <c r="L35" s="555"/>
      <c r="M35" s="555"/>
      <c r="N35" s="565"/>
      <c r="O35" s="607" t="s">
        <v>2666</v>
      </c>
      <c r="P35" s="566"/>
      <c r="Q35" s="555"/>
      <c r="R35" s="571"/>
      <c r="S35" s="571"/>
      <c r="T35" s="555"/>
      <c r="U35" s="555"/>
      <c r="V35" s="555"/>
      <c r="W35" s="555"/>
      <c r="X35" s="555"/>
      <c r="Y35" s="568"/>
      <c r="Z35" s="555"/>
      <c r="AA35" s="555"/>
      <c r="AB35" s="555"/>
      <c r="AC35" s="555"/>
      <c r="AD35" s="555"/>
      <c r="AE35" s="555"/>
      <c r="AF35" s="555"/>
      <c r="AG35" s="555"/>
      <c r="AH35" s="555"/>
      <c r="AI35" s="555"/>
      <c r="AJ35" s="555"/>
      <c r="AK35" s="557"/>
      <c r="AL35" s="557"/>
      <c r="AM35" s="557"/>
      <c r="AN35" s="557"/>
      <c r="AO35" s="557"/>
      <c r="AP35" s="557"/>
      <c r="AQ35" s="557"/>
      <c r="AR35" s="557"/>
      <c r="AS35" s="557"/>
      <c r="AT35" s="557"/>
      <c r="AU35" s="557"/>
      <c r="AV35" s="557"/>
      <c r="AW35" s="557"/>
      <c r="AX35" s="557"/>
      <c r="AY35" s="557"/>
      <c r="AZ35" s="557"/>
      <c r="BA35" s="557"/>
      <c r="BB35" s="557"/>
    </row>
    <row r="36">
      <c r="A36" s="608" t="s">
        <v>1006</v>
      </c>
      <c r="B36" s="595"/>
      <c r="C36" s="575" t="s">
        <v>2667</v>
      </c>
      <c r="D36" s="575">
        <v>12.0</v>
      </c>
      <c r="E36" s="551" t="s">
        <v>2668</v>
      </c>
      <c r="F36" s="575" t="s">
        <v>28</v>
      </c>
      <c r="G36" s="575" t="s">
        <v>23</v>
      </c>
      <c r="H36" s="555"/>
      <c r="I36" s="552" t="s">
        <v>2668</v>
      </c>
      <c r="J36" s="575">
        <v>5.0</v>
      </c>
      <c r="K36" s="555"/>
      <c r="L36" s="555"/>
      <c r="M36" s="555"/>
      <c r="N36" s="565"/>
      <c r="O36" s="607" t="s">
        <v>2669</v>
      </c>
      <c r="P36" s="566"/>
      <c r="Q36" s="555"/>
      <c r="R36" s="571"/>
      <c r="S36" s="571"/>
      <c r="T36" s="555"/>
      <c r="U36" s="555"/>
      <c r="V36" s="555"/>
      <c r="W36" s="555"/>
      <c r="X36" s="555"/>
      <c r="Y36" s="568"/>
      <c r="Z36" s="555"/>
      <c r="AA36" s="555"/>
      <c r="AB36" s="555"/>
      <c r="AC36" s="555"/>
      <c r="AD36" s="555"/>
      <c r="AE36" s="555"/>
      <c r="AF36" s="555"/>
      <c r="AG36" s="555"/>
      <c r="AH36" s="555"/>
      <c r="AI36" s="555"/>
      <c r="AJ36" s="555"/>
      <c r="AK36" s="557"/>
      <c r="AL36" s="557"/>
      <c r="AM36" s="557"/>
      <c r="AN36" s="557"/>
      <c r="AO36" s="557"/>
      <c r="AP36" s="557"/>
      <c r="AQ36" s="557"/>
      <c r="AR36" s="557"/>
      <c r="AS36" s="557"/>
      <c r="AT36" s="557"/>
      <c r="AU36" s="557"/>
      <c r="AV36" s="557"/>
      <c r="AW36" s="557"/>
      <c r="AX36" s="557"/>
      <c r="AY36" s="557"/>
      <c r="AZ36" s="557"/>
      <c r="BA36" s="557"/>
      <c r="BB36" s="557"/>
    </row>
    <row r="37">
      <c r="A37" s="616" t="s">
        <v>2670</v>
      </c>
      <c r="B37" s="551" t="s">
        <v>2671</v>
      </c>
      <c r="C37" s="575" t="s">
        <v>2672</v>
      </c>
      <c r="D37" s="575">
        <v>12.0</v>
      </c>
      <c r="E37" s="551" t="s">
        <v>2673</v>
      </c>
      <c r="F37" s="575" t="s">
        <v>28</v>
      </c>
      <c r="G37" s="575" t="s">
        <v>51</v>
      </c>
      <c r="H37" s="555"/>
      <c r="I37" s="552" t="s">
        <v>2674</v>
      </c>
      <c r="J37" s="575">
        <v>1.0</v>
      </c>
      <c r="K37" s="555"/>
      <c r="L37" s="555"/>
      <c r="M37" s="555"/>
      <c r="N37" s="565"/>
      <c r="O37" s="607" t="s">
        <v>2675</v>
      </c>
      <c r="P37" s="566"/>
      <c r="Q37" s="555"/>
      <c r="R37" s="571"/>
      <c r="S37" s="571"/>
      <c r="T37" s="555"/>
      <c r="U37" s="555"/>
      <c r="V37" s="555"/>
      <c r="W37" s="555"/>
      <c r="X37" s="555"/>
      <c r="Y37" s="568"/>
      <c r="Z37" s="555"/>
      <c r="AA37" s="555"/>
      <c r="AB37" s="555"/>
      <c r="AC37" s="555"/>
      <c r="AD37" s="555"/>
      <c r="AE37" s="555"/>
      <c r="AF37" s="555"/>
      <c r="AG37" s="555"/>
      <c r="AH37" s="555"/>
      <c r="AI37" s="555"/>
      <c r="AJ37" s="555"/>
      <c r="AK37" s="557"/>
      <c r="AL37" s="557"/>
      <c r="AM37" s="557"/>
      <c r="AN37" s="557"/>
      <c r="AO37" s="557"/>
      <c r="AP37" s="557"/>
      <c r="AQ37" s="557"/>
      <c r="AR37" s="557"/>
      <c r="AS37" s="557"/>
      <c r="AT37" s="557"/>
      <c r="AU37" s="557"/>
      <c r="AV37" s="557"/>
      <c r="AW37" s="557"/>
      <c r="AX37" s="557"/>
      <c r="AY37" s="557"/>
      <c r="AZ37" s="557"/>
      <c r="BA37" s="557"/>
      <c r="BB37" s="557"/>
    </row>
    <row r="38">
      <c r="A38" s="608" t="s">
        <v>2676</v>
      </c>
      <c r="B38" s="551" t="s">
        <v>2677</v>
      </c>
      <c r="C38" s="575" t="s">
        <v>2678</v>
      </c>
      <c r="D38" s="575">
        <v>12.0</v>
      </c>
      <c r="E38" s="551">
        <v>100000.0</v>
      </c>
      <c r="F38" s="575" t="s">
        <v>28</v>
      </c>
      <c r="G38" s="575" t="s">
        <v>23</v>
      </c>
      <c r="H38" s="555"/>
      <c r="I38" s="552" t="s">
        <v>2679</v>
      </c>
      <c r="J38" s="575">
        <v>1.0</v>
      </c>
      <c r="K38" s="555"/>
      <c r="L38" s="555"/>
      <c r="M38" s="555"/>
      <c r="N38" s="565"/>
      <c r="O38" s="607" t="s">
        <v>2680</v>
      </c>
      <c r="P38" s="566"/>
      <c r="Q38" s="555"/>
      <c r="R38" s="571"/>
      <c r="S38" s="571"/>
      <c r="T38" s="555"/>
      <c r="U38" s="555"/>
      <c r="V38" s="555"/>
      <c r="W38" s="555"/>
      <c r="X38" s="555"/>
      <c r="Y38" s="568"/>
      <c r="Z38" s="555"/>
      <c r="AA38" s="555"/>
      <c r="AB38" s="555"/>
      <c r="AC38" s="555"/>
      <c r="AD38" s="555"/>
      <c r="AE38" s="555"/>
      <c r="AF38" s="555"/>
      <c r="AG38" s="555"/>
      <c r="AH38" s="555"/>
      <c r="AI38" s="555"/>
      <c r="AJ38" s="555"/>
      <c r="AK38" s="557"/>
      <c r="AL38" s="557"/>
      <c r="AM38" s="557"/>
      <c r="AN38" s="557"/>
      <c r="AO38" s="557"/>
      <c r="AP38" s="557"/>
      <c r="AQ38" s="557"/>
      <c r="AR38" s="557"/>
      <c r="AS38" s="557"/>
      <c r="AT38" s="557"/>
      <c r="AU38" s="557"/>
      <c r="AV38" s="557"/>
      <c r="AW38" s="557"/>
      <c r="AX38" s="557"/>
      <c r="AY38" s="557"/>
      <c r="AZ38" s="557"/>
      <c r="BA38" s="557"/>
      <c r="BB38" s="557"/>
    </row>
    <row r="39">
      <c r="A39" s="608" t="s">
        <v>1098</v>
      </c>
      <c r="B39" s="551" t="s">
        <v>1099</v>
      </c>
      <c r="C39" s="575" t="s">
        <v>2681</v>
      </c>
      <c r="D39" s="575">
        <v>12.0</v>
      </c>
      <c r="E39" s="551">
        <v>1.15E7</v>
      </c>
      <c r="F39" s="575" t="s">
        <v>2682</v>
      </c>
      <c r="G39" s="575" t="s">
        <v>2639</v>
      </c>
      <c r="H39" s="575" t="s">
        <v>29</v>
      </c>
      <c r="I39" s="552" t="s">
        <v>2683</v>
      </c>
      <c r="J39" s="575">
        <v>5.0</v>
      </c>
      <c r="K39" s="555"/>
      <c r="L39" s="555"/>
      <c r="M39" s="555"/>
      <c r="N39" s="565"/>
      <c r="O39" s="607" t="s">
        <v>1102</v>
      </c>
      <c r="P39" s="566"/>
      <c r="Q39" s="555"/>
      <c r="R39" s="571"/>
      <c r="S39" s="571"/>
      <c r="T39" s="555"/>
      <c r="U39" s="555"/>
      <c r="V39" s="555"/>
      <c r="W39" s="555"/>
      <c r="X39" s="555"/>
      <c r="Y39" s="568"/>
      <c r="Z39" s="555"/>
      <c r="AA39" s="555"/>
      <c r="AB39" s="555"/>
      <c r="AC39" s="555"/>
      <c r="AD39" s="555"/>
      <c r="AE39" s="555"/>
      <c r="AF39" s="555"/>
      <c r="AG39" s="555"/>
      <c r="AH39" s="555"/>
      <c r="AI39" s="555"/>
      <c r="AJ39" s="555"/>
      <c r="AK39" s="557"/>
      <c r="AL39" s="557"/>
      <c r="AM39" s="557"/>
      <c r="AN39" s="557"/>
      <c r="AO39" s="557"/>
      <c r="AP39" s="557"/>
      <c r="AQ39" s="557"/>
      <c r="AR39" s="557"/>
      <c r="AS39" s="557"/>
      <c r="AT39" s="557"/>
      <c r="AU39" s="557"/>
      <c r="AV39" s="557"/>
      <c r="AW39" s="557"/>
      <c r="AX39" s="557"/>
      <c r="AY39" s="557"/>
      <c r="AZ39" s="557"/>
      <c r="BA39" s="557"/>
      <c r="BB39" s="557"/>
    </row>
    <row r="40">
      <c r="A40" s="608" t="s">
        <v>1116</v>
      </c>
      <c r="B40" s="595"/>
      <c r="C40" s="617" t="s">
        <v>2684</v>
      </c>
      <c r="D40" s="575">
        <v>12.0</v>
      </c>
      <c r="E40" s="551">
        <v>4.9611709E7</v>
      </c>
      <c r="F40" s="575" t="s">
        <v>64</v>
      </c>
      <c r="G40" s="575" t="s">
        <v>2639</v>
      </c>
      <c r="H40" s="555"/>
      <c r="I40" s="552" t="s">
        <v>2685</v>
      </c>
      <c r="J40" s="575">
        <v>2.0</v>
      </c>
      <c r="K40" s="555"/>
      <c r="L40" s="555"/>
      <c r="M40" s="555"/>
      <c r="N40" s="565"/>
      <c r="O40" s="607" t="s">
        <v>1118</v>
      </c>
      <c r="P40" s="566"/>
      <c r="Q40" s="555"/>
      <c r="R40" s="571"/>
      <c r="S40" s="571"/>
      <c r="T40" s="555"/>
      <c r="U40" s="555"/>
      <c r="V40" s="555"/>
      <c r="W40" s="555"/>
      <c r="X40" s="555"/>
      <c r="Y40" s="568"/>
      <c r="Z40" s="555"/>
      <c r="AA40" s="555"/>
      <c r="AB40" s="555"/>
      <c r="AC40" s="555"/>
      <c r="AD40" s="555"/>
      <c r="AE40" s="555"/>
      <c r="AF40" s="555"/>
      <c r="AG40" s="555"/>
      <c r="AH40" s="555"/>
      <c r="AI40" s="555"/>
      <c r="AJ40" s="555"/>
      <c r="AK40" s="557"/>
      <c r="AL40" s="557"/>
      <c r="AM40" s="557"/>
      <c r="AN40" s="557"/>
      <c r="AO40" s="557"/>
      <c r="AP40" s="557"/>
      <c r="AQ40" s="557"/>
      <c r="AR40" s="557"/>
      <c r="AS40" s="557"/>
      <c r="AT40" s="557"/>
      <c r="AU40" s="557"/>
      <c r="AV40" s="557"/>
      <c r="AW40" s="557"/>
      <c r="AX40" s="557"/>
      <c r="AY40" s="557"/>
      <c r="AZ40" s="557"/>
      <c r="BA40" s="557"/>
      <c r="BB40" s="557"/>
    </row>
    <row r="41">
      <c r="A41" s="608" t="s">
        <v>2686</v>
      </c>
      <c r="B41" s="551" t="s">
        <v>2687</v>
      </c>
      <c r="C41" s="575" t="s">
        <v>2688</v>
      </c>
      <c r="D41" s="575">
        <v>12.0</v>
      </c>
      <c r="E41" s="551">
        <v>15000.0</v>
      </c>
      <c r="F41" s="575" t="s">
        <v>28</v>
      </c>
      <c r="G41" s="575" t="s">
        <v>23</v>
      </c>
      <c r="H41" s="555"/>
      <c r="I41" s="552" t="s">
        <v>2689</v>
      </c>
      <c r="J41" s="575">
        <v>1.0</v>
      </c>
      <c r="K41" s="555"/>
      <c r="L41" s="555"/>
      <c r="M41" s="555"/>
      <c r="N41" s="565"/>
      <c r="O41" s="607" t="s">
        <v>2690</v>
      </c>
      <c r="P41" s="566"/>
      <c r="Q41" s="555"/>
      <c r="R41" s="571"/>
      <c r="S41" s="571"/>
      <c r="T41" s="555"/>
      <c r="U41" s="555"/>
      <c r="V41" s="555"/>
      <c r="W41" s="555"/>
      <c r="X41" s="555"/>
      <c r="Y41" s="568"/>
      <c r="Z41" s="555"/>
      <c r="AA41" s="555"/>
      <c r="AB41" s="555"/>
      <c r="AC41" s="555"/>
      <c r="AD41" s="555"/>
      <c r="AE41" s="555"/>
      <c r="AF41" s="555"/>
      <c r="AG41" s="555"/>
      <c r="AH41" s="555"/>
      <c r="AI41" s="555"/>
      <c r="AJ41" s="555"/>
      <c r="AK41" s="557"/>
      <c r="AL41" s="557"/>
      <c r="AM41" s="557"/>
      <c r="AN41" s="557"/>
      <c r="AO41" s="557"/>
      <c r="AP41" s="557"/>
      <c r="AQ41" s="557"/>
      <c r="AR41" s="557"/>
      <c r="AS41" s="557"/>
      <c r="AT41" s="557"/>
      <c r="AU41" s="557"/>
      <c r="AV41" s="557"/>
      <c r="AW41" s="557"/>
      <c r="AX41" s="557"/>
      <c r="AY41" s="557"/>
      <c r="AZ41" s="557"/>
      <c r="BA41" s="557"/>
      <c r="BB41" s="557"/>
    </row>
    <row r="42">
      <c r="A42" s="608" t="s">
        <v>1108</v>
      </c>
      <c r="B42" s="595"/>
      <c r="C42" s="575" t="s">
        <v>2691</v>
      </c>
      <c r="D42" s="575">
        <v>12.0</v>
      </c>
      <c r="E42" s="551">
        <v>274477.0</v>
      </c>
      <c r="F42" s="575" t="s">
        <v>64</v>
      </c>
      <c r="G42" s="575" t="s">
        <v>23</v>
      </c>
      <c r="H42" s="555"/>
      <c r="I42" s="552" t="s">
        <v>2692</v>
      </c>
      <c r="J42" s="575">
        <v>1.0</v>
      </c>
      <c r="K42" s="555"/>
      <c r="L42" s="555"/>
      <c r="M42" s="555"/>
      <c r="N42" s="565"/>
      <c r="O42" s="607" t="s">
        <v>1111</v>
      </c>
      <c r="P42" s="566"/>
      <c r="Q42" s="555"/>
      <c r="R42" s="571"/>
      <c r="S42" s="571"/>
      <c r="T42" s="555"/>
      <c r="U42" s="555"/>
      <c r="V42" s="555"/>
      <c r="W42" s="555"/>
      <c r="X42" s="555"/>
      <c r="Y42" s="568"/>
      <c r="Z42" s="555"/>
      <c r="AA42" s="555"/>
      <c r="AB42" s="555"/>
      <c r="AC42" s="555"/>
      <c r="AD42" s="555"/>
      <c r="AE42" s="555"/>
      <c r="AF42" s="555"/>
      <c r="AG42" s="555"/>
      <c r="AH42" s="555"/>
      <c r="AI42" s="555"/>
      <c r="AJ42" s="555"/>
      <c r="AK42" s="557"/>
      <c r="AL42" s="557"/>
      <c r="AM42" s="557"/>
      <c r="AN42" s="557"/>
      <c r="AO42" s="557"/>
      <c r="AP42" s="557"/>
      <c r="AQ42" s="557"/>
      <c r="AR42" s="557"/>
      <c r="AS42" s="557"/>
      <c r="AT42" s="557"/>
      <c r="AU42" s="557"/>
      <c r="AV42" s="557"/>
      <c r="AW42" s="557"/>
      <c r="AX42" s="557"/>
      <c r="AY42" s="557"/>
      <c r="AZ42" s="557"/>
      <c r="BA42" s="557"/>
      <c r="BB42" s="557"/>
    </row>
    <row r="43">
      <c r="A43" s="618" t="s">
        <v>1103</v>
      </c>
      <c r="B43" s="619" t="s">
        <v>1104</v>
      </c>
      <c r="C43" s="422" t="s">
        <v>2693</v>
      </c>
      <c r="D43" s="422">
        <v>12.0</v>
      </c>
      <c r="E43" s="619">
        <v>5.5E7</v>
      </c>
      <c r="F43" s="422" t="s">
        <v>64</v>
      </c>
      <c r="G43" s="422" t="s">
        <v>23</v>
      </c>
      <c r="H43" s="426"/>
      <c r="I43" s="620" t="s">
        <v>2694</v>
      </c>
      <c r="J43" s="422">
        <v>5.0</v>
      </c>
      <c r="K43" s="426"/>
      <c r="L43" s="426"/>
      <c r="M43" s="426"/>
      <c r="N43" s="621"/>
      <c r="O43" s="622" t="s">
        <v>1107</v>
      </c>
      <c r="P43" s="623"/>
      <c r="Q43" s="426"/>
      <c r="R43" s="426"/>
      <c r="S43" s="426"/>
      <c r="T43" s="426"/>
      <c r="U43" s="426"/>
      <c r="V43" s="426"/>
      <c r="W43" s="426"/>
      <c r="X43" s="426"/>
      <c r="Y43" s="624"/>
      <c r="Z43" s="426"/>
      <c r="AA43" s="426"/>
      <c r="AB43" s="426"/>
      <c r="AC43" s="426"/>
      <c r="AD43" s="426"/>
      <c r="AE43" s="426"/>
      <c r="AF43" s="426"/>
      <c r="AG43" s="426"/>
      <c r="AH43" s="426"/>
      <c r="AI43" s="426"/>
      <c r="AJ43" s="426"/>
      <c r="AK43" s="428"/>
      <c r="AL43" s="428"/>
      <c r="AM43" s="428"/>
      <c r="AN43" s="428"/>
      <c r="AO43" s="428"/>
      <c r="AP43" s="428"/>
      <c r="AQ43" s="428"/>
      <c r="AR43" s="428"/>
      <c r="AS43" s="428"/>
      <c r="AT43" s="428"/>
      <c r="AU43" s="428"/>
      <c r="AV43" s="428"/>
      <c r="AW43" s="428"/>
      <c r="AX43" s="428"/>
      <c r="AY43" s="428"/>
      <c r="AZ43" s="428"/>
      <c r="BA43" s="428"/>
      <c r="BB43" s="428"/>
    </row>
    <row r="44">
      <c r="A44" s="608" t="s">
        <v>1330</v>
      </c>
      <c r="B44" s="595"/>
      <c r="C44" s="575" t="s">
        <v>2695</v>
      </c>
      <c r="D44" s="575">
        <v>12.0</v>
      </c>
      <c r="E44" s="551">
        <v>5190396.0</v>
      </c>
      <c r="F44" s="575" t="s">
        <v>2696</v>
      </c>
      <c r="G44" s="575" t="s">
        <v>2639</v>
      </c>
      <c r="H44" s="555"/>
      <c r="I44" s="552" t="s">
        <v>2697</v>
      </c>
      <c r="J44" s="575">
        <v>2.0</v>
      </c>
      <c r="K44" s="555"/>
      <c r="L44" s="555"/>
      <c r="M44" s="555"/>
      <c r="N44" s="565"/>
      <c r="O44" s="607" t="s">
        <v>2698</v>
      </c>
      <c r="P44" s="566"/>
      <c r="Q44" s="555"/>
      <c r="R44" s="571"/>
      <c r="S44" s="571"/>
      <c r="T44" s="555"/>
      <c r="U44" s="555"/>
      <c r="V44" s="555"/>
      <c r="W44" s="555"/>
      <c r="X44" s="555"/>
      <c r="Y44" s="568"/>
      <c r="Z44" s="555"/>
      <c r="AA44" s="555"/>
      <c r="AB44" s="555"/>
      <c r="AC44" s="555"/>
      <c r="AD44" s="555"/>
      <c r="AE44" s="555"/>
      <c r="AF44" s="555"/>
      <c r="AG44" s="555"/>
      <c r="AH44" s="555"/>
      <c r="AI44" s="555"/>
      <c r="AJ44" s="555"/>
      <c r="AK44" s="557"/>
      <c r="AL44" s="557"/>
      <c r="AM44" s="557"/>
      <c r="AN44" s="557"/>
      <c r="AO44" s="557"/>
      <c r="AP44" s="557"/>
      <c r="AQ44" s="557"/>
      <c r="AR44" s="557"/>
      <c r="AS44" s="557"/>
      <c r="AT44" s="557"/>
      <c r="AU44" s="557"/>
      <c r="AV44" s="557"/>
      <c r="AW44" s="557"/>
      <c r="AX44" s="557"/>
      <c r="AY44" s="557"/>
      <c r="AZ44" s="557"/>
      <c r="BA44" s="557"/>
      <c r="BB44" s="557"/>
    </row>
    <row r="45">
      <c r="A45" s="608" t="s">
        <v>1091</v>
      </c>
      <c r="B45" s="595"/>
      <c r="C45" s="575" t="s">
        <v>2699</v>
      </c>
      <c r="D45" s="575">
        <v>9.0</v>
      </c>
      <c r="E45" s="551">
        <v>6.5E7</v>
      </c>
      <c r="F45" s="575" t="s">
        <v>28</v>
      </c>
      <c r="G45" s="575" t="s">
        <v>23</v>
      </c>
      <c r="H45" s="555"/>
      <c r="I45" s="552" t="s">
        <v>2700</v>
      </c>
      <c r="J45" s="575">
        <v>1.0</v>
      </c>
      <c r="K45" s="555"/>
      <c r="L45" s="555"/>
      <c r="M45" s="555"/>
      <c r="N45" s="565"/>
      <c r="O45" s="607" t="s">
        <v>2701</v>
      </c>
      <c r="P45" s="566"/>
      <c r="Q45" s="555"/>
      <c r="R45" s="571"/>
      <c r="S45" s="571"/>
      <c r="T45" s="555"/>
      <c r="U45" s="555"/>
      <c r="V45" s="555"/>
      <c r="W45" s="555"/>
      <c r="X45" s="555"/>
      <c r="Y45" s="568"/>
      <c r="Z45" s="555"/>
      <c r="AA45" s="555"/>
      <c r="AB45" s="555"/>
      <c r="AC45" s="555"/>
      <c r="AD45" s="555"/>
      <c r="AE45" s="555"/>
      <c r="AF45" s="555"/>
      <c r="AG45" s="555"/>
      <c r="AH45" s="555"/>
      <c r="AI45" s="555"/>
      <c r="AJ45" s="555"/>
      <c r="AK45" s="557"/>
      <c r="AL45" s="557"/>
      <c r="AM45" s="557"/>
      <c r="AN45" s="557"/>
      <c r="AO45" s="557"/>
      <c r="AP45" s="557"/>
      <c r="AQ45" s="557"/>
      <c r="AR45" s="557"/>
      <c r="AS45" s="557"/>
      <c r="AT45" s="557"/>
      <c r="AU45" s="557"/>
      <c r="AV45" s="557"/>
      <c r="AW45" s="557"/>
      <c r="AX45" s="557"/>
      <c r="AY45" s="557"/>
      <c r="AZ45" s="557"/>
      <c r="BA45" s="557"/>
      <c r="BB45" s="557"/>
    </row>
    <row r="46">
      <c r="A46" s="608" t="s">
        <v>1171</v>
      </c>
      <c r="B46" s="595"/>
      <c r="C46" s="575" t="s">
        <v>2702</v>
      </c>
      <c r="D46" s="575">
        <v>12.0</v>
      </c>
      <c r="E46" s="551">
        <v>1.64E8</v>
      </c>
      <c r="F46" s="575" t="s">
        <v>28</v>
      </c>
      <c r="G46" s="575" t="s">
        <v>23</v>
      </c>
      <c r="H46" s="555"/>
      <c r="I46" s="552" t="s">
        <v>2703</v>
      </c>
      <c r="J46" s="575">
        <v>1.0</v>
      </c>
      <c r="K46" s="555"/>
      <c r="L46" s="555"/>
      <c r="M46" s="555"/>
      <c r="N46" s="565"/>
      <c r="O46" s="607" t="s">
        <v>2704</v>
      </c>
      <c r="P46" s="566"/>
      <c r="Q46" s="555"/>
      <c r="R46" s="571"/>
      <c r="S46" s="571"/>
      <c r="T46" s="555"/>
      <c r="U46" s="555"/>
      <c r="V46" s="555"/>
      <c r="W46" s="555"/>
      <c r="X46" s="555"/>
      <c r="Y46" s="568"/>
      <c r="Z46" s="555"/>
      <c r="AA46" s="555"/>
      <c r="AB46" s="555"/>
      <c r="AC46" s="555"/>
      <c r="AD46" s="555"/>
      <c r="AE46" s="555"/>
      <c r="AF46" s="555"/>
      <c r="AG46" s="555"/>
      <c r="AH46" s="555"/>
      <c r="AI46" s="555"/>
      <c r="AJ46" s="555"/>
      <c r="AK46" s="557"/>
      <c r="AL46" s="557"/>
      <c r="AM46" s="557"/>
      <c r="AN46" s="557"/>
      <c r="AO46" s="557"/>
      <c r="AP46" s="557"/>
      <c r="AQ46" s="557"/>
      <c r="AR46" s="557"/>
      <c r="AS46" s="557"/>
      <c r="AT46" s="557"/>
      <c r="AU46" s="557"/>
      <c r="AV46" s="557"/>
      <c r="AW46" s="557"/>
      <c r="AX46" s="557"/>
      <c r="AY46" s="557"/>
      <c r="AZ46" s="557"/>
      <c r="BA46" s="557"/>
      <c r="BB46" s="557"/>
    </row>
    <row r="47">
      <c r="A47" s="608" t="s">
        <v>1085</v>
      </c>
      <c r="B47" s="595"/>
      <c r="C47" s="575" t="s">
        <v>2705</v>
      </c>
      <c r="D47" s="575">
        <v>8.0</v>
      </c>
      <c r="E47" s="551">
        <v>1.17E8</v>
      </c>
      <c r="F47" s="575" t="s">
        <v>28</v>
      </c>
      <c r="G47" s="575" t="s">
        <v>23</v>
      </c>
      <c r="H47" s="555"/>
      <c r="I47" s="552" t="s">
        <v>2706</v>
      </c>
      <c r="J47" s="575">
        <v>1.0</v>
      </c>
      <c r="K47" s="555"/>
      <c r="L47" s="555"/>
      <c r="M47" s="555"/>
      <c r="N47" s="565"/>
      <c r="O47" s="607" t="s">
        <v>1089</v>
      </c>
      <c r="P47" s="566"/>
      <c r="Q47" s="555"/>
      <c r="R47" s="571"/>
      <c r="S47" s="571"/>
      <c r="T47" s="555"/>
      <c r="U47" s="555"/>
      <c r="V47" s="555"/>
      <c r="W47" s="555"/>
      <c r="X47" s="555"/>
      <c r="Y47" s="568"/>
      <c r="Z47" s="555"/>
      <c r="AA47" s="555"/>
      <c r="AB47" s="555"/>
      <c r="AC47" s="555"/>
      <c r="AD47" s="555"/>
      <c r="AE47" s="555"/>
      <c r="AF47" s="555"/>
      <c r="AG47" s="555"/>
      <c r="AH47" s="555"/>
      <c r="AI47" s="555"/>
      <c r="AJ47" s="555"/>
      <c r="AK47" s="557"/>
      <c r="AL47" s="557"/>
      <c r="AM47" s="557"/>
      <c r="AN47" s="557"/>
      <c r="AO47" s="557"/>
      <c r="AP47" s="557"/>
      <c r="AQ47" s="557"/>
      <c r="AR47" s="557"/>
      <c r="AS47" s="557"/>
      <c r="AT47" s="557"/>
      <c r="AU47" s="557"/>
      <c r="AV47" s="557"/>
      <c r="AW47" s="557"/>
      <c r="AX47" s="557"/>
      <c r="AY47" s="557"/>
      <c r="AZ47" s="557"/>
      <c r="BA47" s="557"/>
      <c r="BB47" s="557"/>
    </row>
    <row r="48">
      <c r="A48" s="608" t="s">
        <v>1619</v>
      </c>
      <c r="B48" s="595"/>
      <c r="C48" s="575" t="s">
        <v>2707</v>
      </c>
      <c r="D48" s="575">
        <v>8.0</v>
      </c>
      <c r="E48" s="551">
        <v>3600000.0</v>
      </c>
      <c r="F48" s="575" t="s">
        <v>64</v>
      </c>
      <c r="G48" s="575" t="s">
        <v>23</v>
      </c>
      <c r="H48" s="555"/>
      <c r="I48" s="552" t="s">
        <v>2708</v>
      </c>
      <c r="J48" s="575">
        <v>3.0</v>
      </c>
      <c r="K48" s="555"/>
      <c r="L48" s="555"/>
      <c r="M48" s="555"/>
      <c r="N48" s="565"/>
      <c r="O48" s="607" t="s">
        <v>1622</v>
      </c>
      <c r="P48" s="566"/>
      <c r="Q48" s="555"/>
      <c r="R48" s="571"/>
      <c r="S48" s="571"/>
      <c r="T48" s="555"/>
      <c r="U48" s="555"/>
      <c r="V48" s="555"/>
      <c r="W48" s="555"/>
      <c r="X48" s="555"/>
      <c r="Y48" s="568"/>
      <c r="Z48" s="555"/>
      <c r="AA48" s="555"/>
      <c r="AB48" s="555"/>
      <c r="AC48" s="555"/>
      <c r="AD48" s="555"/>
      <c r="AE48" s="555"/>
      <c r="AF48" s="555"/>
      <c r="AG48" s="555"/>
      <c r="AH48" s="555"/>
      <c r="AI48" s="555"/>
      <c r="AJ48" s="555"/>
      <c r="AK48" s="557"/>
      <c r="AL48" s="557"/>
      <c r="AM48" s="557"/>
      <c r="AN48" s="557"/>
      <c r="AO48" s="557"/>
      <c r="AP48" s="557"/>
      <c r="AQ48" s="557"/>
      <c r="AR48" s="557"/>
      <c r="AS48" s="557"/>
      <c r="AT48" s="557"/>
      <c r="AU48" s="557"/>
      <c r="AV48" s="557"/>
      <c r="AW48" s="557"/>
      <c r="AX48" s="557"/>
      <c r="AY48" s="557"/>
      <c r="AZ48" s="557"/>
      <c r="BA48" s="557"/>
      <c r="BB48" s="557"/>
    </row>
    <row r="49">
      <c r="A49" s="608" t="s">
        <v>1158</v>
      </c>
      <c r="B49" s="551" t="s">
        <v>1159</v>
      </c>
      <c r="C49" s="575" t="s">
        <v>2709</v>
      </c>
      <c r="D49" s="575">
        <v>12.0</v>
      </c>
      <c r="E49" s="551">
        <v>1.00544934E8</v>
      </c>
      <c r="F49" s="575" t="s">
        <v>28</v>
      </c>
      <c r="G49" s="575" t="s">
        <v>23</v>
      </c>
      <c r="H49" s="555"/>
      <c r="I49" s="552" t="s">
        <v>2710</v>
      </c>
      <c r="J49" s="575">
        <v>4.0</v>
      </c>
      <c r="K49" s="555"/>
      <c r="L49" s="555"/>
      <c r="M49" s="555"/>
      <c r="N49" s="565"/>
      <c r="O49" s="607" t="s">
        <v>1161</v>
      </c>
      <c r="P49" s="566"/>
      <c r="Q49" s="555"/>
      <c r="R49" s="571"/>
      <c r="S49" s="571"/>
      <c r="T49" s="555"/>
      <c r="U49" s="555"/>
      <c r="V49" s="555"/>
      <c r="W49" s="555"/>
      <c r="X49" s="555"/>
      <c r="Y49" s="568"/>
      <c r="Z49" s="555"/>
      <c r="AA49" s="555"/>
      <c r="AB49" s="555"/>
      <c r="AC49" s="555"/>
      <c r="AD49" s="555"/>
      <c r="AE49" s="555"/>
      <c r="AF49" s="555"/>
      <c r="AG49" s="555"/>
      <c r="AH49" s="555"/>
      <c r="AI49" s="555"/>
      <c r="AJ49" s="555"/>
      <c r="AK49" s="557"/>
      <c r="AL49" s="557"/>
      <c r="AM49" s="557"/>
      <c r="AN49" s="557"/>
      <c r="AO49" s="557"/>
      <c r="AP49" s="557"/>
      <c r="AQ49" s="557"/>
      <c r="AR49" s="557"/>
      <c r="AS49" s="557"/>
      <c r="AT49" s="557"/>
      <c r="AU49" s="557"/>
      <c r="AV49" s="557"/>
      <c r="AW49" s="557"/>
      <c r="AX49" s="557"/>
      <c r="AY49" s="557"/>
      <c r="AZ49" s="557"/>
      <c r="BA49" s="557"/>
      <c r="BB49" s="557"/>
    </row>
    <row r="50">
      <c r="A50" s="608" t="s">
        <v>407</v>
      </c>
      <c r="B50" s="595"/>
      <c r="C50" s="575" t="s">
        <v>2711</v>
      </c>
      <c r="D50" s="575">
        <v>12.0</v>
      </c>
      <c r="E50" s="551">
        <v>3.28883E7</v>
      </c>
      <c r="F50" s="575" t="s">
        <v>28</v>
      </c>
      <c r="G50" s="575" t="s">
        <v>23</v>
      </c>
      <c r="H50" s="555"/>
      <c r="I50" s="552" t="s">
        <v>2712</v>
      </c>
      <c r="J50" s="575">
        <v>4.0</v>
      </c>
      <c r="K50" s="555"/>
      <c r="L50" s="555"/>
      <c r="M50" s="555"/>
      <c r="N50" s="565"/>
      <c r="O50" s="607" t="s">
        <v>2713</v>
      </c>
      <c r="P50" s="566"/>
      <c r="Q50" s="555"/>
      <c r="R50" s="571"/>
      <c r="S50" s="571"/>
      <c r="T50" s="555"/>
      <c r="U50" s="555"/>
      <c r="V50" s="555"/>
      <c r="W50" s="555"/>
      <c r="X50" s="555"/>
      <c r="Y50" s="568"/>
      <c r="Z50" s="555"/>
      <c r="AA50" s="555"/>
      <c r="AB50" s="555"/>
      <c r="AC50" s="555"/>
      <c r="AD50" s="555"/>
      <c r="AE50" s="555"/>
      <c r="AF50" s="555"/>
      <c r="AG50" s="555"/>
      <c r="AH50" s="555"/>
      <c r="AI50" s="555"/>
      <c r="AJ50" s="555"/>
      <c r="AK50" s="557"/>
      <c r="AL50" s="557"/>
      <c r="AM50" s="557"/>
      <c r="AN50" s="557"/>
      <c r="AO50" s="557"/>
      <c r="AP50" s="557"/>
      <c r="AQ50" s="557"/>
      <c r="AR50" s="557"/>
      <c r="AS50" s="557"/>
      <c r="AT50" s="557"/>
      <c r="AU50" s="557"/>
      <c r="AV50" s="557"/>
      <c r="AW50" s="557"/>
      <c r="AX50" s="557"/>
      <c r="AY50" s="557"/>
      <c r="AZ50" s="557"/>
      <c r="BA50" s="557"/>
      <c r="BB50" s="557"/>
    </row>
    <row r="51">
      <c r="A51" s="608" t="s">
        <v>1145</v>
      </c>
      <c r="B51" s="595"/>
      <c r="C51" s="575" t="s">
        <v>2714</v>
      </c>
      <c r="D51" s="575">
        <v>12.0</v>
      </c>
      <c r="E51" s="551">
        <v>35000.0</v>
      </c>
      <c r="F51" s="575" t="s">
        <v>28</v>
      </c>
      <c r="G51" s="575" t="s">
        <v>23</v>
      </c>
      <c r="H51" s="555"/>
      <c r="I51" s="552" t="s">
        <v>2715</v>
      </c>
      <c r="J51" s="575">
        <v>1.0</v>
      </c>
      <c r="K51" s="555"/>
      <c r="L51" s="555"/>
      <c r="M51" s="555"/>
      <c r="N51" s="565"/>
      <c r="O51" s="607" t="s">
        <v>1148</v>
      </c>
      <c r="P51" s="566"/>
      <c r="Q51" s="555"/>
      <c r="R51" s="571"/>
      <c r="S51" s="571"/>
      <c r="T51" s="555"/>
      <c r="U51" s="555"/>
      <c r="V51" s="555"/>
      <c r="W51" s="555"/>
      <c r="X51" s="555"/>
      <c r="Y51" s="568"/>
      <c r="Z51" s="555"/>
      <c r="AA51" s="555"/>
      <c r="AB51" s="555"/>
      <c r="AC51" s="555"/>
      <c r="AD51" s="555"/>
      <c r="AE51" s="555"/>
      <c r="AF51" s="555"/>
      <c r="AG51" s="555"/>
      <c r="AH51" s="555"/>
      <c r="AI51" s="555"/>
      <c r="AJ51" s="555"/>
      <c r="AK51" s="557"/>
      <c r="AL51" s="557"/>
      <c r="AM51" s="557"/>
      <c r="AN51" s="557"/>
      <c r="AO51" s="557"/>
      <c r="AP51" s="557"/>
      <c r="AQ51" s="557"/>
      <c r="AR51" s="557"/>
      <c r="AS51" s="557"/>
      <c r="AT51" s="557"/>
      <c r="AU51" s="557"/>
      <c r="AV51" s="557"/>
      <c r="AW51" s="557"/>
      <c r="AX51" s="557"/>
      <c r="AY51" s="557"/>
      <c r="AZ51" s="557"/>
      <c r="BA51" s="557"/>
      <c r="BB51" s="557"/>
    </row>
    <row r="52">
      <c r="A52" s="608" t="s">
        <v>1154</v>
      </c>
      <c r="B52" s="551" t="s">
        <v>1155</v>
      </c>
      <c r="C52" s="575" t="s">
        <v>2716</v>
      </c>
      <c r="D52" s="575">
        <v>12.0</v>
      </c>
      <c r="E52" s="551">
        <v>112000.0</v>
      </c>
      <c r="F52" s="575" t="s">
        <v>2696</v>
      </c>
      <c r="G52" s="575" t="s">
        <v>2639</v>
      </c>
      <c r="H52" s="555"/>
      <c r="I52" s="552" t="s">
        <v>2717</v>
      </c>
      <c r="J52" s="575">
        <v>5.0</v>
      </c>
      <c r="K52" s="555"/>
      <c r="L52" s="555"/>
      <c r="M52" s="555"/>
      <c r="N52" s="565"/>
      <c r="O52" s="607" t="s">
        <v>1157</v>
      </c>
      <c r="P52" s="566"/>
      <c r="Q52" s="555"/>
      <c r="R52" s="571"/>
      <c r="S52" s="571"/>
      <c r="T52" s="555"/>
      <c r="U52" s="555"/>
      <c r="V52" s="555"/>
      <c r="W52" s="555"/>
      <c r="X52" s="555"/>
      <c r="Y52" s="568"/>
      <c r="Z52" s="555"/>
      <c r="AA52" s="555"/>
      <c r="AB52" s="555"/>
      <c r="AC52" s="555"/>
      <c r="AD52" s="555"/>
      <c r="AE52" s="555"/>
      <c r="AF52" s="555"/>
      <c r="AG52" s="555"/>
      <c r="AH52" s="555"/>
      <c r="AI52" s="555"/>
      <c r="AJ52" s="555"/>
      <c r="AK52" s="557"/>
      <c r="AL52" s="557"/>
      <c r="AM52" s="557"/>
      <c r="AN52" s="557"/>
      <c r="AO52" s="557"/>
      <c r="AP52" s="557"/>
      <c r="AQ52" s="557"/>
      <c r="AR52" s="557"/>
      <c r="AS52" s="557"/>
      <c r="AT52" s="557"/>
      <c r="AU52" s="557"/>
      <c r="AV52" s="557"/>
      <c r="AW52" s="557"/>
      <c r="AX52" s="557"/>
      <c r="AY52" s="557"/>
      <c r="AZ52" s="557"/>
      <c r="BA52" s="557"/>
      <c r="BB52" s="557"/>
    </row>
    <row r="53">
      <c r="A53" s="608" t="s">
        <v>1149</v>
      </c>
      <c r="B53" s="551" t="s">
        <v>1150</v>
      </c>
      <c r="C53" s="575" t="s">
        <v>2718</v>
      </c>
      <c r="D53" s="575">
        <v>12.0</v>
      </c>
      <c r="E53" s="551">
        <v>2200000.0</v>
      </c>
      <c r="F53" s="575" t="s">
        <v>2696</v>
      </c>
      <c r="G53" s="575" t="s">
        <v>2639</v>
      </c>
      <c r="H53" s="555"/>
      <c r="I53" s="552" t="s">
        <v>2719</v>
      </c>
      <c r="J53" s="575">
        <v>2.0</v>
      </c>
      <c r="K53" s="555"/>
      <c r="L53" s="555"/>
      <c r="M53" s="555"/>
      <c r="N53" s="565"/>
      <c r="O53" s="607" t="s">
        <v>1153</v>
      </c>
      <c r="P53" s="566"/>
      <c r="Q53" s="555"/>
      <c r="R53" s="571"/>
      <c r="S53" s="571"/>
      <c r="T53" s="555"/>
      <c r="U53" s="555"/>
      <c r="V53" s="555"/>
      <c r="W53" s="555"/>
      <c r="X53" s="555"/>
      <c r="Y53" s="568"/>
      <c r="Z53" s="555"/>
      <c r="AA53" s="555"/>
      <c r="AB53" s="555"/>
      <c r="AC53" s="555"/>
      <c r="AD53" s="555"/>
      <c r="AE53" s="555"/>
      <c r="AF53" s="555"/>
      <c r="AG53" s="555"/>
      <c r="AH53" s="555"/>
      <c r="AI53" s="555"/>
      <c r="AJ53" s="555"/>
      <c r="AK53" s="557"/>
      <c r="AL53" s="557"/>
      <c r="AM53" s="557"/>
      <c r="AN53" s="557"/>
      <c r="AO53" s="557"/>
      <c r="AP53" s="557"/>
      <c r="AQ53" s="557"/>
      <c r="AR53" s="557"/>
      <c r="AS53" s="557"/>
      <c r="AT53" s="557"/>
      <c r="AU53" s="557"/>
      <c r="AV53" s="557"/>
      <c r="AW53" s="557"/>
      <c r="AX53" s="557"/>
      <c r="AY53" s="557"/>
      <c r="AZ53" s="557"/>
      <c r="BA53" s="557"/>
      <c r="BB53" s="557"/>
    </row>
    <row r="54">
      <c r="A54" s="608" t="s">
        <v>1138</v>
      </c>
      <c r="B54" s="551" t="s">
        <v>1139</v>
      </c>
      <c r="C54" s="575" t="s">
        <v>2720</v>
      </c>
      <c r="D54" s="575">
        <v>12.0</v>
      </c>
      <c r="E54" s="551" t="s">
        <v>360</v>
      </c>
      <c r="F54" s="575" t="s">
        <v>2721</v>
      </c>
      <c r="G54" s="575" t="s">
        <v>23</v>
      </c>
      <c r="H54" s="555"/>
      <c r="I54" s="552" t="s">
        <v>360</v>
      </c>
      <c r="J54" s="575">
        <v>3.0</v>
      </c>
      <c r="K54" s="555"/>
      <c r="L54" s="555"/>
      <c r="M54" s="555"/>
      <c r="N54" s="565"/>
      <c r="O54" s="607" t="s">
        <v>2722</v>
      </c>
      <c r="P54" s="566"/>
      <c r="Q54" s="555"/>
      <c r="R54" s="571"/>
      <c r="S54" s="571"/>
      <c r="T54" s="555"/>
      <c r="U54" s="555"/>
      <c r="V54" s="555"/>
      <c r="W54" s="555"/>
      <c r="X54" s="555"/>
      <c r="Y54" s="568"/>
      <c r="Z54" s="555"/>
      <c r="AA54" s="555"/>
      <c r="AB54" s="555"/>
      <c r="AC54" s="555"/>
      <c r="AD54" s="555"/>
      <c r="AE54" s="555"/>
      <c r="AF54" s="555"/>
      <c r="AG54" s="555"/>
      <c r="AH54" s="555"/>
      <c r="AI54" s="555"/>
      <c r="AJ54" s="555"/>
      <c r="AK54" s="557"/>
      <c r="AL54" s="557"/>
      <c r="AM54" s="557"/>
      <c r="AN54" s="557"/>
      <c r="AO54" s="557"/>
      <c r="AP54" s="557"/>
      <c r="AQ54" s="557"/>
      <c r="AR54" s="557"/>
      <c r="AS54" s="557"/>
      <c r="AT54" s="557"/>
      <c r="AU54" s="557"/>
      <c r="AV54" s="557"/>
      <c r="AW54" s="557"/>
      <c r="AX54" s="557"/>
      <c r="AY54" s="557"/>
      <c r="AZ54" s="557"/>
      <c r="BA54" s="557"/>
      <c r="BB54" s="557"/>
    </row>
    <row r="55">
      <c r="A55" s="562"/>
      <c r="B55" s="595"/>
      <c r="C55" s="555"/>
      <c r="D55" s="555"/>
      <c r="E55" s="595"/>
      <c r="F55" s="555"/>
      <c r="G55" s="555"/>
      <c r="H55" s="555"/>
      <c r="I55" s="563"/>
      <c r="J55" s="555"/>
      <c r="K55" s="555"/>
      <c r="L55" s="555"/>
      <c r="M55" s="555"/>
      <c r="N55" s="565"/>
      <c r="O55" s="566"/>
      <c r="P55" s="566"/>
      <c r="Q55" s="555"/>
      <c r="R55" s="571"/>
      <c r="S55" s="571"/>
      <c r="T55" s="555"/>
      <c r="U55" s="555"/>
      <c r="V55" s="555"/>
      <c r="W55" s="555"/>
      <c r="X55" s="555"/>
      <c r="Y55" s="568"/>
      <c r="Z55" s="555"/>
      <c r="AA55" s="555"/>
      <c r="AB55" s="555"/>
      <c r="AC55" s="555"/>
      <c r="AD55" s="555"/>
      <c r="AE55" s="555"/>
      <c r="AF55" s="555"/>
      <c r="AG55" s="555"/>
      <c r="AH55" s="555"/>
      <c r="AI55" s="555"/>
      <c r="AJ55" s="555"/>
      <c r="AK55" s="557"/>
      <c r="AL55" s="557"/>
      <c r="AM55" s="557"/>
      <c r="AN55" s="557"/>
      <c r="AO55" s="557"/>
      <c r="AP55" s="557"/>
      <c r="AQ55" s="557"/>
      <c r="AR55" s="557"/>
      <c r="AS55" s="557"/>
      <c r="AT55" s="557"/>
      <c r="AU55" s="557"/>
      <c r="AV55" s="557"/>
      <c r="AW55" s="557"/>
      <c r="AX55" s="557"/>
      <c r="AY55" s="557"/>
      <c r="AZ55" s="557"/>
      <c r="BA55" s="557"/>
      <c r="BB55" s="557"/>
    </row>
  </sheetData>
  <hyperlinks>
    <hyperlink r:id="rId1" ref="O4"/>
    <hyperlink r:id="rId2" ref="O5"/>
    <hyperlink r:id="rId3" ref="O6"/>
    <hyperlink r:id="rId4" ref="A7"/>
    <hyperlink r:id="rId5" ref="O7"/>
    <hyperlink r:id="rId6" ref="O8"/>
    <hyperlink r:id="rId7" ref="O9"/>
    <hyperlink r:id="rId8" ref="O10"/>
    <hyperlink r:id="rId9" ref="O11"/>
    <hyperlink r:id="rId10" ref="O12"/>
    <hyperlink r:id="rId11" ref="O13"/>
    <hyperlink r:id="rId12" ref="O16"/>
    <hyperlink r:id="rId13" ref="O18"/>
    <hyperlink r:id="rId14" ref="C21"/>
    <hyperlink r:id="rId15" ref="O23"/>
    <hyperlink r:id="rId16" location="71522f3f5a66" ref="O24"/>
    <hyperlink r:id="rId17" ref="O25"/>
    <hyperlink r:id="rId18" ref="O26"/>
    <hyperlink r:id="rId19" ref="P26"/>
    <hyperlink r:id="rId20" ref="Q26"/>
    <hyperlink r:id="rId21" ref="O27"/>
    <hyperlink r:id="rId22" ref="O28"/>
    <hyperlink r:id="rId23" ref="O29"/>
    <hyperlink r:id="rId24" ref="P29"/>
    <hyperlink r:id="rId25" ref="O30"/>
    <hyperlink r:id="rId26" ref="P30"/>
    <hyperlink r:id="rId27" ref="O31"/>
    <hyperlink r:id="rId28" ref="O32"/>
    <hyperlink r:id="rId29" ref="O33"/>
    <hyperlink r:id="rId30" ref="O34"/>
    <hyperlink r:id="rId31" location="417df31e2143" ref="O35"/>
    <hyperlink r:id="rId32" ref="O36"/>
    <hyperlink r:id="rId33" ref="A37"/>
    <hyperlink r:id="rId34" ref="O37"/>
    <hyperlink r:id="rId35" ref="O38"/>
    <hyperlink r:id="rId36" ref="O39"/>
    <hyperlink r:id="rId37" ref="O40"/>
    <hyperlink r:id="rId38" ref="O41"/>
    <hyperlink r:id="rId39" ref="O42"/>
    <hyperlink r:id="rId40" ref="O43"/>
    <hyperlink r:id="rId41" ref="O44"/>
    <hyperlink r:id="rId42" ref="O45"/>
    <hyperlink r:id="rId43" ref="O46"/>
    <hyperlink r:id="rId44" ref="O47"/>
    <hyperlink r:id="rId45" ref="O48"/>
    <hyperlink r:id="rId46" ref="O49"/>
    <hyperlink r:id="rId47" ref="O50"/>
    <hyperlink r:id="rId48" ref="O51"/>
    <hyperlink r:id="rId49" ref="O52"/>
    <hyperlink r:id="rId50" ref="O53"/>
    <hyperlink r:id="rId51" ref="O54"/>
  </hyperlinks>
  <drawing r:id="rId5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2.75"/>
  <cols>
    <col customWidth="1" min="1" max="1" width="29.75"/>
    <col customWidth="1" min="2" max="2" width="53.13"/>
    <col customWidth="1" min="3" max="3" width="16.25"/>
    <col customWidth="1" min="4" max="4" width="10.5"/>
    <col customWidth="1" min="5" max="5" width="14.75"/>
    <col customWidth="1" min="6" max="6" width="13.0"/>
    <col customWidth="1" min="7" max="7" width="14.88"/>
    <col customWidth="1" min="8" max="8" width="10.13"/>
    <col customWidth="1" min="9" max="9" width="11.88"/>
    <col customWidth="1" min="10" max="10" width="12.13"/>
    <col customWidth="1" min="11" max="12" width="15.13"/>
    <col customWidth="1" min="13" max="13" width="8.75"/>
    <col customWidth="1" min="14" max="14" width="2.0"/>
    <col customWidth="1" min="15" max="18" width="15.13"/>
    <col customWidth="1" min="19" max="19" width="8.25"/>
    <col customWidth="1" min="20" max="20" width="8.13"/>
    <col customWidth="1" min="21" max="21" width="7.0"/>
    <col customWidth="1" min="22" max="22" width="9.25"/>
    <col customWidth="1" min="23" max="24" width="9.13"/>
    <col customWidth="1" min="25" max="25" width="1.75"/>
    <col customWidth="1" min="26" max="36" width="15.13"/>
  </cols>
  <sheetData>
    <row r="1">
      <c r="A1" s="550" t="s">
        <v>2559</v>
      </c>
      <c r="B1" s="550" t="s">
        <v>2561</v>
      </c>
      <c r="C1" s="550" t="s">
        <v>2560</v>
      </c>
      <c r="D1" s="550" t="s">
        <v>2562</v>
      </c>
      <c r="E1" s="551" t="s">
        <v>2563</v>
      </c>
      <c r="F1" s="550" t="s">
        <v>2564</v>
      </c>
      <c r="G1" s="550" t="s">
        <v>2565</v>
      </c>
      <c r="H1" s="550" t="s">
        <v>2566</v>
      </c>
      <c r="I1" s="551" t="s">
        <v>2567</v>
      </c>
      <c r="J1" s="550" t="s">
        <v>2568</v>
      </c>
      <c r="K1" s="551" t="s">
        <v>2569</v>
      </c>
      <c r="L1" s="550" t="s">
        <v>2570</v>
      </c>
      <c r="M1" s="550" t="s">
        <v>2571</v>
      </c>
      <c r="N1" s="553"/>
      <c r="O1" s="554" t="s">
        <v>2572</v>
      </c>
      <c r="P1" s="554" t="s">
        <v>2573</v>
      </c>
      <c r="Q1" s="550" t="s">
        <v>2574</v>
      </c>
      <c r="R1" s="555"/>
      <c r="S1" s="555"/>
      <c r="T1" s="555"/>
      <c r="U1" s="555"/>
      <c r="V1" s="555"/>
      <c r="W1" s="555"/>
      <c r="X1" s="555"/>
      <c r="Y1" s="556"/>
      <c r="Z1" s="555"/>
      <c r="AA1" s="555"/>
      <c r="AB1" s="555"/>
      <c r="AC1" s="555"/>
      <c r="AD1" s="555"/>
      <c r="AE1" s="555"/>
      <c r="AF1" s="555"/>
      <c r="AG1" s="555"/>
      <c r="AH1" s="555"/>
      <c r="AI1" s="555"/>
      <c r="AJ1" s="555"/>
    </row>
    <row r="2">
      <c r="A2" s="549" t="s">
        <v>2164</v>
      </c>
      <c r="B2" s="549" t="s">
        <v>5</v>
      </c>
      <c r="C2" s="549" t="s">
        <v>1</v>
      </c>
      <c r="D2" s="549" t="s">
        <v>2505</v>
      </c>
      <c r="E2" s="558" t="s">
        <v>2</v>
      </c>
      <c r="F2" s="559" t="s">
        <v>2575</v>
      </c>
      <c r="G2" s="549" t="s">
        <v>2576</v>
      </c>
      <c r="H2" s="549" t="s">
        <v>8</v>
      </c>
      <c r="I2" s="625" t="s">
        <v>2577</v>
      </c>
      <c r="J2" s="549" t="s">
        <v>2508</v>
      </c>
      <c r="K2" s="558" t="s">
        <v>2578</v>
      </c>
      <c r="L2" s="549" t="s">
        <v>2578</v>
      </c>
      <c r="M2" s="549" t="s">
        <v>2579</v>
      </c>
      <c r="N2" s="553"/>
      <c r="O2" s="561" t="s">
        <v>12</v>
      </c>
      <c r="P2" s="561" t="s">
        <v>13</v>
      </c>
      <c r="Q2" s="549" t="s">
        <v>2580</v>
      </c>
      <c r="R2" s="549" t="s">
        <v>11</v>
      </c>
      <c r="S2" s="549" t="s">
        <v>2578</v>
      </c>
      <c r="T2" s="549" t="s">
        <v>2578</v>
      </c>
      <c r="U2" s="549" t="s">
        <v>2578</v>
      </c>
      <c r="V2" s="549" t="s">
        <v>2578</v>
      </c>
      <c r="W2" s="549" t="s">
        <v>2578</v>
      </c>
      <c r="X2" s="549" t="s">
        <v>2578</v>
      </c>
      <c r="Y2" s="556"/>
      <c r="Z2" s="549" t="s">
        <v>2581</v>
      </c>
      <c r="AA2" s="549" t="s">
        <v>2581</v>
      </c>
      <c r="AB2" s="549" t="s">
        <v>2581</v>
      </c>
      <c r="AC2" s="549" t="s">
        <v>2581</v>
      </c>
      <c r="AD2" s="549" t="s">
        <v>2581</v>
      </c>
      <c r="AE2" s="549" t="s">
        <v>2581</v>
      </c>
      <c r="AF2" s="549" t="s">
        <v>2581</v>
      </c>
      <c r="AG2" s="549" t="s">
        <v>2581</v>
      </c>
      <c r="AH2" s="549" t="s">
        <v>2581</v>
      </c>
      <c r="AI2" s="549" t="s">
        <v>2581</v>
      </c>
      <c r="AJ2" s="555"/>
    </row>
    <row r="3">
      <c r="A3" s="555"/>
      <c r="B3" s="550" t="s">
        <v>2582</v>
      </c>
      <c r="C3" s="555"/>
      <c r="D3" s="550" t="s">
        <v>2723</v>
      </c>
      <c r="E3" s="551" t="s">
        <v>2584</v>
      </c>
      <c r="F3" s="555"/>
      <c r="G3" s="555"/>
      <c r="H3" s="555"/>
      <c r="I3" s="595"/>
      <c r="J3" s="626" t="s">
        <v>2724</v>
      </c>
      <c r="K3" s="555"/>
      <c r="L3" s="555"/>
      <c r="M3" s="550" t="s">
        <v>2586</v>
      </c>
      <c r="N3" s="565"/>
      <c r="O3" s="566"/>
      <c r="P3" s="566"/>
      <c r="Q3" s="555"/>
      <c r="R3" s="567"/>
      <c r="S3" s="555"/>
      <c r="T3" s="555"/>
      <c r="U3" s="555"/>
      <c r="V3" s="555"/>
      <c r="W3" s="567"/>
      <c r="X3" s="555"/>
      <c r="Y3" s="568"/>
      <c r="Z3" s="555"/>
      <c r="AA3" s="555"/>
      <c r="AB3" s="555"/>
      <c r="AC3" s="555"/>
      <c r="AD3" s="555"/>
      <c r="AE3" s="555"/>
      <c r="AF3" s="555"/>
      <c r="AG3" s="555"/>
      <c r="AH3" s="555"/>
      <c r="AI3" s="555"/>
      <c r="AJ3" s="555"/>
    </row>
    <row r="4">
      <c r="A4" s="627" t="s">
        <v>2725</v>
      </c>
      <c r="B4" s="627" t="s">
        <v>2726</v>
      </c>
      <c r="C4" s="628"/>
      <c r="D4" s="627">
        <v>8.0</v>
      </c>
      <c r="E4" s="629" t="s">
        <v>2727</v>
      </c>
      <c r="F4" s="627" t="s">
        <v>28</v>
      </c>
      <c r="G4" s="627" t="s">
        <v>23</v>
      </c>
      <c r="H4" s="630"/>
      <c r="I4" s="629">
        <v>30000.0</v>
      </c>
      <c r="J4" s="627">
        <v>1.0</v>
      </c>
      <c r="K4" s="630"/>
      <c r="L4" s="630"/>
      <c r="M4" s="630"/>
      <c r="N4" s="631"/>
      <c r="O4" s="570" t="s">
        <v>2728</v>
      </c>
      <c r="P4" s="632"/>
      <c r="Q4" s="630"/>
      <c r="R4" s="633"/>
      <c r="S4" s="633"/>
      <c r="T4" s="630"/>
      <c r="U4" s="630"/>
      <c r="V4" s="630"/>
      <c r="W4" s="630"/>
      <c r="X4" s="630"/>
      <c r="Y4" s="634"/>
      <c r="Z4" s="630"/>
      <c r="AA4" s="630"/>
      <c r="AB4" s="630"/>
      <c r="AC4" s="630"/>
      <c r="AD4" s="630"/>
      <c r="AE4" s="630"/>
      <c r="AF4" s="630"/>
      <c r="AG4" s="630"/>
      <c r="AH4" s="630"/>
      <c r="AI4" s="630"/>
      <c r="AJ4" s="630"/>
    </row>
    <row r="5">
      <c r="A5" s="550" t="s">
        <v>1601</v>
      </c>
      <c r="B5" s="555"/>
      <c r="C5" s="550" t="s">
        <v>2588</v>
      </c>
      <c r="D5" s="550">
        <v>8.0</v>
      </c>
      <c r="E5" s="551">
        <v>8000000.0</v>
      </c>
      <c r="F5" s="550" t="s">
        <v>28</v>
      </c>
      <c r="G5" s="550" t="s">
        <v>23</v>
      </c>
      <c r="H5" s="555"/>
      <c r="I5" s="551">
        <v>8000000.0</v>
      </c>
      <c r="J5" s="550">
        <v>1.0</v>
      </c>
      <c r="K5" s="555"/>
      <c r="L5" s="555"/>
      <c r="M5" s="555"/>
      <c r="N5" s="565"/>
      <c r="O5" s="570" t="s">
        <v>1603</v>
      </c>
      <c r="P5" s="566"/>
      <c r="Q5" s="555"/>
      <c r="R5" s="571"/>
      <c r="S5" s="571"/>
      <c r="T5" s="555"/>
      <c r="U5" s="555"/>
      <c r="V5" s="555"/>
      <c r="W5" s="555"/>
      <c r="X5" s="555"/>
      <c r="Y5" s="568"/>
      <c r="Z5" s="555"/>
      <c r="AA5" s="555"/>
      <c r="AB5" s="555"/>
      <c r="AC5" s="555"/>
      <c r="AD5" s="555"/>
      <c r="AE5" s="555"/>
      <c r="AF5" s="555"/>
      <c r="AG5" s="555"/>
      <c r="AH5" s="555"/>
      <c r="AI5" s="555"/>
      <c r="AJ5" s="555"/>
    </row>
    <row r="6">
      <c r="A6" s="550" t="s">
        <v>1554</v>
      </c>
      <c r="B6" s="550" t="s">
        <v>2729</v>
      </c>
      <c r="C6" s="555"/>
      <c r="D6" s="550">
        <v>8.0</v>
      </c>
      <c r="E6" s="551">
        <v>6500000.0</v>
      </c>
      <c r="F6" s="573" t="s">
        <v>64</v>
      </c>
      <c r="G6" s="550" t="s">
        <v>2605</v>
      </c>
      <c r="H6" s="555"/>
      <c r="I6" s="551">
        <v>6500000.0</v>
      </c>
      <c r="J6" s="550">
        <v>2.0</v>
      </c>
      <c r="K6" s="595"/>
      <c r="L6" s="555"/>
      <c r="M6" s="555"/>
      <c r="N6" s="565"/>
      <c r="O6" s="570" t="s">
        <v>1557</v>
      </c>
      <c r="P6" s="566"/>
      <c r="Q6" s="555"/>
      <c r="R6" s="555"/>
      <c r="S6" s="555"/>
      <c r="T6" s="555"/>
      <c r="U6" s="555"/>
      <c r="V6" s="555"/>
      <c r="W6" s="555"/>
      <c r="X6" s="555"/>
      <c r="Y6" s="568"/>
      <c r="Z6" s="555"/>
      <c r="AA6" s="555"/>
      <c r="AB6" s="555"/>
      <c r="AC6" s="555"/>
      <c r="AD6" s="555"/>
      <c r="AE6" s="555"/>
      <c r="AF6" s="555"/>
      <c r="AG6" s="555"/>
      <c r="AH6" s="555"/>
      <c r="AI6" s="555"/>
      <c r="AJ6" s="555"/>
    </row>
    <row r="7">
      <c r="A7" s="550" t="s">
        <v>1576</v>
      </c>
      <c r="B7" s="555"/>
      <c r="C7" s="595"/>
      <c r="D7" s="550">
        <v>8.0</v>
      </c>
      <c r="E7" s="551">
        <v>2.4E7</v>
      </c>
      <c r="F7" s="550" t="s">
        <v>28</v>
      </c>
      <c r="G7" s="550" t="s">
        <v>23</v>
      </c>
      <c r="H7" s="555"/>
      <c r="I7" s="551">
        <v>2.4E7</v>
      </c>
      <c r="J7" s="550">
        <v>2.0</v>
      </c>
      <c r="K7" s="555"/>
      <c r="L7" s="555"/>
      <c r="M7" s="555"/>
      <c r="N7" s="565"/>
      <c r="O7" s="570" t="s">
        <v>1578</v>
      </c>
      <c r="P7" s="566"/>
      <c r="Q7" s="555"/>
      <c r="R7" s="571"/>
      <c r="S7" s="571"/>
      <c r="T7" s="555"/>
      <c r="U7" s="555"/>
      <c r="V7" s="555"/>
      <c r="W7" s="555"/>
      <c r="X7" s="555"/>
      <c r="Y7" s="568"/>
      <c r="Z7" s="555"/>
      <c r="AA7" s="555"/>
      <c r="AB7" s="555"/>
      <c r="AC7" s="555"/>
      <c r="AD7" s="555"/>
      <c r="AE7" s="555"/>
      <c r="AF7" s="555"/>
      <c r="AG7" s="555"/>
      <c r="AH7" s="555"/>
      <c r="AI7" s="555"/>
      <c r="AJ7" s="555"/>
    </row>
    <row r="8">
      <c r="A8" s="550" t="s">
        <v>1742</v>
      </c>
      <c r="B8" s="550" t="s">
        <v>2730</v>
      </c>
      <c r="C8" s="551" t="s">
        <v>2731</v>
      </c>
      <c r="D8" s="550">
        <v>7.0</v>
      </c>
      <c r="E8" s="551">
        <v>3.5E7</v>
      </c>
      <c r="F8" s="550" t="s">
        <v>28</v>
      </c>
      <c r="G8" s="550" t="s">
        <v>23</v>
      </c>
      <c r="H8" s="555"/>
      <c r="I8" s="551">
        <v>3.5E7</v>
      </c>
      <c r="J8" s="550">
        <v>3.0</v>
      </c>
      <c r="K8" s="555"/>
      <c r="L8" s="555"/>
      <c r="M8" s="555"/>
      <c r="N8" s="565"/>
      <c r="O8" s="570" t="s">
        <v>1746</v>
      </c>
      <c r="P8" s="566"/>
      <c r="Q8" s="555"/>
      <c r="R8" s="571"/>
      <c r="S8" s="571"/>
      <c r="T8" s="555"/>
      <c r="U8" s="555"/>
      <c r="V8" s="555"/>
      <c r="W8" s="555"/>
      <c r="X8" s="555"/>
      <c r="Y8" s="568"/>
      <c r="Z8" s="555"/>
      <c r="AA8" s="555"/>
      <c r="AB8" s="555"/>
      <c r="AC8" s="555"/>
      <c r="AD8" s="555"/>
      <c r="AE8" s="555"/>
      <c r="AF8" s="555"/>
      <c r="AG8" s="555"/>
      <c r="AH8" s="555"/>
      <c r="AI8" s="555"/>
      <c r="AJ8" s="555"/>
    </row>
    <row r="9">
      <c r="A9" s="550" t="s">
        <v>1875</v>
      </c>
      <c r="B9" s="550" t="s">
        <v>1876</v>
      </c>
      <c r="C9" s="551" t="s">
        <v>980</v>
      </c>
      <c r="D9" s="550">
        <v>7.0</v>
      </c>
      <c r="E9" s="551">
        <v>2500000.0</v>
      </c>
      <c r="F9" s="550" t="s">
        <v>2153</v>
      </c>
      <c r="G9" s="550" t="s">
        <v>59</v>
      </c>
      <c r="H9" s="555"/>
      <c r="I9" s="551">
        <v>2500000.0</v>
      </c>
      <c r="J9" s="550">
        <v>2.0</v>
      </c>
      <c r="K9" s="555"/>
      <c r="L9" s="555"/>
      <c r="M9" s="555"/>
      <c r="N9" s="565"/>
      <c r="O9" s="570" t="s">
        <v>2732</v>
      </c>
      <c r="P9" s="566"/>
      <c r="Q9" s="555"/>
      <c r="R9" s="571"/>
      <c r="S9" s="571"/>
      <c r="T9" s="555"/>
      <c r="U9" s="555"/>
      <c r="V9" s="555"/>
      <c r="W9" s="555"/>
      <c r="X9" s="555"/>
      <c r="Y9" s="568"/>
      <c r="Z9" s="555"/>
      <c r="AA9" s="555"/>
      <c r="AB9" s="555"/>
      <c r="AC9" s="555"/>
      <c r="AD9" s="555"/>
      <c r="AE9" s="555"/>
      <c r="AF9" s="555"/>
      <c r="AG9" s="555"/>
      <c r="AH9" s="555"/>
      <c r="AI9" s="555"/>
      <c r="AJ9" s="555"/>
    </row>
    <row r="10">
      <c r="A10" s="550" t="s">
        <v>1938</v>
      </c>
      <c r="B10" s="550" t="s">
        <v>2733</v>
      </c>
      <c r="C10" s="595"/>
      <c r="D10" s="550">
        <v>3.0</v>
      </c>
      <c r="E10" s="551">
        <v>8500000.0</v>
      </c>
      <c r="F10" s="550" t="s">
        <v>2153</v>
      </c>
      <c r="G10" s="550" t="s">
        <v>59</v>
      </c>
      <c r="H10" s="555"/>
      <c r="I10" s="551">
        <v>8500000.0</v>
      </c>
      <c r="J10" s="550">
        <v>3.0</v>
      </c>
      <c r="K10" s="555"/>
      <c r="L10" s="555"/>
      <c r="M10" s="555"/>
      <c r="N10" s="565"/>
      <c r="O10" s="570" t="s">
        <v>1941</v>
      </c>
      <c r="P10" s="566"/>
      <c r="Q10" s="555"/>
      <c r="R10" s="571"/>
      <c r="S10" s="571"/>
      <c r="T10" s="555"/>
      <c r="U10" s="555"/>
      <c r="V10" s="555"/>
      <c r="W10" s="555"/>
      <c r="X10" s="555"/>
      <c r="Y10" s="568"/>
      <c r="Z10" s="555"/>
      <c r="AA10" s="555"/>
      <c r="AB10" s="555"/>
      <c r="AC10" s="555"/>
      <c r="AD10" s="555"/>
      <c r="AE10" s="555"/>
      <c r="AF10" s="555"/>
      <c r="AG10" s="555"/>
      <c r="AH10" s="555"/>
      <c r="AI10" s="555"/>
      <c r="AJ10" s="555"/>
    </row>
    <row r="11">
      <c r="A11" s="550" t="s">
        <v>2538</v>
      </c>
      <c r="B11" s="550" t="s">
        <v>2539</v>
      </c>
      <c r="C11" s="551" t="s">
        <v>2536</v>
      </c>
      <c r="D11" s="550">
        <v>6.0</v>
      </c>
      <c r="E11" s="551">
        <v>251287.0</v>
      </c>
      <c r="F11" s="550" t="s">
        <v>64</v>
      </c>
      <c r="G11" s="550" t="s">
        <v>59</v>
      </c>
      <c r="H11" s="555"/>
      <c r="I11" s="551">
        <v>251287.0</v>
      </c>
      <c r="J11" s="555"/>
      <c r="K11" s="555"/>
      <c r="L11" s="555"/>
      <c r="M11" s="555"/>
      <c r="N11" s="565"/>
      <c r="O11" s="570" t="s">
        <v>2542</v>
      </c>
      <c r="P11" s="566"/>
      <c r="Q11" s="555"/>
      <c r="R11" s="571"/>
      <c r="S11" s="571"/>
      <c r="T11" s="555"/>
      <c r="U11" s="555"/>
      <c r="V11" s="555"/>
      <c r="W11" s="555"/>
      <c r="X11" s="555"/>
      <c r="Y11" s="568"/>
      <c r="Z11" s="555"/>
      <c r="AA11" s="555"/>
      <c r="AB11" s="555"/>
      <c r="AC11" s="555"/>
      <c r="AD11" s="555"/>
      <c r="AE11" s="555"/>
      <c r="AF11" s="555"/>
      <c r="AG11" s="555"/>
      <c r="AH11" s="555"/>
      <c r="AI11" s="555"/>
      <c r="AJ11" s="555"/>
    </row>
    <row r="12">
      <c r="A12" s="550" t="s">
        <v>2534</v>
      </c>
      <c r="B12" s="550" t="s">
        <v>2734</v>
      </c>
      <c r="C12" s="551" t="s">
        <v>2536</v>
      </c>
      <c r="D12" s="550">
        <v>9.0</v>
      </c>
      <c r="E12" s="551">
        <v>1700000.0</v>
      </c>
      <c r="F12" s="550" t="s">
        <v>64</v>
      </c>
      <c r="G12" s="550" t="s">
        <v>59</v>
      </c>
      <c r="H12" s="555"/>
      <c r="I12" s="551">
        <v>1700000.0</v>
      </c>
      <c r="J12" s="555"/>
      <c r="K12" s="555"/>
      <c r="L12" s="555"/>
      <c r="M12" s="555"/>
      <c r="N12" s="565"/>
      <c r="O12" s="570" t="s">
        <v>2537</v>
      </c>
      <c r="P12" s="566"/>
      <c r="Q12" s="555"/>
      <c r="R12" s="571"/>
      <c r="S12" s="571"/>
      <c r="T12" s="555"/>
      <c r="U12" s="555"/>
      <c r="V12" s="555"/>
      <c r="W12" s="555"/>
      <c r="X12" s="555"/>
      <c r="Y12" s="568"/>
      <c r="Z12" s="555"/>
      <c r="AA12" s="555"/>
      <c r="AB12" s="555"/>
      <c r="AC12" s="555"/>
      <c r="AD12" s="555"/>
      <c r="AE12" s="555"/>
      <c r="AF12" s="555"/>
      <c r="AG12" s="555"/>
      <c r="AH12" s="555"/>
      <c r="AI12" s="555"/>
      <c r="AJ12" s="555"/>
    </row>
    <row r="13">
      <c r="A13" s="550" t="s">
        <v>1819</v>
      </c>
      <c r="B13" s="555"/>
      <c r="C13" s="551" t="s">
        <v>2536</v>
      </c>
      <c r="D13" s="550">
        <v>6.0</v>
      </c>
      <c r="E13" s="551">
        <v>391832.0</v>
      </c>
      <c r="F13" s="550" t="s">
        <v>64</v>
      </c>
      <c r="G13" s="550" t="s">
        <v>59</v>
      </c>
      <c r="H13" s="555"/>
      <c r="I13" s="551">
        <v>391832.0</v>
      </c>
      <c r="J13" s="555"/>
      <c r="K13" s="555"/>
      <c r="L13" s="555"/>
      <c r="M13" s="555"/>
      <c r="N13" s="565"/>
      <c r="O13" s="570" t="s">
        <v>1821</v>
      </c>
      <c r="P13" s="566"/>
      <c r="Q13" s="555"/>
      <c r="R13" s="571"/>
      <c r="S13" s="571"/>
      <c r="T13" s="555"/>
      <c r="U13" s="555"/>
      <c r="V13" s="555"/>
      <c r="W13" s="555"/>
      <c r="X13" s="555"/>
      <c r="Y13" s="568"/>
      <c r="Z13" s="555"/>
      <c r="AA13" s="555"/>
      <c r="AB13" s="555"/>
      <c r="AC13" s="555"/>
      <c r="AD13" s="555"/>
      <c r="AE13" s="555"/>
      <c r="AF13" s="555"/>
      <c r="AG13" s="555"/>
      <c r="AH13" s="555"/>
      <c r="AI13" s="555"/>
      <c r="AJ13" s="555"/>
    </row>
    <row r="14">
      <c r="A14" s="550" t="s">
        <v>2735</v>
      </c>
      <c r="B14" s="550" t="s">
        <v>2736</v>
      </c>
      <c r="C14" s="551" t="s">
        <v>2737</v>
      </c>
      <c r="D14" s="550">
        <v>5.0</v>
      </c>
      <c r="E14" s="551">
        <v>1500.0</v>
      </c>
      <c r="F14" s="550" t="s">
        <v>64</v>
      </c>
      <c r="G14" s="550" t="s">
        <v>59</v>
      </c>
      <c r="H14" s="555"/>
      <c r="I14" s="551">
        <v>1500.0</v>
      </c>
      <c r="J14" s="550">
        <v>2.0</v>
      </c>
      <c r="K14" s="555"/>
      <c r="L14" s="555"/>
      <c r="M14" s="555"/>
      <c r="N14" s="565"/>
      <c r="O14" s="570" t="s">
        <v>2738</v>
      </c>
      <c r="P14" s="566"/>
      <c r="Q14" s="555"/>
      <c r="R14" s="571"/>
      <c r="S14" s="571"/>
      <c r="T14" s="555"/>
      <c r="U14" s="555"/>
      <c r="V14" s="555"/>
      <c r="W14" s="555"/>
      <c r="X14" s="555"/>
      <c r="Y14" s="568"/>
      <c r="Z14" s="555"/>
      <c r="AA14" s="555"/>
      <c r="AB14" s="555"/>
      <c r="AC14" s="555"/>
      <c r="AD14" s="555"/>
      <c r="AE14" s="555"/>
      <c r="AF14" s="555"/>
      <c r="AG14" s="555"/>
      <c r="AH14" s="555"/>
      <c r="AI14" s="555"/>
      <c r="AJ14" s="555"/>
    </row>
    <row r="15">
      <c r="A15" s="550" t="s">
        <v>2739</v>
      </c>
      <c r="B15" s="550" t="s">
        <v>2740</v>
      </c>
      <c r="C15" s="595"/>
      <c r="D15" s="550">
        <v>3.0</v>
      </c>
      <c r="E15" s="551">
        <v>3000000.0</v>
      </c>
      <c r="F15" s="550" t="s">
        <v>64</v>
      </c>
      <c r="G15" s="550" t="s">
        <v>2741</v>
      </c>
      <c r="H15" s="555"/>
      <c r="I15" s="551">
        <v>3000000.0</v>
      </c>
      <c r="J15" s="550">
        <v>2.0</v>
      </c>
      <c r="K15" s="555"/>
      <c r="L15" s="555"/>
      <c r="M15" s="555"/>
      <c r="N15" s="565"/>
      <c r="O15" s="570" t="s">
        <v>1937</v>
      </c>
      <c r="P15" s="566"/>
      <c r="Q15" s="555"/>
      <c r="R15" s="571"/>
      <c r="S15" s="571"/>
      <c r="T15" s="555"/>
      <c r="U15" s="555"/>
      <c r="V15" s="555"/>
      <c r="W15" s="555"/>
      <c r="X15" s="555"/>
      <c r="Y15" s="568"/>
      <c r="Z15" s="555"/>
      <c r="AA15" s="555"/>
      <c r="AB15" s="555"/>
      <c r="AC15" s="555"/>
      <c r="AD15" s="555"/>
      <c r="AE15" s="555"/>
      <c r="AF15" s="555"/>
      <c r="AG15" s="555"/>
      <c r="AH15" s="555"/>
      <c r="AI15" s="555"/>
      <c r="AJ15" s="555"/>
    </row>
    <row r="16">
      <c r="A16" s="550" t="s">
        <v>1530</v>
      </c>
      <c r="B16" s="555"/>
      <c r="C16" s="555"/>
      <c r="D16" s="550">
        <v>7.0</v>
      </c>
      <c r="E16" s="551">
        <v>6000000.0</v>
      </c>
      <c r="F16" s="550" t="s">
        <v>28</v>
      </c>
      <c r="G16" s="550" t="s">
        <v>23</v>
      </c>
      <c r="H16" s="555"/>
      <c r="I16" s="551">
        <v>6000000.0</v>
      </c>
      <c r="J16" s="550">
        <v>1.0</v>
      </c>
      <c r="K16" s="595"/>
      <c r="L16" s="555"/>
      <c r="M16" s="555"/>
      <c r="N16" s="565"/>
      <c r="O16" s="570" t="s">
        <v>1532</v>
      </c>
      <c r="P16" s="566"/>
      <c r="Q16" s="555"/>
      <c r="R16" s="555"/>
      <c r="S16" s="555"/>
      <c r="T16" s="555"/>
      <c r="U16" s="555"/>
      <c r="V16" s="555"/>
      <c r="W16" s="555"/>
      <c r="X16" s="555"/>
      <c r="Y16" s="568"/>
      <c r="Z16" s="555"/>
      <c r="AA16" s="555"/>
      <c r="AB16" s="555"/>
      <c r="AC16" s="555"/>
      <c r="AD16" s="555"/>
      <c r="AE16" s="555"/>
      <c r="AF16" s="555"/>
      <c r="AG16" s="555"/>
      <c r="AH16" s="555"/>
      <c r="AI16" s="555"/>
      <c r="AJ16" s="555"/>
    </row>
    <row r="17">
      <c r="A17" s="581" t="s">
        <v>2742</v>
      </c>
      <c r="B17" s="555"/>
      <c r="C17" s="550" t="s">
        <v>2743</v>
      </c>
      <c r="D17" s="550">
        <v>7.0</v>
      </c>
      <c r="E17" s="551">
        <v>1.0E7</v>
      </c>
      <c r="F17" s="550" t="s">
        <v>28</v>
      </c>
      <c r="G17" s="550" t="s">
        <v>23</v>
      </c>
      <c r="H17" s="555"/>
      <c r="I17" s="551">
        <v>1.0E7</v>
      </c>
      <c r="J17" s="550">
        <v>1.0</v>
      </c>
      <c r="K17" s="595"/>
      <c r="L17" s="555"/>
      <c r="M17" s="555"/>
      <c r="N17" s="565"/>
      <c r="O17" s="570" t="s">
        <v>1682</v>
      </c>
      <c r="P17" s="566"/>
      <c r="Q17" s="555"/>
      <c r="R17" s="555"/>
      <c r="S17" s="555"/>
      <c r="T17" s="555"/>
      <c r="U17" s="555"/>
      <c r="V17" s="555"/>
      <c r="W17" s="555"/>
      <c r="X17" s="555"/>
      <c r="Y17" s="568"/>
      <c r="Z17" s="555"/>
      <c r="AA17" s="555"/>
      <c r="AB17" s="555"/>
      <c r="AC17" s="555"/>
      <c r="AD17" s="555"/>
      <c r="AE17" s="555"/>
      <c r="AF17" s="555"/>
      <c r="AG17" s="555"/>
      <c r="AH17" s="555"/>
      <c r="AI17" s="555"/>
      <c r="AJ17" s="555"/>
    </row>
    <row r="18">
      <c r="A18" s="550" t="s">
        <v>1403</v>
      </c>
      <c r="B18" s="550" t="s">
        <v>1404</v>
      </c>
      <c r="C18" s="551" t="s">
        <v>2744</v>
      </c>
      <c r="D18" s="550">
        <v>7.0</v>
      </c>
      <c r="E18" s="551">
        <v>2.8E7</v>
      </c>
      <c r="F18" s="550" t="s">
        <v>28</v>
      </c>
      <c r="G18" s="550" t="s">
        <v>23</v>
      </c>
      <c r="H18" s="555"/>
      <c r="I18" s="551">
        <v>2.8E7</v>
      </c>
      <c r="J18" s="550">
        <v>1.0</v>
      </c>
      <c r="K18" s="555"/>
      <c r="L18" s="555"/>
      <c r="M18" s="555"/>
      <c r="N18" s="565"/>
      <c r="O18" s="570" t="s">
        <v>1407</v>
      </c>
      <c r="P18" s="566"/>
      <c r="Q18" s="555"/>
      <c r="R18" s="571"/>
      <c r="S18" s="571"/>
      <c r="T18" s="555"/>
      <c r="U18" s="555"/>
      <c r="V18" s="555"/>
      <c r="W18" s="555"/>
      <c r="X18" s="555"/>
      <c r="Y18" s="568"/>
      <c r="Z18" s="555"/>
      <c r="AA18" s="555"/>
      <c r="AB18" s="555"/>
      <c r="AC18" s="555"/>
      <c r="AD18" s="555"/>
      <c r="AE18" s="555"/>
      <c r="AF18" s="555"/>
      <c r="AG18" s="555"/>
      <c r="AH18" s="555"/>
      <c r="AI18" s="555"/>
      <c r="AJ18" s="555"/>
    </row>
    <row r="19">
      <c r="A19" s="550" t="s">
        <v>1751</v>
      </c>
      <c r="B19" s="550" t="s">
        <v>2745</v>
      </c>
      <c r="C19" s="551" t="s">
        <v>1752</v>
      </c>
      <c r="D19" s="550">
        <v>7.0</v>
      </c>
      <c r="E19" s="551">
        <v>1.32E7</v>
      </c>
      <c r="F19" s="550" t="s">
        <v>28</v>
      </c>
      <c r="G19" s="550" t="s">
        <v>23</v>
      </c>
      <c r="H19" s="555"/>
      <c r="I19" s="551">
        <v>1.32E7</v>
      </c>
      <c r="J19" s="550">
        <v>2.0</v>
      </c>
      <c r="K19" s="555"/>
      <c r="L19" s="555"/>
      <c r="M19" s="555"/>
      <c r="N19" s="565"/>
      <c r="O19" s="570" t="s">
        <v>2746</v>
      </c>
      <c r="P19" s="566"/>
      <c r="Q19" s="555"/>
      <c r="R19" s="571"/>
      <c r="S19" s="571"/>
      <c r="T19" s="555"/>
      <c r="U19" s="555"/>
      <c r="V19" s="555"/>
      <c r="W19" s="555"/>
      <c r="X19" s="555"/>
      <c r="Y19" s="568"/>
      <c r="Z19" s="555"/>
      <c r="AA19" s="555"/>
      <c r="AB19" s="555"/>
      <c r="AC19" s="555"/>
      <c r="AD19" s="555"/>
      <c r="AE19" s="555"/>
      <c r="AF19" s="555"/>
      <c r="AG19" s="555"/>
      <c r="AH19" s="555"/>
      <c r="AI19" s="555"/>
      <c r="AJ19" s="555"/>
    </row>
    <row r="20">
      <c r="A20" s="550" t="s">
        <v>1915</v>
      </c>
      <c r="B20" s="550" t="s">
        <v>2747</v>
      </c>
      <c r="C20" s="595"/>
      <c r="D20" s="550">
        <v>2.0</v>
      </c>
      <c r="E20" s="551">
        <v>60080.0</v>
      </c>
      <c r="F20" s="550" t="s">
        <v>43</v>
      </c>
      <c r="G20" s="550" t="s">
        <v>2748</v>
      </c>
      <c r="H20" s="555"/>
      <c r="I20" s="551">
        <v>60080.0</v>
      </c>
      <c r="J20" s="550">
        <v>2.0</v>
      </c>
      <c r="K20" s="555"/>
      <c r="L20" s="555"/>
      <c r="M20" s="555"/>
      <c r="N20" s="565"/>
      <c r="O20" s="570" t="s">
        <v>2749</v>
      </c>
      <c r="P20" s="566"/>
      <c r="Q20" s="555"/>
      <c r="R20" s="571"/>
      <c r="S20" s="571"/>
      <c r="T20" s="555"/>
      <c r="U20" s="555"/>
      <c r="V20" s="555"/>
      <c r="W20" s="555"/>
      <c r="X20" s="555"/>
      <c r="Y20" s="568"/>
      <c r="Z20" s="555"/>
      <c r="AA20" s="555"/>
      <c r="AB20" s="555"/>
      <c r="AC20" s="555"/>
      <c r="AD20" s="555"/>
      <c r="AE20" s="555"/>
      <c r="AF20" s="555"/>
      <c r="AG20" s="555"/>
      <c r="AH20" s="555"/>
      <c r="AI20" s="555"/>
      <c r="AJ20" s="555"/>
    </row>
    <row r="21">
      <c r="A21" s="550" t="s">
        <v>1990</v>
      </c>
      <c r="B21" s="550" t="s">
        <v>2750</v>
      </c>
      <c r="C21" s="551" t="s">
        <v>1991</v>
      </c>
      <c r="D21" s="550">
        <v>1.0</v>
      </c>
      <c r="E21" s="551">
        <v>200000.0</v>
      </c>
      <c r="F21" s="550" t="s">
        <v>2153</v>
      </c>
      <c r="G21" s="550" t="s">
        <v>2748</v>
      </c>
      <c r="H21" s="555"/>
      <c r="I21" s="551">
        <v>200000.0</v>
      </c>
      <c r="J21" s="550">
        <v>2.0</v>
      </c>
      <c r="K21" s="555"/>
      <c r="L21" s="555"/>
      <c r="M21" s="555"/>
      <c r="N21" s="565"/>
      <c r="O21" s="570" t="s">
        <v>1994</v>
      </c>
      <c r="P21" s="566"/>
      <c r="Q21" s="555"/>
      <c r="R21" s="571"/>
      <c r="S21" s="571"/>
      <c r="T21" s="555"/>
      <c r="U21" s="555"/>
      <c r="V21" s="555"/>
      <c r="W21" s="555"/>
      <c r="X21" s="555"/>
      <c r="Y21" s="568"/>
      <c r="Z21" s="555"/>
      <c r="AA21" s="555"/>
      <c r="AB21" s="555"/>
      <c r="AC21" s="555"/>
      <c r="AD21" s="555"/>
      <c r="AE21" s="555"/>
      <c r="AF21" s="555"/>
      <c r="AG21" s="555"/>
      <c r="AH21" s="555"/>
      <c r="AI21" s="555"/>
      <c r="AJ21" s="555"/>
    </row>
    <row r="22">
      <c r="A22" s="555"/>
      <c r="B22" s="555"/>
      <c r="C22" s="595"/>
      <c r="D22" s="555"/>
      <c r="E22" s="595"/>
      <c r="F22" s="555"/>
      <c r="G22" s="555"/>
      <c r="H22" s="555"/>
      <c r="I22" s="595"/>
      <c r="J22" s="555"/>
      <c r="K22" s="555"/>
      <c r="L22" s="555"/>
      <c r="M22" s="555"/>
      <c r="N22" s="565"/>
      <c r="O22" s="566"/>
      <c r="P22" s="566"/>
      <c r="Q22" s="555"/>
      <c r="R22" s="571"/>
      <c r="S22" s="571"/>
      <c r="T22" s="555"/>
      <c r="U22" s="555"/>
      <c r="V22" s="555"/>
      <c r="W22" s="555"/>
      <c r="X22" s="555"/>
      <c r="Y22" s="568"/>
      <c r="Z22" s="555"/>
      <c r="AA22" s="555"/>
      <c r="AB22" s="555"/>
      <c r="AC22" s="555"/>
      <c r="AD22" s="555"/>
      <c r="AE22" s="555"/>
      <c r="AF22" s="555"/>
      <c r="AG22" s="555"/>
      <c r="AH22" s="555"/>
      <c r="AI22" s="555"/>
      <c r="AJ22" s="555"/>
    </row>
    <row r="23">
      <c r="A23" s="555"/>
      <c r="B23" s="555"/>
      <c r="C23" s="595"/>
      <c r="D23" s="555"/>
      <c r="E23" s="595"/>
      <c r="F23" s="555"/>
      <c r="G23" s="555"/>
      <c r="H23" s="555"/>
      <c r="I23" s="595"/>
      <c r="J23" s="555"/>
      <c r="K23" s="555"/>
      <c r="L23" s="555"/>
      <c r="M23" s="555"/>
      <c r="N23" s="565"/>
      <c r="O23" s="566"/>
      <c r="P23" s="566"/>
      <c r="Q23" s="555"/>
      <c r="R23" s="571"/>
      <c r="S23" s="571"/>
      <c r="T23" s="555"/>
      <c r="U23" s="555"/>
      <c r="V23" s="555"/>
      <c r="W23" s="555"/>
      <c r="X23" s="555"/>
      <c r="Y23" s="568"/>
      <c r="Z23" s="555"/>
      <c r="AA23" s="555"/>
      <c r="AB23" s="555"/>
      <c r="AC23" s="555"/>
      <c r="AD23" s="555"/>
      <c r="AE23" s="555"/>
      <c r="AF23" s="555"/>
      <c r="AG23" s="555"/>
      <c r="AH23" s="555"/>
      <c r="AI23" s="555"/>
      <c r="AJ23" s="555"/>
    </row>
    <row r="24">
      <c r="A24" s="555"/>
      <c r="B24" s="555"/>
      <c r="C24" s="595"/>
      <c r="D24" s="555"/>
      <c r="E24" s="595"/>
      <c r="F24" s="555"/>
      <c r="G24" s="555"/>
      <c r="H24" s="555"/>
      <c r="I24" s="595"/>
      <c r="J24" s="555"/>
      <c r="K24" s="555"/>
      <c r="L24" s="555"/>
      <c r="M24" s="555"/>
      <c r="N24" s="565"/>
      <c r="O24" s="566"/>
      <c r="P24" s="566"/>
      <c r="Q24" s="555"/>
      <c r="R24" s="571"/>
      <c r="S24" s="571"/>
      <c r="T24" s="555"/>
      <c r="U24" s="555"/>
      <c r="V24" s="555"/>
      <c r="W24" s="555"/>
      <c r="X24" s="555"/>
      <c r="Y24" s="568"/>
      <c r="Z24" s="555"/>
      <c r="AA24" s="555"/>
      <c r="AB24" s="555"/>
      <c r="AC24" s="555"/>
      <c r="AD24" s="555"/>
      <c r="AE24" s="555"/>
      <c r="AF24" s="555"/>
      <c r="AG24" s="555"/>
      <c r="AH24" s="555"/>
      <c r="AI24" s="555"/>
      <c r="AJ24" s="555"/>
    </row>
    <row r="25">
      <c r="A25" s="555"/>
      <c r="B25" s="555"/>
      <c r="C25" s="595"/>
      <c r="D25" s="555"/>
      <c r="E25" s="595"/>
      <c r="F25" s="555"/>
      <c r="G25" s="555"/>
      <c r="H25" s="555"/>
      <c r="I25" s="595"/>
      <c r="J25" s="555"/>
      <c r="K25" s="555"/>
      <c r="L25" s="555"/>
      <c r="M25" s="555"/>
      <c r="N25" s="565"/>
      <c r="O25" s="566"/>
      <c r="P25" s="566"/>
      <c r="Q25" s="555"/>
      <c r="R25" s="571"/>
      <c r="S25" s="571"/>
      <c r="T25" s="555"/>
      <c r="U25" s="555"/>
      <c r="V25" s="555"/>
      <c r="W25" s="555"/>
      <c r="X25" s="555"/>
      <c r="Y25" s="568"/>
      <c r="Z25" s="555"/>
      <c r="AA25" s="555"/>
      <c r="AB25" s="555"/>
      <c r="AC25" s="555"/>
      <c r="AD25" s="555"/>
      <c r="AE25" s="555"/>
      <c r="AF25" s="555"/>
      <c r="AG25" s="555"/>
      <c r="AH25" s="555"/>
      <c r="AI25" s="555"/>
      <c r="AJ25" s="555"/>
    </row>
    <row r="26">
      <c r="A26" s="555"/>
      <c r="B26" s="555"/>
      <c r="C26" s="595"/>
      <c r="D26" s="555"/>
      <c r="E26" s="595"/>
      <c r="F26" s="555"/>
      <c r="G26" s="555"/>
      <c r="H26" s="555"/>
      <c r="I26" s="595"/>
      <c r="J26" s="555"/>
      <c r="K26" s="555"/>
      <c r="L26" s="555"/>
      <c r="M26" s="555"/>
      <c r="N26" s="565"/>
      <c r="O26" s="566"/>
      <c r="P26" s="566"/>
      <c r="Q26" s="555"/>
      <c r="R26" s="571"/>
      <c r="S26" s="571"/>
      <c r="T26" s="555"/>
      <c r="U26" s="555"/>
      <c r="V26" s="555"/>
      <c r="W26" s="555"/>
      <c r="X26" s="555"/>
      <c r="Y26" s="568"/>
      <c r="Z26" s="555"/>
      <c r="AA26" s="555"/>
      <c r="AB26" s="555"/>
      <c r="AC26" s="555"/>
      <c r="AD26" s="555"/>
      <c r="AE26" s="555"/>
      <c r="AF26" s="555"/>
      <c r="AG26" s="555"/>
      <c r="AH26" s="555"/>
      <c r="AI26" s="555"/>
      <c r="AJ26" s="555"/>
    </row>
    <row r="27">
      <c r="A27" s="555"/>
      <c r="B27" s="555"/>
      <c r="C27" s="595"/>
      <c r="D27" s="555"/>
      <c r="E27" s="595"/>
      <c r="F27" s="555"/>
      <c r="G27" s="555"/>
      <c r="H27" s="555"/>
      <c r="I27" s="595"/>
      <c r="J27" s="555"/>
      <c r="K27" s="555"/>
      <c r="L27" s="555"/>
      <c r="M27" s="555"/>
      <c r="N27" s="565"/>
      <c r="O27" s="566"/>
      <c r="P27" s="566"/>
      <c r="Q27" s="555"/>
      <c r="R27" s="571"/>
      <c r="S27" s="571"/>
      <c r="T27" s="555"/>
      <c r="U27" s="555"/>
      <c r="V27" s="555"/>
      <c r="W27" s="555"/>
      <c r="X27" s="555"/>
      <c r="Y27" s="568"/>
      <c r="Z27" s="555"/>
      <c r="AA27" s="555"/>
      <c r="AB27" s="555"/>
      <c r="AC27" s="555"/>
      <c r="AD27" s="555"/>
      <c r="AE27" s="555"/>
      <c r="AF27" s="555"/>
      <c r="AG27" s="555"/>
      <c r="AH27" s="555"/>
      <c r="AI27" s="555"/>
      <c r="AJ27" s="555"/>
    </row>
    <row r="28">
      <c r="A28" s="555"/>
      <c r="B28" s="555"/>
      <c r="C28" s="595"/>
      <c r="D28" s="555"/>
      <c r="E28" s="595"/>
      <c r="F28" s="555"/>
      <c r="G28" s="555"/>
      <c r="H28" s="555"/>
      <c r="I28" s="595"/>
      <c r="J28" s="555"/>
      <c r="K28" s="555"/>
      <c r="L28" s="555"/>
      <c r="M28" s="555"/>
      <c r="N28" s="565"/>
      <c r="O28" s="566"/>
      <c r="P28" s="566"/>
      <c r="Q28" s="555"/>
      <c r="R28" s="571"/>
      <c r="S28" s="571"/>
      <c r="T28" s="555"/>
      <c r="U28" s="555"/>
      <c r="V28" s="555"/>
      <c r="W28" s="555"/>
      <c r="X28" s="555"/>
      <c r="Y28" s="568"/>
      <c r="Z28" s="555"/>
      <c r="AA28" s="555"/>
      <c r="AB28" s="555"/>
      <c r="AC28" s="555"/>
      <c r="AD28" s="555"/>
      <c r="AE28" s="555"/>
      <c r="AF28" s="555"/>
      <c r="AG28" s="555"/>
      <c r="AH28" s="555"/>
      <c r="AI28" s="555"/>
      <c r="AJ28" s="555"/>
    </row>
    <row r="29">
      <c r="A29" s="555"/>
      <c r="B29" s="555"/>
      <c r="C29" s="595"/>
      <c r="D29" s="555"/>
      <c r="E29" s="595"/>
      <c r="F29" s="555"/>
      <c r="G29" s="555"/>
      <c r="H29" s="555"/>
      <c r="I29" s="595"/>
      <c r="J29" s="555"/>
      <c r="K29" s="555"/>
      <c r="L29" s="555"/>
      <c r="M29" s="555"/>
      <c r="N29" s="565"/>
      <c r="O29" s="566"/>
      <c r="P29" s="566"/>
      <c r="Q29" s="555"/>
      <c r="R29" s="571"/>
      <c r="S29" s="571"/>
      <c r="T29" s="555"/>
      <c r="U29" s="555"/>
      <c r="V29" s="555"/>
      <c r="W29" s="555"/>
      <c r="X29" s="555"/>
      <c r="Y29" s="568"/>
      <c r="Z29" s="555"/>
      <c r="AA29" s="555"/>
      <c r="AB29" s="555"/>
      <c r="AC29" s="555"/>
      <c r="AD29" s="555"/>
      <c r="AE29" s="555"/>
      <c r="AF29" s="555"/>
      <c r="AG29" s="555"/>
      <c r="AH29" s="555"/>
      <c r="AI29" s="555"/>
      <c r="AJ29" s="555"/>
    </row>
    <row r="30">
      <c r="A30" s="555"/>
      <c r="B30" s="555"/>
      <c r="C30" s="595"/>
      <c r="D30" s="555"/>
      <c r="E30" s="595"/>
      <c r="F30" s="555"/>
      <c r="G30" s="555"/>
      <c r="H30" s="555"/>
      <c r="I30" s="595"/>
      <c r="J30" s="555"/>
      <c r="K30" s="555"/>
      <c r="L30" s="555"/>
      <c r="M30" s="555"/>
      <c r="N30" s="565"/>
      <c r="O30" s="566"/>
      <c r="P30" s="566"/>
      <c r="Q30" s="555"/>
      <c r="R30" s="571"/>
      <c r="S30" s="571"/>
      <c r="T30" s="555"/>
      <c r="U30" s="555"/>
      <c r="V30" s="555"/>
      <c r="W30" s="555"/>
      <c r="X30" s="555"/>
      <c r="Y30" s="568"/>
      <c r="Z30" s="555"/>
      <c r="AA30" s="555"/>
      <c r="AB30" s="555"/>
      <c r="AC30" s="555"/>
      <c r="AD30" s="555"/>
      <c r="AE30" s="555"/>
      <c r="AF30" s="555"/>
      <c r="AG30" s="555"/>
      <c r="AH30" s="555"/>
      <c r="AI30" s="555"/>
      <c r="AJ30" s="555"/>
    </row>
    <row r="31">
      <c r="A31" s="555"/>
      <c r="B31" s="555"/>
      <c r="C31" s="595"/>
      <c r="D31" s="555"/>
      <c r="E31" s="595"/>
      <c r="F31" s="555"/>
      <c r="G31" s="555"/>
      <c r="H31" s="555"/>
      <c r="I31" s="595"/>
      <c r="J31" s="555"/>
      <c r="K31" s="555"/>
      <c r="L31" s="555"/>
      <c r="M31" s="555"/>
      <c r="N31" s="565"/>
      <c r="O31" s="566"/>
      <c r="P31" s="566"/>
      <c r="Q31" s="555"/>
      <c r="R31" s="571"/>
      <c r="S31" s="571"/>
      <c r="T31" s="555"/>
      <c r="U31" s="555"/>
      <c r="V31" s="555"/>
      <c r="W31" s="555"/>
      <c r="X31" s="555"/>
      <c r="Y31" s="568"/>
      <c r="Z31" s="555"/>
      <c r="AA31" s="555"/>
      <c r="AB31" s="555"/>
      <c r="AC31" s="555"/>
      <c r="AD31" s="555"/>
      <c r="AE31" s="555"/>
      <c r="AF31" s="555"/>
      <c r="AG31" s="555"/>
      <c r="AH31" s="555"/>
      <c r="AI31" s="555"/>
      <c r="AJ31" s="555"/>
    </row>
    <row r="32">
      <c r="A32" s="555"/>
      <c r="B32" s="555"/>
      <c r="C32" s="595"/>
      <c r="D32" s="555"/>
      <c r="E32" s="595"/>
      <c r="F32" s="555"/>
      <c r="G32" s="555"/>
      <c r="H32" s="555"/>
      <c r="I32" s="595"/>
      <c r="J32" s="555"/>
      <c r="K32" s="555"/>
      <c r="L32" s="555"/>
      <c r="M32" s="555"/>
      <c r="N32" s="565"/>
      <c r="O32" s="566"/>
      <c r="P32" s="566"/>
      <c r="Q32" s="555"/>
      <c r="R32" s="571"/>
      <c r="S32" s="571"/>
      <c r="T32" s="555"/>
      <c r="U32" s="555"/>
      <c r="V32" s="555"/>
      <c r="W32" s="555"/>
      <c r="X32" s="555"/>
      <c r="Y32" s="568"/>
      <c r="Z32" s="555"/>
      <c r="AA32" s="555"/>
      <c r="AB32" s="555"/>
      <c r="AC32" s="555"/>
      <c r="AD32" s="555"/>
      <c r="AE32" s="555"/>
      <c r="AF32" s="555"/>
      <c r="AG32" s="555"/>
      <c r="AH32" s="555"/>
      <c r="AI32" s="555"/>
      <c r="AJ32" s="555"/>
    </row>
    <row r="33">
      <c r="A33" s="555"/>
      <c r="B33" s="555"/>
      <c r="C33" s="595"/>
      <c r="D33" s="555"/>
      <c r="E33" s="595"/>
      <c r="F33" s="555"/>
      <c r="G33" s="555"/>
      <c r="H33" s="555"/>
      <c r="I33" s="595"/>
      <c r="J33" s="555"/>
      <c r="K33" s="555"/>
      <c r="L33" s="555"/>
      <c r="M33" s="555"/>
      <c r="N33" s="565"/>
      <c r="O33" s="566"/>
      <c r="P33" s="566"/>
      <c r="Q33" s="555"/>
      <c r="R33" s="571"/>
      <c r="S33" s="571"/>
      <c r="T33" s="555"/>
      <c r="U33" s="555"/>
      <c r="V33" s="555"/>
      <c r="W33" s="555"/>
      <c r="X33" s="555"/>
      <c r="Y33" s="568"/>
      <c r="Z33" s="555"/>
      <c r="AA33" s="555"/>
      <c r="AB33" s="555"/>
      <c r="AC33" s="555"/>
      <c r="AD33" s="555"/>
      <c r="AE33" s="555"/>
      <c r="AF33" s="555"/>
      <c r="AG33" s="555"/>
      <c r="AH33" s="555"/>
      <c r="AI33" s="555"/>
      <c r="AJ33" s="555"/>
    </row>
    <row r="34">
      <c r="A34" s="555"/>
      <c r="B34" s="555"/>
      <c r="C34" s="595"/>
      <c r="D34" s="555"/>
      <c r="E34" s="595"/>
      <c r="F34" s="555"/>
      <c r="G34" s="555"/>
      <c r="H34" s="555"/>
      <c r="I34" s="595"/>
      <c r="J34" s="555"/>
      <c r="K34" s="555"/>
      <c r="L34" s="555"/>
      <c r="M34" s="555"/>
      <c r="N34" s="565"/>
      <c r="O34" s="566"/>
      <c r="P34" s="566"/>
      <c r="Q34" s="555"/>
      <c r="R34" s="571"/>
      <c r="S34" s="571"/>
      <c r="T34" s="555"/>
      <c r="U34" s="555"/>
      <c r="V34" s="555"/>
      <c r="W34" s="555"/>
      <c r="X34" s="555"/>
      <c r="Y34" s="568"/>
      <c r="Z34" s="555"/>
      <c r="AA34" s="555"/>
      <c r="AB34" s="555"/>
      <c r="AC34" s="555"/>
      <c r="AD34" s="555"/>
      <c r="AE34" s="555"/>
      <c r="AF34" s="555"/>
      <c r="AG34" s="555"/>
      <c r="AH34" s="555"/>
      <c r="AI34" s="555"/>
      <c r="AJ34" s="555"/>
    </row>
    <row r="35">
      <c r="A35" s="555"/>
      <c r="B35" s="555"/>
      <c r="C35" s="595"/>
      <c r="D35" s="555"/>
      <c r="E35" s="595"/>
      <c r="F35" s="555"/>
      <c r="G35" s="555"/>
      <c r="H35" s="555"/>
      <c r="I35" s="595"/>
      <c r="J35" s="555"/>
      <c r="K35" s="555"/>
      <c r="L35" s="555"/>
      <c r="M35" s="555"/>
      <c r="N35" s="565"/>
      <c r="O35" s="566"/>
      <c r="P35" s="566"/>
      <c r="Q35" s="555"/>
      <c r="R35" s="571"/>
      <c r="S35" s="571"/>
      <c r="T35" s="555"/>
      <c r="U35" s="555"/>
      <c r="V35" s="555"/>
      <c r="W35" s="555"/>
      <c r="X35" s="555"/>
      <c r="Y35" s="568"/>
      <c r="Z35" s="555"/>
      <c r="AA35" s="555"/>
      <c r="AB35" s="555"/>
      <c r="AC35" s="555"/>
      <c r="AD35" s="555"/>
      <c r="AE35" s="555"/>
      <c r="AF35" s="555"/>
      <c r="AG35" s="555"/>
      <c r="AH35" s="555"/>
      <c r="AI35" s="555"/>
      <c r="AJ35" s="555"/>
    </row>
    <row r="36">
      <c r="A36" s="555"/>
      <c r="B36" s="555"/>
      <c r="C36" s="595"/>
      <c r="D36" s="555"/>
      <c r="E36" s="595"/>
      <c r="F36" s="555"/>
      <c r="G36" s="555"/>
      <c r="H36" s="555"/>
      <c r="I36" s="595"/>
      <c r="J36" s="555"/>
      <c r="K36" s="555"/>
      <c r="L36" s="555"/>
      <c r="M36" s="555"/>
      <c r="N36" s="565"/>
      <c r="O36" s="566"/>
      <c r="P36" s="566"/>
      <c r="Q36" s="555"/>
      <c r="R36" s="571"/>
      <c r="S36" s="571"/>
      <c r="T36" s="555"/>
      <c r="U36" s="555"/>
      <c r="V36" s="555"/>
      <c r="W36" s="555"/>
      <c r="X36" s="555"/>
      <c r="Y36" s="568"/>
      <c r="Z36" s="555"/>
      <c r="AA36" s="555"/>
      <c r="AB36" s="555"/>
      <c r="AC36" s="555"/>
      <c r="AD36" s="555"/>
      <c r="AE36" s="555"/>
      <c r="AF36" s="555"/>
      <c r="AG36" s="555"/>
      <c r="AH36" s="555"/>
      <c r="AI36" s="555"/>
      <c r="AJ36" s="555"/>
    </row>
    <row r="37">
      <c r="A37" s="555"/>
      <c r="B37" s="555"/>
      <c r="C37" s="595"/>
      <c r="D37" s="555"/>
      <c r="E37" s="595"/>
      <c r="F37" s="555"/>
      <c r="G37" s="555"/>
      <c r="H37" s="555"/>
      <c r="I37" s="595"/>
      <c r="J37" s="555"/>
      <c r="K37" s="555"/>
      <c r="L37" s="555"/>
      <c r="M37" s="555"/>
      <c r="N37" s="565"/>
      <c r="O37" s="566"/>
      <c r="P37" s="566"/>
      <c r="Q37" s="555"/>
      <c r="R37" s="571"/>
      <c r="S37" s="571"/>
      <c r="T37" s="555"/>
      <c r="U37" s="555"/>
      <c r="V37" s="555"/>
      <c r="W37" s="555"/>
      <c r="X37" s="555"/>
      <c r="Y37" s="568"/>
      <c r="Z37" s="555"/>
      <c r="AA37" s="555"/>
      <c r="AB37" s="555"/>
      <c r="AC37" s="555"/>
      <c r="AD37" s="555"/>
      <c r="AE37" s="555"/>
      <c r="AF37" s="555"/>
      <c r="AG37" s="555"/>
      <c r="AH37" s="555"/>
      <c r="AI37" s="555"/>
      <c r="AJ37" s="555"/>
    </row>
    <row r="38">
      <c r="A38" s="555"/>
      <c r="B38" s="555"/>
      <c r="C38" s="595"/>
      <c r="D38" s="555"/>
      <c r="E38" s="595"/>
      <c r="F38" s="555"/>
      <c r="G38" s="555"/>
      <c r="H38" s="555"/>
      <c r="I38" s="595"/>
      <c r="J38" s="555"/>
      <c r="K38" s="555"/>
      <c r="L38" s="555"/>
      <c r="M38" s="555"/>
      <c r="N38" s="565"/>
      <c r="O38" s="566"/>
      <c r="P38" s="566"/>
      <c r="Q38" s="555"/>
      <c r="R38" s="571"/>
      <c r="S38" s="571"/>
      <c r="T38" s="555"/>
      <c r="U38" s="555"/>
      <c r="V38" s="555"/>
      <c r="W38" s="555"/>
      <c r="X38" s="555"/>
      <c r="Y38" s="568"/>
      <c r="Z38" s="555"/>
      <c r="AA38" s="555"/>
      <c r="AB38" s="555"/>
      <c r="AC38" s="555"/>
      <c r="AD38" s="555"/>
      <c r="AE38" s="555"/>
      <c r="AF38" s="555"/>
      <c r="AG38" s="555"/>
      <c r="AH38" s="555"/>
      <c r="AI38" s="555"/>
      <c r="AJ38" s="555"/>
    </row>
    <row r="39">
      <c r="A39" s="555"/>
      <c r="B39" s="555"/>
      <c r="C39" s="595"/>
      <c r="D39" s="555"/>
      <c r="E39" s="595"/>
      <c r="F39" s="555"/>
      <c r="G39" s="555"/>
      <c r="H39" s="555"/>
      <c r="I39" s="595"/>
      <c r="J39" s="555"/>
      <c r="K39" s="555"/>
      <c r="L39" s="555"/>
      <c r="M39" s="555"/>
      <c r="N39" s="565"/>
      <c r="O39" s="566"/>
      <c r="P39" s="566"/>
      <c r="Q39" s="555"/>
      <c r="R39" s="571"/>
      <c r="S39" s="571"/>
      <c r="T39" s="555"/>
      <c r="U39" s="555"/>
      <c r="V39" s="555"/>
      <c r="W39" s="555"/>
      <c r="X39" s="555"/>
      <c r="Y39" s="568"/>
      <c r="Z39" s="555"/>
      <c r="AA39" s="555"/>
      <c r="AB39" s="555"/>
      <c r="AC39" s="555"/>
      <c r="AD39" s="555"/>
      <c r="AE39" s="555"/>
      <c r="AF39" s="555"/>
      <c r="AG39" s="555"/>
      <c r="AH39" s="555"/>
      <c r="AI39" s="555"/>
      <c r="AJ39" s="555"/>
    </row>
  </sheetData>
  <hyperlinks>
    <hyperlink r:id="rId1" ref="O4"/>
    <hyperlink r:id="rId2" ref="O5"/>
    <hyperlink r:id="rId3" ref="O6"/>
    <hyperlink r:id="rId4" ref="O7"/>
    <hyperlink r:id="rId5" ref="O8"/>
    <hyperlink r:id="rId6" ref="O9"/>
    <hyperlink r:id="rId7" ref="O10"/>
    <hyperlink r:id="rId8" ref="O11"/>
    <hyperlink r:id="rId9" ref="O12"/>
    <hyperlink r:id="rId10" ref="O13"/>
    <hyperlink r:id="rId11" ref="O14"/>
    <hyperlink r:id="rId12" ref="O15"/>
    <hyperlink r:id="rId13" ref="O16"/>
    <hyperlink r:id="rId14" ref="A17"/>
    <hyperlink r:id="rId15" ref="O17"/>
    <hyperlink r:id="rId16" ref="O18"/>
    <hyperlink r:id="rId17" ref="O19"/>
    <hyperlink r:id="rId18" ref="O20"/>
    <hyperlink r:id="rId19" ref="O21"/>
  </hyperlinks>
  <drawing r:id="rId2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2.75"/>
  <cols>
    <col customWidth="1" min="1" max="1" width="29.75"/>
    <col customWidth="1" min="2" max="2" width="16.25"/>
    <col customWidth="1" min="3" max="3" width="10.5"/>
    <col customWidth="1" min="4" max="4" width="14.75"/>
    <col customWidth="1" min="5" max="5" width="13.0"/>
    <col customWidth="1" min="6" max="6" width="14.88"/>
    <col customWidth="1" min="7" max="7" width="10.13"/>
    <col customWidth="1" min="8" max="8" width="11.88"/>
    <col customWidth="1" min="9" max="9" width="12.13"/>
    <col customWidth="1" min="10" max="11" width="15.13"/>
    <col customWidth="1" min="12" max="12" width="53.13"/>
    <col customWidth="1" min="13" max="13" width="8.75"/>
    <col customWidth="1" min="14" max="14" width="2.0"/>
    <col customWidth="1" min="15" max="18" width="15.13"/>
    <col customWidth="1" min="19" max="19" width="8.25"/>
    <col customWidth="1" min="20" max="20" width="8.13"/>
    <col customWidth="1" min="21" max="21" width="7.0"/>
    <col customWidth="1" min="22" max="22" width="9.25"/>
    <col customWidth="1" min="23" max="24" width="9.13"/>
    <col customWidth="1" min="25" max="25" width="1.75"/>
    <col customWidth="1" min="26" max="36" width="15.13"/>
  </cols>
  <sheetData>
    <row r="1">
      <c r="A1" s="635" t="s">
        <v>2559</v>
      </c>
      <c r="B1" s="635" t="s">
        <v>2560</v>
      </c>
      <c r="C1" s="635" t="s">
        <v>2562</v>
      </c>
      <c r="D1" s="636" t="s">
        <v>2563</v>
      </c>
      <c r="E1" s="635" t="s">
        <v>2564</v>
      </c>
      <c r="F1" s="635" t="s">
        <v>2565</v>
      </c>
      <c r="G1" s="635" t="s">
        <v>2566</v>
      </c>
      <c r="H1" s="636" t="s">
        <v>2567</v>
      </c>
      <c r="I1" s="635" t="s">
        <v>2568</v>
      </c>
      <c r="J1" s="636" t="s">
        <v>2569</v>
      </c>
      <c r="K1" s="635" t="s">
        <v>2570</v>
      </c>
      <c r="L1" s="635" t="s">
        <v>2561</v>
      </c>
      <c r="M1" s="635" t="s">
        <v>2571</v>
      </c>
      <c r="N1" s="553"/>
      <c r="O1" s="637" t="s">
        <v>2572</v>
      </c>
      <c r="P1" s="637" t="s">
        <v>2573</v>
      </c>
      <c r="Q1" s="635" t="s">
        <v>2574</v>
      </c>
      <c r="R1" s="638"/>
      <c r="S1" s="638"/>
      <c r="T1" s="638"/>
      <c r="U1" s="638"/>
      <c r="V1" s="638"/>
      <c r="W1" s="638"/>
      <c r="X1" s="638"/>
      <c r="Y1" s="556"/>
      <c r="Z1" s="638"/>
      <c r="AA1" s="638"/>
      <c r="AB1" s="638"/>
      <c r="AC1" s="638"/>
      <c r="AD1" s="638"/>
      <c r="AE1" s="638"/>
      <c r="AF1" s="638"/>
      <c r="AG1" s="638"/>
      <c r="AH1" s="638"/>
      <c r="AI1" s="638"/>
      <c r="AJ1" s="638"/>
    </row>
    <row r="2">
      <c r="A2" s="606" t="s">
        <v>2164</v>
      </c>
      <c r="B2" s="639" t="s">
        <v>1</v>
      </c>
      <c r="C2" s="549" t="s">
        <v>2505</v>
      </c>
      <c r="D2" s="640" t="s">
        <v>2</v>
      </c>
      <c r="E2" s="641" t="s">
        <v>2575</v>
      </c>
      <c r="F2" s="549" t="s">
        <v>2576</v>
      </c>
      <c r="G2" s="549" t="s">
        <v>8</v>
      </c>
      <c r="H2" s="642" t="s">
        <v>2577</v>
      </c>
      <c r="I2" s="549" t="s">
        <v>2508</v>
      </c>
      <c r="J2" s="558" t="s">
        <v>2578</v>
      </c>
      <c r="K2" s="549" t="s">
        <v>2578</v>
      </c>
      <c r="L2" s="606" t="s">
        <v>5</v>
      </c>
      <c r="M2" s="549" t="s">
        <v>2579</v>
      </c>
      <c r="N2" s="553"/>
      <c r="O2" s="561" t="s">
        <v>12</v>
      </c>
      <c r="P2" s="561" t="s">
        <v>13</v>
      </c>
      <c r="Q2" s="549" t="s">
        <v>2580</v>
      </c>
      <c r="R2" s="549" t="s">
        <v>11</v>
      </c>
      <c r="S2" s="643" t="s">
        <v>2578</v>
      </c>
      <c r="T2" s="643" t="s">
        <v>2578</v>
      </c>
      <c r="U2" s="639" t="s">
        <v>2578</v>
      </c>
      <c r="V2" s="643" t="s">
        <v>2578</v>
      </c>
      <c r="W2" s="643" t="s">
        <v>2578</v>
      </c>
      <c r="X2" s="643" t="s">
        <v>2578</v>
      </c>
      <c r="Y2" s="556"/>
      <c r="Z2" s="549" t="s">
        <v>2581</v>
      </c>
      <c r="AA2" s="549" t="s">
        <v>2581</v>
      </c>
      <c r="AB2" s="549" t="s">
        <v>2581</v>
      </c>
      <c r="AC2" s="549" t="s">
        <v>2581</v>
      </c>
      <c r="AD2" s="549" t="s">
        <v>2581</v>
      </c>
      <c r="AE2" s="549" t="s">
        <v>2581</v>
      </c>
      <c r="AF2" s="549" t="s">
        <v>2581</v>
      </c>
      <c r="AG2" s="549" t="s">
        <v>2581</v>
      </c>
      <c r="AH2" s="549" t="s">
        <v>2581</v>
      </c>
      <c r="AI2" s="549" t="s">
        <v>2581</v>
      </c>
      <c r="AJ2" s="555"/>
    </row>
    <row r="3">
      <c r="A3" s="644"/>
      <c r="B3" s="555"/>
      <c r="C3" s="645" t="s">
        <v>2723</v>
      </c>
      <c r="D3" s="646" t="s">
        <v>2584</v>
      </c>
      <c r="E3" s="647"/>
      <c r="F3" s="644"/>
      <c r="G3" s="644"/>
      <c r="H3" s="648"/>
      <c r="I3" s="646" t="s">
        <v>2724</v>
      </c>
      <c r="J3" s="555"/>
      <c r="K3" s="644"/>
      <c r="L3" s="649" t="s">
        <v>2582</v>
      </c>
      <c r="M3" s="649" t="s">
        <v>2586</v>
      </c>
      <c r="N3" s="565"/>
      <c r="O3" s="566"/>
      <c r="P3" s="566"/>
      <c r="Q3" s="555"/>
      <c r="R3" s="567"/>
      <c r="S3" s="650"/>
      <c r="T3" s="650"/>
      <c r="U3" s="644"/>
      <c r="V3" s="650"/>
      <c r="W3" s="651"/>
      <c r="X3" s="650"/>
      <c r="Y3" s="568"/>
      <c r="Z3" s="555"/>
      <c r="AA3" s="555"/>
      <c r="AB3" s="555"/>
      <c r="AC3" s="555"/>
      <c r="AD3" s="555"/>
      <c r="AE3" s="555"/>
      <c r="AF3" s="555"/>
      <c r="AG3" s="555"/>
      <c r="AH3" s="555"/>
      <c r="AI3" s="555"/>
      <c r="AJ3" s="555"/>
    </row>
    <row r="4">
      <c r="A4" s="627" t="s">
        <v>2751</v>
      </c>
      <c r="B4" s="630"/>
      <c r="C4" s="627" t="s">
        <v>2752</v>
      </c>
      <c r="D4" s="629">
        <v>22000.0</v>
      </c>
      <c r="E4" s="627" t="s">
        <v>2514</v>
      </c>
      <c r="F4" s="627" t="s">
        <v>2753</v>
      </c>
      <c r="G4" s="630"/>
      <c r="H4" s="629">
        <v>22000.0</v>
      </c>
      <c r="I4" s="627">
        <v>4.0</v>
      </c>
      <c r="J4" s="628"/>
      <c r="K4" s="630"/>
      <c r="L4" s="627" t="s">
        <v>2754</v>
      </c>
      <c r="M4" s="630"/>
      <c r="N4" s="631"/>
      <c r="O4" s="570" t="s">
        <v>2755</v>
      </c>
      <c r="P4" s="570" t="s">
        <v>2756</v>
      </c>
      <c r="Q4" s="630"/>
      <c r="R4" s="627" t="s">
        <v>2757</v>
      </c>
      <c r="S4" s="630"/>
      <c r="T4" s="630"/>
      <c r="U4" s="630"/>
      <c r="V4" s="630"/>
      <c r="W4" s="630"/>
      <c r="X4" s="630"/>
      <c r="Y4" s="634"/>
      <c r="Z4" s="630"/>
      <c r="AA4" s="630"/>
      <c r="AB4" s="630"/>
      <c r="AC4" s="630"/>
      <c r="AD4" s="630"/>
      <c r="AE4" s="630"/>
      <c r="AF4" s="630"/>
      <c r="AG4" s="630"/>
      <c r="AH4" s="630"/>
      <c r="AI4" s="630"/>
      <c r="AJ4" s="630"/>
    </row>
    <row r="5">
      <c r="A5" s="627" t="s">
        <v>2758</v>
      </c>
      <c r="B5" s="630"/>
      <c r="C5" s="627" t="s">
        <v>2752</v>
      </c>
      <c r="D5" s="629">
        <v>17300.0</v>
      </c>
      <c r="E5" s="627" t="s">
        <v>2514</v>
      </c>
      <c r="F5" s="627" t="s">
        <v>59</v>
      </c>
      <c r="G5" s="630"/>
      <c r="H5" s="629">
        <v>17300.0</v>
      </c>
      <c r="I5" s="627">
        <v>2.0</v>
      </c>
      <c r="J5" s="628"/>
      <c r="K5" s="630"/>
      <c r="L5" s="627" t="s">
        <v>2759</v>
      </c>
      <c r="M5" s="630"/>
      <c r="N5" s="631"/>
      <c r="O5" s="570" t="s">
        <v>2755</v>
      </c>
      <c r="P5" s="570" t="s">
        <v>2760</v>
      </c>
      <c r="Q5" s="630"/>
      <c r="R5" s="627" t="s">
        <v>2757</v>
      </c>
      <c r="S5" s="630"/>
      <c r="T5" s="630"/>
      <c r="U5" s="630"/>
      <c r="V5" s="630"/>
      <c r="W5" s="630"/>
      <c r="X5" s="630"/>
      <c r="Y5" s="634"/>
      <c r="Z5" s="630"/>
      <c r="AA5" s="630"/>
      <c r="AB5" s="630"/>
      <c r="AC5" s="630"/>
      <c r="AD5" s="630"/>
      <c r="AE5" s="630"/>
      <c r="AF5" s="630"/>
      <c r="AG5" s="630"/>
      <c r="AH5" s="630"/>
      <c r="AI5" s="630"/>
      <c r="AJ5" s="630"/>
    </row>
    <row r="6">
      <c r="A6" s="627" t="s">
        <v>2761</v>
      </c>
      <c r="B6" s="630"/>
      <c r="C6" s="627" t="s">
        <v>2752</v>
      </c>
      <c r="D6" s="629">
        <v>12299.0</v>
      </c>
      <c r="E6" s="627" t="s">
        <v>2514</v>
      </c>
      <c r="F6" s="627" t="s">
        <v>2762</v>
      </c>
      <c r="G6" s="630"/>
      <c r="H6" s="629">
        <v>12299.0</v>
      </c>
      <c r="I6" s="627">
        <v>4.0</v>
      </c>
      <c r="J6" s="628"/>
      <c r="K6" s="630"/>
      <c r="L6" s="627" t="s">
        <v>2763</v>
      </c>
      <c r="M6" s="630"/>
      <c r="N6" s="631"/>
      <c r="O6" s="570" t="s">
        <v>2755</v>
      </c>
      <c r="P6" s="570" t="s">
        <v>2764</v>
      </c>
      <c r="Q6" s="630"/>
      <c r="R6" s="627" t="s">
        <v>2765</v>
      </c>
      <c r="S6" s="630"/>
      <c r="T6" s="630"/>
      <c r="U6" s="630"/>
      <c r="V6" s="630"/>
      <c r="W6" s="630"/>
      <c r="X6" s="630"/>
      <c r="Y6" s="634"/>
      <c r="Z6" s="630"/>
      <c r="AA6" s="630"/>
      <c r="AB6" s="630"/>
      <c r="AC6" s="630"/>
      <c r="AD6" s="630"/>
      <c r="AE6" s="630"/>
      <c r="AF6" s="630"/>
      <c r="AG6" s="630"/>
      <c r="AH6" s="630"/>
      <c r="AI6" s="630"/>
      <c r="AJ6" s="630"/>
    </row>
    <row r="7">
      <c r="A7" s="627" t="s">
        <v>2766</v>
      </c>
      <c r="B7" s="630"/>
      <c r="C7" s="627" t="s">
        <v>2752</v>
      </c>
      <c r="D7" s="629">
        <v>10350.0</v>
      </c>
      <c r="E7" s="627" t="s">
        <v>2514</v>
      </c>
      <c r="F7" s="627" t="s">
        <v>2762</v>
      </c>
      <c r="G7" s="630"/>
      <c r="H7" s="629">
        <v>12299.0</v>
      </c>
      <c r="I7" s="627">
        <v>2.0</v>
      </c>
      <c r="J7" s="628"/>
      <c r="K7" s="630"/>
      <c r="L7" s="627" t="s">
        <v>2767</v>
      </c>
      <c r="M7" s="630"/>
      <c r="N7" s="631"/>
      <c r="O7" s="570" t="s">
        <v>2755</v>
      </c>
      <c r="P7" s="570" t="s">
        <v>2768</v>
      </c>
      <c r="Q7" s="630"/>
      <c r="R7" s="627" t="s">
        <v>2769</v>
      </c>
      <c r="S7" s="630"/>
      <c r="T7" s="630"/>
      <c r="U7" s="630"/>
      <c r="V7" s="630"/>
      <c r="W7" s="630"/>
      <c r="X7" s="630"/>
      <c r="Y7" s="634"/>
      <c r="Z7" s="630"/>
      <c r="AA7" s="630"/>
      <c r="AB7" s="630"/>
      <c r="AC7" s="630"/>
      <c r="AD7" s="630"/>
      <c r="AE7" s="630"/>
      <c r="AF7" s="630"/>
      <c r="AG7" s="630"/>
      <c r="AH7" s="630"/>
      <c r="AI7" s="630"/>
      <c r="AJ7" s="630"/>
    </row>
    <row r="8">
      <c r="A8" s="627" t="s">
        <v>1481</v>
      </c>
      <c r="B8" s="630"/>
      <c r="C8" s="627">
        <v>9.0</v>
      </c>
      <c r="D8" s="629">
        <v>125000.0</v>
      </c>
      <c r="E8" s="627" t="s">
        <v>2060</v>
      </c>
      <c r="F8" s="627" t="s">
        <v>23</v>
      </c>
      <c r="G8" s="630"/>
      <c r="H8" s="629">
        <v>125000.0</v>
      </c>
      <c r="I8" s="627">
        <v>2.0</v>
      </c>
      <c r="J8" s="628"/>
      <c r="K8" s="630"/>
      <c r="L8" s="627" t="s">
        <v>1482</v>
      </c>
      <c r="M8" s="630"/>
      <c r="N8" s="631"/>
      <c r="O8" s="570" t="s">
        <v>1502</v>
      </c>
      <c r="P8" s="632"/>
      <c r="Q8" s="630"/>
      <c r="R8" s="627" t="s">
        <v>2770</v>
      </c>
      <c r="S8" s="630"/>
      <c r="T8" s="630"/>
      <c r="U8" s="630"/>
      <c r="V8" s="630"/>
      <c r="W8" s="630"/>
      <c r="X8" s="630"/>
      <c r="Y8" s="634"/>
      <c r="Z8" s="630"/>
      <c r="AA8" s="630"/>
      <c r="AB8" s="630"/>
      <c r="AC8" s="630"/>
      <c r="AD8" s="630"/>
      <c r="AE8" s="630"/>
      <c r="AF8" s="630"/>
      <c r="AG8" s="630"/>
      <c r="AH8" s="630"/>
      <c r="AI8" s="630"/>
      <c r="AJ8" s="630"/>
    </row>
    <row r="9">
      <c r="A9" s="627" t="s">
        <v>2771</v>
      </c>
      <c r="B9" s="630"/>
      <c r="C9" s="627" t="s">
        <v>2752</v>
      </c>
      <c r="D9" s="629">
        <v>43000.0</v>
      </c>
      <c r="E9" s="627" t="s">
        <v>2514</v>
      </c>
      <c r="F9" s="627" t="s">
        <v>23</v>
      </c>
      <c r="G9" s="630"/>
      <c r="H9" s="629">
        <v>43000.0</v>
      </c>
      <c r="I9" s="627">
        <v>4.0</v>
      </c>
      <c r="J9" s="628"/>
      <c r="K9" s="630"/>
      <c r="L9" s="627" t="s">
        <v>2772</v>
      </c>
      <c r="M9" s="630"/>
      <c r="N9" s="631"/>
      <c r="O9" s="570" t="s">
        <v>1502</v>
      </c>
      <c r="P9" s="632"/>
      <c r="Q9" s="630"/>
      <c r="R9" s="627" t="s">
        <v>2770</v>
      </c>
      <c r="S9" s="630"/>
      <c r="T9" s="630"/>
      <c r="U9" s="630"/>
      <c r="V9" s="630"/>
      <c r="W9" s="630"/>
      <c r="X9" s="630"/>
      <c r="Y9" s="634"/>
      <c r="Z9" s="630"/>
      <c r="AA9" s="630"/>
      <c r="AB9" s="630"/>
      <c r="AC9" s="630"/>
      <c r="AD9" s="630"/>
      <c r="AE9" s="630"/>
      <c r="AF9" s="630"/>
      <c r="AG9" s="630"/>
      <c r="AH9" s="630"/>
      <c r="AI9" s="630"/>
      <c r="AJ9" s="630"/>
    </row>
    <row r="10">
      <c r="A10" s="627" t="s">
        <v>1409</v>
      </c>
      <c r="B10" s="627" t="s">
        <v>1410</v>
      </c>
      <c r="C10" s="627">
        <v>9.0</v>
      </c>
      <c r="D10" s="628">
        <f>0.01*50000000</f>
        <v>500000</v>
      </c>
      <c r="E10" s="627" t="s">
        <v>28</v>
      </c>
      <c r="F10" s="627" t="s">
        <v>23</v>
      </c>
      <c r="G10" s="630"/>
      <c r="H10" s="628">
        <f>0.01*50000000</f>
        <v>500000</v>
      </c>
      <c r="I10" s="627">
        <v>1.0</v>
      </c>
      <c r="J10" s="628"/>
      <c r="K10" s="630"/>
      <c r="L10" s="627" t="s">
        <v>2773</v>
      </c>
      <c r="M10" s="630"/>
      <c r="N10" s="631"/>
      <c r="O10" s="570" t="s">
        <v>1413</v>
      </c>
      <c r="P10" s="570" t="s">
        <v>1414</v>
      </c>
      <c r="Q10" s="630"/>
      <c r="R10" s="627" t="s">
        <v>2774</v>
      </c>
      <c r="S10" s="630"/>
      <c r="T10" s="630"/>
      <c r="U10" s="630"/>
      <c r="V10" s="630"/>
      <c r="W10" s="630"/>
      <c r="X10" s="630"/>
      <c r="Y10" s="634"/>
      <c r="Z10" s="630"/>
      <c r="AA10" s="630"/>
      <c r="AB10" s="630"/>
      <c r="AC10" s="630"/>
      <c r="AD10" s="630"/>
      <c r="AE10" s="630"/>
      <c r="AF10" s="630"/>
      <c r="AG10" s="630"/>
      <c r="AH10" s="630"/>
      <c r="AI10" s="630"/>
      <c r="AJ10" s="630"/>
    </row>
    <row r="11">
      <c r="A11" s="627" t="s">
        <v>1415</v>
      </c>
      <c r="B11" s="627" t="s">
        <v>1416</v>
      </c>
      <c r="C11" s="627">
        <v>9.0</v>
      </c>
      <c r="D11" s="629">
        <v>5.0E7</v>
      </c>
      <c r="E11" s="627" t="s">
        <v>28</v>
      </c>
      <c r="F11" s="627" t="s">
        <v>23</v>
      </c>
      <c r="G11" s="630"/>
      <c r="H11" s="629">
        <v>5.0E7</v>
      </c>
      <c r="I11" s="627">
        <v>4.0</v>
      </c>
      <c r="J11" s="628"/>
      <c r="K11" s="630"/>
      <c r="L11" s="627" t="s">
        <v>2775</v>
      </c>
      <c r="M11" s="630"/>
      <c r="N11" s="631"/>
      <c r="O11" s="652" t="s">
        <v>1419</v>
      </c>
      <c r="P11" s="570" t="s">
        <v>1420</v>
      </c>
      <c r="Q11" s="630"/>
      <c r="R11" s="627" t="s">
        <v>2776</v>
      </c>
      <c r="S11" s="630"/>
      <c r="T11" s="630"/>
      <c r="U11" s="630"/>
      <c r="V11" s="630"/>
      <c r="W11" s="630"/>
      <c r="X11" s="630"/>
      <c r="Y11" s="634"/>
      <c r="Z11" s="630"/>
      <c r="AA11" s="630"/>
      <c r="AB11" s="630"/>
      <c r="AC11" s="630"/>
      <c r="AD11" s="630"/>
      <c r="AE11" s="630"/>
      <c r="AF11" s="630"/>
      <c r="AG11" s="630"/>
      <c r="AH11" s="630"/>
      <c r="AI11" s="630"/>
      <c r="AJ11" s="630"/>
    </row>
    <row r="12">
      <c r="A12" s="627" t="s">
        <v>2777</v>
      </c>
      <c r="B12" s="630"/>
      <c r="C12" s="627">
        <v>9.0</v>
      </c>
      <c r="D12" s="629">
        <v>2.2E7</v>
      </c>
      <c r="E12" s="627" t="s">
        <v>28</v>
      </c>
      <c r="F12" s="627" t="s">
        <v>23</v>
      </c>
      <c r="G12" s="630"/>
      <c r="H12" s="629">
        <v>2.2E7</v>
      </c>
      <c r="I12" s="627">
        <v>1.0</v>
      </c>
      <c r="J12" s="628"/>
      <c r="K12" s="630"/>
      <c r="L12" s="627" t="s">
        <v>2778</v>
      </c>
      <c r="M12" s="630"/>
      <c r="N12" s="631"/>
      <c r="O12" s="570" t="s">
        <v>2779</v>
      </c>
      <c r="P12" s="632"/>
      <c r="Q12" s="630"/>
      <c r="R12" s="627" t="s">
        <v>286</v>
      </c>
      <c r="S12" s="630"/>
      <c r="T12" s="630"/>
      <c r="U12" s="630"/>
      <c r="V12" s="630"/>
      <c r="W12" s="630"/>
      <c r="X12" s="630"/>
      <c r="Y12" s="634"/>
      <c r="Z12" s="630"/>
      <c r="AA12" s="630"/>
      <c r="AB12" s="630"/>
      <c r="AC12" s="630"/>
      <c r="AD12" s="630"/>
      <c r="AE12" s="630"/>
      <c r="AF12" s="630"/>
      <c r="AG12" s="630"/>
      <c r="AH12" s="630"/>
      <c r="AI12" s="630"/>
      <c r="AJ12" s="630"/>
    </row>
    <row r="13">
      <c r="A13" s="627" t="s">
        <v>1497</v>
      </c>
      <c r="B13" s="627" t="s">
        <v>1498</v>
      </c>
      <c r="C13" s="627">
        <v>9.0</v>
      </c>
      <c r="D13" s="629">
        <v>160000.0</v>
      </c>
      <c r="E13" s="627" t="s">
        <v>64</v>
      </c>
      <c r="F13" s="627" t="s">
        <v>23</v>
      </c>
      <c r="G13" s="630"/>
      <c r="H13" s="629">
        <v>160000.0</v>
      </c>
      <c r="I13" s="627">
        <v>2.0</v>
      </c>
      <c r="J13" s="628"/>
      <c r="K13" s="630"/>
      <c r="L13" s="627" t="s">
        <v>2780</v>
      </c>
      <c r="M13" s="630"/>
      <c r="N13" s="631"/>
      <c r="O13" s="570" t="s">
        <v>2781</v>
      </c>
      <c r="P13" s="570" t="s">
        <v>1502</v>
      </c>
      <c r="Q13" s="630"/>
      <c r="R13" s="627" t="s">
        <v>2782</v>
      </c>
      <c r="S13" s="630"/>
      <c r="T13" s="630"/>
      <c r="U13" s="630"/>
      <c r="V13" s="630"/>
      <c r="W13" s="630"/>
      <c r="X13" s="630"/>
      <c r="Y13" s="634"/>
      <c r="Z13" s="630"/>
      <c r="AA13" s="630"/>
      <c r="AB13" s="630"/>
      <c r="AC13" s="630"/>
      <c r="AD13" s="630"/>
      <c r="AE13" s="630"/>
      <c r="AF13" s="630"/>
      <c r="AG13" s="630"/>
      <c r="AH13" s="630"/>
      <c r="AI13" s="630"/>
      <c r="AJ13" s="630"/>
    </row>
    <row r="14">
      <c r="A14" s="627" t="s">
        <v>1492</v>
      </c>
      <c r="B14" s="630"/>
      <c r="C14" s="627">
        <v>9.0</v>
      </c>
      <c r="D14" s="629">
        <v>170000.0</v>
      </c>
      <c r="E14" s="627" t="s">
        <v>129</v>
      </c>
      <c r="F14" s="627" t="s">
        <v>2783</v>
      </c>
      <c r="G14" s="627" t="s">
        <v>29</v>
      </c>
      <c r="H14" s="629">
        <v>170000.0</v>
      </c>
      <c r="I14" s="627">
        <v>2.0</v>
      </c>
      <c r="J14" s="628"/>
      <c r="K14" s="630"/>
      <c r="L14" s="627" t="s">
        <v>2784</v>
      </c>
      <c r="M14" s="630"/>
      <c r="N14" s="631"/>
      <c r="O14" s="570" t="s">
        <v>1495</v>
      </c>
      <c r="P14" s="570" t="s">
        <v>1496</v>
      </c>
      <c r="Q14" s="630"/>
      <c r="R14" s="627" t="s">
        <v>2785</v>
      </c>
      <c r="S14" s="630"/>
      <c r="T14" s="630"/>
      <c r="U14" s="630"/>
      <c r="V14" s="630"/>
      <c r="W14" s="630"/>
      <c r="X14" s="630"/>
      <c r="Y14" s="634"/>
      <c r="Z14" s="630"/>
      <c r="AA14" s="630"/>
      <c r="AB14" s="630"/>
      <c r="AC14" s="630"/>
      <c r="AD14" s="630"/>
      <c r="AE14" s="630"/>
      <c r="AF14" s="630"/>
      <c r="AG14" s="630"/>
      <c r="AH14" s="630"/>
      <c r="AI14" s="630"/>
      <c r="AJ14" s="630"/>
    </row>
    <row r="15">
      <c r="A15" s="627" t="s">
        <v>1475</v>
      </c>
      <c r="B15" s="627" t="s">
        <v>2786</v>
      </c>
      <c r="C15" s="627">
        <v>9.0</v>
      </c>
      <c r="D15" s="629">
        <v>5.0E7</v>
      </c>
      <c r="E15" s="627" t="s">
        <v>28</v>
      </c>
      <c r="F15" s="627" t="s">
        <v>23</v>
      </c>
      <c r="G15" s="630"/>
      <c r="H15" s="629">
        <v>5.0E7</v>
      </c>
      <c r="I15" s="627">
        <v>1.0</v>
      </c>
      <c r="J15" s="628"/>
      <c r="K15" s="630"/>
      <c r="L15" s="627" t="s">
        <v>2787</v>
      </c>
      <c r="M15" s="630"/>
      <c r="N15" s="631"/>
      <c r="O15" s="570" t="s">
        <v>1479</v>
      </c>
      <c r="P15" s="570" t="s">
        <v>1480</v>
      </c>
      <c r="Q15" s="630"/>
      <c r="R15" s="627" t="s">
        <v>2788</v>
      </c>
      <c r="S15" s="630"/>
      <c r="T15" s="630"/>
      <c r="U15" s="630"/>
      <c r="V15" s="630"/>
      <c r="W15" s="630"/>
      <c r="X15" s="630"/>
      <c r="Y15" s="634"/>
      <c r="Z15" s="630"/>
      <c r="AA15" s="630"/>
      <c r="AB15" s="630"/>
      <c r="AC15" s="630"/>
      <c r="AD15" s="630"/>
      <c r="AE15" s="630"/>
      <c r="AF15" s="630"/>
      <c r="AG15" s="630"/>
      <c r="AH15" s="630"/>
      <c r="AI15" s="630"/>
      <c r="AJ15" s="630"/>
    </row>
    <row r="16">
      <c r="A16" s="627" t="s">
        <v>2789</v>
      </c>
      <c r="B16" s="630"/>
      <c r="C16" s="627">
        <v>9.0</v>
      </c>
      <c r="D16" s="629">
        <v>16000.0</v>
      </c>
      <c r="E16" s="627" t="s">
        <v>64</v>
      </c>
      <c r="F16" s="627" t="s">
        <v>151</v>
      </c>
      <c r="G16" s="627" t="s">
        <v>29</v>
      </c>
      <c r="H16" s="629">
        <v>16000.0</v>
      </c>
      <c r="I16" s="627">
        <v>2.0</v>
      </c>
      <c r="J16" s="628"/>
      <c r="K16" s="630"/>
      <c r="L16" s="627" t="s">
        <v>2790</v>
      </c>
      <c r="M16" s="630"/>
      <c r="N16" s="631"/>
      <c r="O16" s="570" t="s">
        <v>2791</v>
      </c>
      <c r="P16" s="632"/>
      <c r="Q16" s="630"/>
      <c r="R16" s="627" t="s">
        <v>410</v>
      </c>
      <c r="S16" s="630"/>
      <c r="T16" s="630"/>
      <c r="U16" s="630"/>
      <c r="V16" s="630"/>
      <c r="W16" s="630"/>
      <c r="X16" s="630"/>
      <c r="Y16" s="634"/>
      <c r="Z16" s="630"/>
      <c r="AA16" s="630"/>
      <c r="AB16" s="630"/>
      <c r="AC16" s="630"/>
      <c r="AD16" s="630"/>
      <c r="AE16" s="630"/>
      <c r="AF16" s="630"/>
      <c r="AG16" s="630"/>
      <c r="AH16" s="630"/>
      <c r="AI16" s="630"/>
      <c r="AJ16" s="630"/>
    </row>
    <row r="17">
      <c r="A17" s="627" t="s">
        <v>407</v>
      </c>
      <c r="B17" s="630"/>
      <c r="C17" s="627">
        <v>9.0</v>
      </c>
      <c r="D17" s="629">
        <v>250000.0</v>
      </c>
      <c r="E17" s="627" t="s">
        <v>28</v>
      </c>
      <c r="F17" s="627" t="s">
        <v>151</v>
      </c>
      <c r="G17" s="630"/>
      <c r="H17" s="629">
        <v>250000.0</v>
      </c>
      <c r="I17" s="627">
        <v>1.0</v>
      </c>
      <c r="J17" s="628"/>
      <c r="K17" s="630"/>
      <c r="L17" s="627" t="s">
        <v>2792</v>
      </c>
      <c r="M17" s="630"/>
      <c r="N17" s="631"/>
      <c r="O17" s="570" t="s">
        <v>2793</v>
      </c>
      <c r="P17" s="632"/>
      <c r="Q17" s="630"/>
      <c r="R17" s="627" t="s">
        <v>410</v>
      </c>
      <c r="S17" s="630"/>
      <c r="T17" s="630"/>
      <c r="U17" s="630"/>
      <c r="V17" s="630"/>
      <c r="W17" s="630"/>
      <c r="X17" s="630"/>
      <c r="Y17" s="634"/>
      <c r="Z17" s="630"/>
      <c r="AA17" s="630"/>
      <c r="AB17" s="630"/>
      <c r="AC17" s="630"/>
      <c r="AD17" s="630"/>
      <c r="AE17" s="630"/>
      <c r="AF17" s="630"/>
      <c r="AG17" s="630"/>
      <c r="AH17" s="630"/>
      <c r="AI17" s="630"/>
      <c r="AJ17" s="630"/>
    </row>
    <row r="18">
      <c r="A18" s="627" t="s">
        <v>1438</v>
      </c>
      <c r="B18" s="630"/>
      <c r="C18" s="627">
        <v>9.0</v>
      </c>
      <c r="D18" s="629">
        <v>100000.0</v>
      </c>
      <c r="E18" s="627" t="s">
        <v>2514</v>
      </c>
      <c r="F18" s="627" t="s">
        <v>2762</v>
      </c>
      <c r="G18" s="630"/>
      <c r="H18" s="629">
        <v>100000.0</v>
      </c>
      <c r="I18" s="627">
        <v>4.0</v>
      </c>
      <c r="J18" s="628"/>
      <c r="K18" s="630"/>
      <c r="L18" s="627" t="s">
        <v>2794</v>
      </c>
      <c r="M18" s="630"/>
      <c r="N18" s="631"/>
      <c r="O18" s="570" t="s">
        <v>1502</v>
      </c>
      <c r="P18" s="632"/>
      <c r="Q18" s="630"/>
      <c r="R18" s="627" t="s">
        <v>2770</v>
      </c>
      <c r="S18" s="630"/>
      <c r="T18" s="630"/>
      <c r="U18" s="630"/>
      <c r="V18" s="630"/>
      <c r="W18" s="630"/>
      <c r="X18" s="630"/>
      <c r="Y18" s="634"/>
      <c r="Z18" s="630"/>
      <c r="AA18" s="630"/>
      <c r="AB18" s="630"/>
      <c r="AC18" s="630"/>
      <c r="AD18" s="630"/>
      <c r="AE18" s="630"/>
      <c r="AF18" s="630"/>
      <c r="AG18" s="630"/>
      <c r="AH18" s="630"/>
      <c r="AI18" s="630"/>
      <c r="AJ18" s="630"/>
    </row>
    <row r="19">
      <c r="A19" s="627" t="s">
        <v>1432</v>
      </c>
      <c r="B19" s="630"/>
      <c r="C19" s="627">
        <v>9.0</v>
      </c>
      <c r="D19" s="629">
        <v>110000.0</v>
      </c>
      <c r="E19" s="627" t="s">
        <v>2795</v>
      </c>
      <c r="F19" s="627" t="s">
        <v>23</v>
      </c>
      <c r="G19" s="630"/>
      <c r="H19" s="629">
        <v>110000.0</v>
      </c>
      <c r="I19" s="627">
        <v>3.0</v>
      </c>
      <c r="J19" s="628"/>
      <c r="K19" s="630"/>
      <c r="L19" s="627" t="s">
        <v>2796</v>
      </c>
      <c r="M19" s="630"/>
      <c r="N19" s="631"/>
      <c r="O19" s="570" t="s">
        <v>1502</v>
      </c>
      <c r="P19" s="632"/>
      <c r="Q19" s="630"/>
      <c r="R19" s="627" t="s">
        <v>2770</v>
      </c>
      <c r="S19" s="630"/>
      <c r="T19" s="630"/>
      <c r="U19" s="630"/>
      <c r="V19" s="630"/>
      <c r="W19" s="630"/>
      <c r="X19" s="630"/>
      <c r="Y19" s="634"/>
      <c r="Z19" s="630"/>
      <c r="AA19" s="630"/>
      <c r="AB19" s="630"/>
      <c r="AC19" s="630"/>
      <c r="AD19" s="630"/>
      <c r="AE19" s="630"/>
      <c r="AF19" s="630"/>
      <c r="AG19" s="630"/>
      <c r="AH19" s="630"/>
      <c r="AI19" s="630"/>
      <c r="AJ19" s="630"/>
    </row>
    <row r="20">
      <c r="A20" s="627" t="s">
        <v>1442</v>
      </c>
      <c r="B20" s="630"/>
      <c r="C20" s="627">
        <v>9.0</v>
      </c>
      <c r="D20" s="629">
        <v>100000.0</v>
      </c>
      <c r="E20" s="627" t="s">
        <v>64</v>
      </c>
      <c r="F20" s="627" t="s">
        <v>2762</v>
      </c>
      <c r="G20" s="630"/>
      <c r="H20" s="629">
        <v>100000.0</v>
      </c>
      <c r="I20" s="627">
        <v>2.0</v>
      </c>
      <c r="J20" s="628"/>
      <c r="K20" s="630"/>
      <c r="L20" s="627" t="s">
        <v>2797</v>
      </c>
      <c r="M20" s="630"/>
      <c r="N20" s="631"/>
      <c r="O20" s="570" t="s">
        <v>1502</v>
      </c>
      <c r="P20" s="632"/>
      <c r="Q20" s="630"/>
      <c r="R20" s="627" t="s">
        <v>2770</v>
      </c>
      <c r="S20" s="630"/>
      <c r="T20" s="630"/>
      <c r="U20" s="630"/>
      <c r="V20" s="630"/>
      <c r="W20" s="630"/>
      <c r="X20" s="630"/>
      <c r="Y20" s="634"/>
      <c r="Z20" s="630"/>
      <c r="AA20" s="630"/>
      <c r="AB20" s="630"/>
      <c r="AC20" s="630"/>
      <c r="AD20" s="630"/>
      <c r="AE20" s="630"/>
      <c r="AF20" s="630"/>
      <c r="AG20" s="630"/>
      <c r="AH20" s="630"/>
      <c r="AI20" s="630"/>
      <c r="AJ20" s="630"/>
    </row>
    <row r="21">
      <c r="A21" s="627" t="s">
        <v>1488</v>
      </c>
      <c r="B21" s="627" t="s">
        <v>1489</v>
      </c>
      <c r="C21" s="627">
        <v>9.0</v>
      </c>
      <c r="D21" s="629">
        <v>1000000.0</v>
      </c>
      <c r="E21" s="627" t="s">
        <v>28</v>
      </c>
      <c r="F21" s="627" t="s">
        <v>23</v>
      </c>
      <c r="G21" s="630"/>
      <c r="H21" s="629">
        <v>1000000.0</v>
      </c>
      <c r="I21" s="627">
        <v>1.0</v>
      </c>
      <c r="J21" s="628"/>
      <c r="K21" s="630"/>
      <c r="L21" s="627" t="s">
        <v>2798</v>
      </c>
      <c r="M21" s="630"/>
      <c r="N21" s="631"/>
      <c r="O21" s="570" t="s">
        <v>1491</v>
      </c>
      <c r="P21" s="632"/>
      <c r="Q21" s="630"/>
      <c r="R21" s="627" t="s">
        <v>247</v>
      </c>
      <c r="S21" s="630"/>
      <c r="T21" s="630"/>
      <c r="U21" s="630"/>
      <c r="V21" s="630"/>
      <c r="W21" s="630"/>
      <c r="X21" s="630"/>
      <c r="Y21" s="634"/>
      <c r="Z21" s="630"/>
      <c r="AA21" s="630"/>
      <c r="AB21" s="630"/>
      <c r="AC21" s="630"/>
      <c r="AD21" s="630"/>
      <c r="AE21" s="630"/>
      <c r="AF21" s="630"/>
      <c r="AG21" s="630"/>
      <c r="AH21" s="630"/>
      <c r="AI21" s="630"/>
      <c r="AJ21" s="630"/>
    </row>
    <row r="22">
      <c r="A22" s="550" t="s">
        <v>1568</v>
      </c>
      <c r="B22" s="555"/>
      <c r="C22" s="584">
        <v>8.0</v>
      </c>
      <c r="D22" s="551">
        <v>1800000.0</v>
      </c>
      <c r="E22" s="550" t="s">
        <v>2125</v>
      </c>
      <c r="F22" s="550" t="s">
        <v>23</v>
      </c>
      <c r="G22" s="550" t="s">
        <v>29</v>
      </c>
      <c r="H22" s="551">
        <v>1800000.0</v>
      </c>
      <c r="I22" s="550">
        <v>2.0</v>
      </c>
      <c r="J22" s="555"/>
      <c r="K22" s="653"/>
      <c r="L22" s="584" t="s">
        <v>2799</v>
      </c>
      <c r="M22" s="555"/>
      <c r="N22" s="565"/>
      <c r="O22" s="570" t="s">
        <v>2800</v>
      </c>
      <c r="P22" s="566"/>
      <c r="Q22" s="644"/>
      <c r="R22" s="654" t="s">
        <v>2801</v>
      </c>
      <c r="S22" s="650"/>
      <c r="T22" s="650"/>
      <c r="U22" s="650"/>
      <c r="V22" s="650"/>
      <c r="W22" s="650"/>
      <c r="X22" s="650"/>
      <c r="Y22" s="568"/>
      <c r="Z22" s="650"/>
      <c r="AA22" s="650"/>
      <c r="AB22" s="650"/>
      <c r="AC22" s="650"/>
      <c r="AD22" s="650"/>
      <c r="AE22" s="650"/>
      <c r="AF22" s="650"/>
      <c r="AG22" s="650"/>
      <c r="AH22" s="650"/>
      <c r="AI22" s="650"/>
      <c r="AJ22" s="650"/>
    </row>
    <row r="23">
      <c r="A23" s="550" t="s">
        <v>1533</v>
      </c>
      <c r="B23" s="550" t="s">
        <v>1534</v>
      </c>
      <c r="C23" s="584">
        <v>8.0</v>
      </c>
      <c r="D23" s="551">
        <v>1500000.0</v>
      </c>
      <c r="E23" s="550" t="s">
        <v>2153</v>
      </c>
      <c r="F23" s="550" t="s">
        <v>23</v>
      </c>
      <c r="G23" s="555"/>
      <c r="H23" s="551">
        <v>1500000.0</v>
      </c>
      <c r="I23" s="550">
        <v>3.0</v>
      </c>
      <c r="J23" s="555"/>
      <c r="K23" s="653"/>
      <c r="L23" s="584" t="s">
        <v>2802</v>
      </c>
      <c r="M23" s="555"/>
      <c r="N23" s="565"/>
      <c r="O23" s="570" t="s">
        <v>1536</v>
      </c>
      <c r="P23" s="570" t="s">
        <v>2800</v>
      </c>
      <c r="Q23" s="650"/>
      <c r="R23" s="654" t="s">
        <v>2801</v>
      </c>
      <c r="S23" s="570" t="s">
        <v>2803</v>
      </c>
      <c r="T23" s="650"/>
      <c r="U23" s="650"/>
      <c r="V23" s="650"/>
      <c r="W23" s="650"/>
      <c r="X23" s="650"/>
      <c r="Y23" s="568"/>
      <c r="Z23" s="650"/>
      <c r="AA23" s="650"/>
      <c r="AB23" s="650"/>
      <c r="AC23" s="650"/>
      <c r="AD23" s="650"/>
      <c r="AE23" s="650"/>
      <c r="AF23" s="650"/>
      <c r="AG23" s="650"/>
      <c r="AH23" s="650"/>
      <c r="AI23" s="650"/>
      <c r="AJ23" s="650"/>
    </row>
    <row r="24">
      <c r="A24" s="550" t="s">
        <v>1543</v>
      </c>
      <c r="B24" s="550" t="s">
        <v>1542</v>
      </c>
      <c r="C24" s="584">
        <v>8.0</v>
      </c>
      <c r="D24" s="551">
        <v>3000000.0</v>
      </c>
      <c r="E24" s="550" t="s">
        <v>2153</v>
      </c>
      <c r="F24" s="550" t="s">
        <v>23</v>
      </c>
      <c r="G24" s="550" t="s">
        <v>29</v>
      </c>
      <c r="H24" s="551">
        <v>3000000.0</v>
      </c>
      <c r="I24" s="550">
        <v>5.0</v>
      </c>
      <c r="J24" s="571"/>
      <c r="K24" s="653"/>
      <c r="L24" s="584" t="s">
        <v>2804</v>
      </c>
      <c r="M24" s="555"/>
      <c r="N24" s="565"/>
      <c r="O24" s="570" t="s">
        <v>1545</v>
      </c>
      <c r="P24" s="566"/>
      <c r="Q24" s="650"/>
      <c r="R24" s="654" t="s">
        <v>608</v>
      </c>
      <c r="S24" s="650"/>
      <c r="T24" s="650"/>
      <c r="U24" s="650"/>
      <c r="V24" s="650"/>
      <c r="W24" s="650"/>
      <c r="X24" s="650"/>
      <c r="Y24" s="568"/>
      <c r="Z24" s="650"/>
      <c r="AA24" s="650"/>
      <c r="AB24" s="650"/>
      <c r="AC24" s="650"/>
      <c r="AD24" s="650"/>
      <c r="AE24" s="650"/>
      <c r="AF24" s="650"/>
      <c r="AG24" s="650"/>
      <c r="AH24" s="650"/>
      <c r="AI24" s="650"/>
      <c r="AJ24" s="650"/>
    </row>
    <row r="25">
      <c r="A25" s="550" t="s">
        <v>1564</v>
      </c>
      <c r="B25" s="550" t="s">
        <v>1565</v>
      </c>
      <c r="C25" s="550">
        <v>8.0</v>
      </c>
      <c r="D25" s="551" t="s">
        <v>2805</v>
      </c>
      <c r="E25" s="550" t="s">
        <v>236</v>
      </c>
      <c r="F25" s="550" t="s">
        <v>23</v>
      </c>
      <c r="G25" s="555"/>
      <c r="H25" s="551" t="s">
        <v>2805</v>
      </c>
      <c r="I25" s="550">
        <v>2.0</v>
      </c>
      <c r="J25" s="595"/>
      <c r="K25" s="555"/>
      <c r="L25" s="584" t="s">
        <v>2806</v>
      </c>
      <c r="M25" s="555"/>
      <c r="N25" s="565"/>
      <c r="O25" s="570" t="s">
        <v>2807</v>
      </c>
      <c r="P25" s="570" t="s">
        <v>2808</v>
      </c>
      <c r="Q25" s="555"/>
      <c r="R25" s="555"/>
      <c r="S25" s="570" t="s">
        <v>2809</v>
      </c>
      <c r="T25" s="650"/>
      <c r="U25" s="644"/>
      <c r="V25" s="650"/>
      <c r="W25" s="650"/>
      <c r="X25" s="650"/>
      <c r="Y25" s="568"/>
      <c r="Z25" s="555"/>
      <c r="AA25" s="555"/>
      <c r="AB25" s="555"/>
      <c r="AC25" s="555"/>
      <c r="AD25" s="555"/>
      <c r="AE25" s="555"/>
      <c r="AF25" s="555"/>
      <c r="AG25" s="555"/>
      <c r="AH25" s="555"/>
      <c r="AI25" s="555"/>
      <c r="AJ25" s="555"/>
    </row>
    <row r="26">
      <c r="A26" s="550" t="s">
        <v>1546</v>
      </c>
      <c r="B26" s="555"/>
      <c r="C26" s="584">
        <v>8.0</v>
      </c>
      <c r="D26" s="551">
        <v>800000.0</v>
      </c>
      <c r="E26" s="550" t="s">
        <v>64</v>
      </c>
      <c r="F26" s="550" t="s">
        <v>2810</v>
      </c>
      <c r="G26" s="555"/>
      <c r="H26" s="551">
        <v>800000.0</v>
      </c>
      <c r="I26" s="550">
        <v>2.0</v>
      </c>
      <c r="J26" s="555"/>
      <c r="K26" s="653"/>
      <c r="L26" s="584" t="s">
        <v>2811</v>
      </c>
      <c r="M26" s="555"/>
      <c r="N26" s="565"/>
      <c r="O26" s="570" t="s">
        <v>2800</v>
      </c>
      <c r="P26" s="570" t="s">
        <v>2812</v>
      </c>
      <c r="Q26" s="650"/>
      <c r="R26" s="654" t="s">
        <v>2801</v>
      </c>
      <c r="S26" s="650"/>
      <c r="T26" s="650"/>
      <c r="U26" s="650"/>
      <c r="V26" s="650"/>
      <c r="W26" s="650"/>
      <c r="X26" s="650"/>
      <c r="Y26" s="568"/>
      <c r="Z26" s="650"/>
      <c r="AA26" s="650"/>
      <c r="AB26" s="650"/>
      <c r="AC26" s="650"/>
      <c r="AD26" s="650"/>
      <c r="AE26" s="650"/>
      <c r="AF26" s="650"/>
      <c r="AG26" s="650"/>
      <c r="AH26" s="650"/>
      <c r="AI26" s="650"/>
      <c r="AJ26" s="650"/>
    </row>
    <row r="27">
      <c r="A27" s="550" t="s">
        <v>1558</v>
      </c>
      <c r="B27" s="584" t="s">
        <v>1559</v>
      </c>
      <c r="C27" s="584">
        <v>8.0</v>
      </c>
      <c r="D27" s="551">
        <v>780000.0</v>
      </c>
      <c r="E27" s="550" t="s">
        <v>2520</v>
      </c>
      <c r="F27" s="550" t="s">
        <v>23</v>
      </c>
      <c r="G27" s="555"/>
      <c r="H27" s="551">
        <v>780000.0</v>
      </c>
      <c r="I27" s="552" t="s">
        <v>1770</v>
      </c>
      <c r="J27" s="555"/>
      <c r="K27" s="653"/>
      <c r="L27" s="584" t="s">
        <v>2813</v>
      </c>
      <c r="M27" s="555"/>
      <c r="N27" s="565"/>
      <c r="O27" s="570" t="s">
        <v>2800</v>
      </c>
      <c r="P27" s="570" t="s">
        <v>2814</v>
      </c>
      <c r="Q27" s="649" t="s">
        <v>1905</v>
      </c>
      <c r="R27" s="654" t="s">
        <v>2801</v>
      </c>
      <c r="S27" s="650"/>
      <c r="T27" s="650"/>
      <c r="U27" s="650"/>
      <c r="V27" s="650"/>
      <c r="W27" s="650"/>
      <c r="X27" s="650"/>
      <c r="Y27" s="568"/>
      <c r="Z27" s="650"/>
      <c r="AA27" s="650"/>
      <c r="AB27" s="650"/>
      <c r="AC27" s="650"/>
      <c r="AD27" s="650"/>
      <c r="AE27" s="650"/>
      <c r="AF27" s="650"/>
      <c r="AG27" s="650"/>
      <c r="AH27" s="650"/>
      <c r="AI27" s="650"/>
      <c r="AJ27" s="650"/>
    </row>
    <row r="28">
      <c r="A28" s="550" t="s">
        <v>1538</v>
      </c>
      <c r="B28" s="555"/>
      <c r="C28" s="550">
        <v>8.0</v>
      </c>
      <c r="D28" s="551">
        <v>228435.0</v>
      </c>
      <c r="E28" s="550" t="s">
        <v>2514</v>
      </c>
      <c r="F28" s="550" t="s">
        <v>59</v>
      </c>
      <c r="G28" s="555"/>
      <c r="H28" s="551">
        <v>228435.0</v>
      </c>
      <c r="I28" s="550">
        <v>4.0</v>
      </c>
      <c r="J28" s="595"/>
      <c r="K28" s="555"/>
      <c r="L28" s="550" t="s">
        <v>2815</v>
      </c>
      <c r="M28" s="555"/>
      <c r="N28" s="565"/>
      <c r="O28" s="570" t="s">
        <v>2816</v>
      </c>
      <c r="P28" s="570" t="s">
        <v>2755</v>
      </c>
      <c r="Q28" s="555"/>
      <c r="R28" s="555"/>
      <c r="S28" s="650"/>
      <c r="T28" s="650"/>
      <c r="U28" s="644"/>
      <c r="V28" s="650"/>
      <c r="W28" s="650"/>
      <c r="X28" s="650"/>
      <c r="Y28" s="568"/>
      <c r="Z28" s="555"/>
      <c r="AA28" s="555"/>
      <c r="AB28" s="555"/>
      <c r="AC28" s="555"/>
      <c r="AD28" s="555"/>
      <c r="AE28" s="555"/>
      <c r="AF28" s="555"/>
      <c r="AG28" s="555"/>
      <c r="AH28" s="555"/>
      <c r="AI28" s="555"/>
      <c r="AJ28" s="555"/>
    </row>
    <row r="29">
      <c r="A29" s="550" t="s">
        <v>1549</v>
      </c>
      <c r="B29" s="555"/>
      <c r="C29" s="550">
        <v>8.0</v>
      </c>
      <c r="D29" s="551">
        <v>315000.0</v>
      </c>
      <c r="E29" s="550" t="s">
        <v>2514</v>
      </c>
      <c r="F29" s="550" t="s">
        <v>360</v>
      </c>
      <c r="G29" s="555"/>
      <c r="H29" s="551">
        <v>315000.0</v>
      </c>
      <c r="I29" s="550">
        <v>4.0</v>
      </c>
      <c r="J29" s="595"/>
      <c r="K29" s="555"/>
      <c r="L29" s="584" t="s">
        <v>2817</v>
      </c>
      <c r="M29" s="555"/>
      <c r="N29" s="565"/>
      <c r="O29" s="570" t="s">
        <v>2755</v>
      </c>
      <c r="P29" s="566"/>
      <c r="Q29" s="555"/>
      <c r="R29" s="555"/>
      <c r="S29" s="650"/>
      <c r="T29" s="650"/>
      <c r="U29" s="644"/>
      <c r="V29" s="650"/>
      <c r="W29" s="650"/>
      <c r="X29" s="650"/>
      <c r="Y29" s="568"/>
      <c r="Z29" s="555"/>
      <c r="AA29" s="555"/>
      <c r="AB29" s="555"/>
      <c r="AC29" s="555"/>
      <c r="AD29" s="555"/>
      <c r="AE29" s="555"/>
      <c r="AF29" s="555"/>
      <c r="AG29" s="555"/>
      <c r="AH29" s="555"/>
      <c r="AI29" s="555"/>
      <c r="AJ29" s="555"/>
    </row>
    <row r="30">
      <c r="A30" s="550" t="s">
        <v>1452</v>
      </c>
      <c r="B30" s="555"/>
      <c r="C30" s="550">
        <v>8.0</v>
      </c>
      <c r="D30" s="551" t="s">
        <v>2818</v>
      </c>
      <c r="E30" s="550" t="s">
        <v>1612</v>
      </c>
      <c r="F30" s="550" t="s">
        <v>2783</v>
      </c>
      <c r="G30" s="555"/>
      <c r="H30" s="551">
        <v>1.2367232E7</v>
      </c>
      <c r="I30" s="550">
        <v>2.0</v>
      </c>
      <c r="J30" s="595"/>
      <c r="K30" s="555"/>
      <c r="L30" s="584" t="s">
        <v>2819</v>
      </c>
      <c r="M30" s="555"/>
      <c r="N30" s="565"/>
      <c r="O30" s="570" t="s">
        <v>1614</v>
      </c>
      <c r="P30" s="570" t="s">
        <v>1615</v>
      </c>
      <c r="Q30" s="555"/>
      <c r="R30" s="555"/>
      <c r="S30" s="650"/>
      <c r="T30" s="650"/>
      <c r="U30" s="644"/>
      <c r="V30" s="650"/>
      <c r="W30" s="650"/>
      <c r="X30" s="650"/>
      <c r="Y30" s="568"/>
      <c r="Z30" s="555"/>
      <c r="AA30" s="555"/>
      <c r="AB30" s="555"/>
      <c r="AC30" s="555"/>
      <c r="AD30" s="555"/>
      <c r="AE30" s="555"/>
      <c r="AF30" s="555"/>
      <c r="AG30" s="555"/>
      <c r="AH30" s="555"/>
      <c r="AI30" s="555"/>
      <c r="AJ30" s="555"/>
    </row>
    <row r="31">
      <c r="A31" s="550" t="s">
        <v>996</v>
      </c>
      <c r="B31" s="555"/>
      <c r="C31" s="584">
        <v>8.0</v>
      </c>
      <c r="D31" s="551">
        <v>450000.0</v>
      </c>
      <c r="E31" s="550" t="s">
        <v>1227</v>
      </c>
      <c r="F31" s="550" t="s">
        <v>23</v>
      </c>
      <c r="G31" s="555"/>
      <c r="H31" s="551">
        <v>450000.0</v>
      </c>
      <c r="I31" s="550">
        <v>1.0</v>
      </c>
      <c r="J31" s="555"/>
      <c r="K31" s="653"/>
      <c r="L31" s="584" t="s">
        <v>2820</v>
      </c>
      <c r="M31" s="555"/>
      <c r="N31" s="565"/>
      <c r="O31" s="570" t="s">
        <v>2821</v>
      </c>
      <c r="P31" s="570" t="s">
        <v>2822</v>
      </c>
      <c r="Q31" s="650"/>
      <c r="R31" s="654" t="s">
        <v>152</v>
      </c>
      <c r="S31" s="650"/>
      <c r="T31" s="650"/>
      <c r="U31" s="650"/>
      <c r="V31" s="650"/>
      <c r="W31" s="650"/>
      <c r="X31" s="650"/>
      <c r="Y31" s="568"/>
      <c r="Z31" s="644"/>
      <c r="AA31" s="650"/>
      <c r="AB31" s="650"/>
      <c r="AC31" s="555"/>
      <c r="AD31" s="650"/>
      <c r="AE31" s="650"/>
      <c r="AF31" s="650"/>
      <c r="AG31" s="650"/>
      <c r="AH31" s="650"/>
      <c r="AI31" s="650"/>
      <c r="AJ31" s="650"/>
    </row>
    <row r="32">
      <c r="A32" s="550" t="s">
        <v>1583</v>
      </c>
      <c r="B32" s="550" t="s">
        <v>1584</v>
      </c>
      <c r="C32" s="550">
        <v>8.0</v>
      </c>
      <c r="D32" s="551">
        <v>8700000.0</v>
      </c>
      <c r="E32" s="550" t="s">
        <v>129</v>
      </c>
      <c r="F32" s="550" t="s">
        <v>23</v>
      </c>
      <c r="G32" s="555"/>
      <c r="H32" s="551">
        <v>8700000.0</v>
      </c>
      <c r="I32" s="550">
        <v>2.0</v>
      </c>
      <c r="J32" s="595"/>
      <c r="K32" s="555"/>
      <c r="L32" s="584" t="s">
        <v>2823</v>
      </c>
      <c r="M32" s="555"/>
      <c r="N32" s="565"/>
      <c r="O32" s="570" t="s">
        <v>1587</v>
      </c>
      <c r="P32" s="570" t="s">
        <v>1588</v>
      </c>
      <c r="Q32" s="555"/>
      <c r="R32" s="650"/>
      <c r="S32" s="650"/>
      <c r="T32" s="650"/>
      <c r="U32" s="644"/>
      <c r="V32" s="650"/>
      <c r="W32" s="650"/>
      <c r="X32" s="650"/>
      <c r="Y32" s="568"/>
      <c r="Z32" s="555"/>
      <c r="AA32" s="555"/>
      <c r="AB32" s="555"/>
      <c r="AC32" s="555"/>
      <c r="AD32" s="555"/>
      <c r="AE32" s="555"/>
      <c r="AF32" s="555"/>
      <c r="AG32" s="555"/>
      <c r="AH32" s="555"/>
      <c r="AI32" s="555"/>
      <c r="AJ32" s="555"/>
    </row>
    <row r="33">
      <c r="A33" s="550" t="s">
        <v>1579</v>
      </c>
      <c r="B33" s="550" t="s">
        <v>1580</v>
      </c>
      <c r="C33" s="550">
        <v>8.0</v>
      </c>
      <c r="D33" s="551">
        <v>420000.0</v>
      </c>
      <c r="E33" s="550" t="s">
        <v>28</v>
      </c>
      <c r="F33" s="550" t="s">
        <v>2783</v>
      </c>
      <c r="G33" s="555"/>
      <c r="H33" s="551">
        <v>420000.0</v>
      </c>
      <c r="I33" s="550">
        <v>4.0</v>
      </c>
      <c r="J33" s="595"/>
      <c r="K33" s="555"/>
      <c r="L33" s="584" t="s">
        <v>2824</v>
      </c>
      <c r="M33" s="555"/>
      <c r="N33" s="565"/>
      <c r="O33" s="570" t="s">
        <v>1582</v>
      </c>
      <c r="P33" s="566"/>
      <c r="Q33" s="555"/>
      <c r="R33" s="555"/>
      <c r="S33" s="650"/>
      <c r="T33" s="650"/>
      <c r="U33" s="644"/>
      <c r="V33" s="650"/>
      <c r="W33" s="650"/>
      <c r="X33" s="650"/>
      <c r="Y33" s="568"/>
      <c r="Z33" s="555"/>
      <c r="AA33" s="555"/>
      <c r="AB33" s="555"/>
      <c r="AC33" s="555"/>
      <c r="AD33" s="555"/>
      <c r="AE33" s="555"/>
      <c r="AF33" s="555"/>
      <c r="AG33" s="555"/>
      <c r="AH33" s="555"/>
      <c r="AI33" s="555"/>
      <c r="AJ33" s="555"/>
    </row>
    <row r="34">
      <c r="A34" s="550" t="s">
        <v>1597</v>
      </c>
      <c r="B34" s="555"/>
      <c r="C34" s="550">
        <v>8.0</v>
      </c>
      <c r="D34" s="551">
        <v>8000000.0</v>
      </c>
      <c r="E34" s="550" t="s">
        <v>28</v>
      </c>
      <c r="F34" s="550" t="s">
        <v>2783</v>
      </c>
      <c r="G34" s="555"/>
      <c r="H34" s="551">
        <v>8000000.0</v>
      </c>
      <c r="I34" s="550">
        <v>4.0</v>
      </c>
      <c r="J34" s="595"/>
      <c r="K34" s="555"/>
      <c r="L34" s="584" t="s">
        <v>2825</v>
      </c>
      <c r="M34" s="555"/>
      <c r="N34" s="565"/>
      <c r="O34" s="570" t="s">
        <v>1600</v>
      </c>
      <c r="P34" s="570" t="s">
        <v>2826</v>
      </c>
      <c r="Q34" s="555"/>
      <c r="R34" s="555"/>
      <c r="S34" s="650"/>
      <c r="T34" s="650"/>
      <c r="U34" s="644"/>
      <c r="V34" s="650"/>
      <c r="W34" s="650"/>
      <c r="X34" s="650"/>
      <c r="Y34" s="568"/>
      <c r="Z34" s="555"/>
      <c r="AA34" s="555"/>
      <c r="AB34" s="555"/>
      <c r="AC34" s="555"/>
      <c r="AD34" s="555"/>
      <c r="AE34" s="555"/>
      <c r="AF34" s="555"/>
      <c r="AG34" s="555"/>
      <c r="AH34" s="555"/>
      <c r="AI34" s="555"/>
      <c r="AJ34" s="555"/>
    </row>
    <row r="35">
      <c r="A35" s="581" t="s">
        <v>1604</v>
      </c>
      <c r="B35" s="550" t="s">
        <v>1605</v>
      </c>
      <c r="C35" s="584">
        <v>8.0</v>
      </c>
      <c r="D35" s="551">
        <v>163792.0</v>
      </c>
      <c r="E35" s="550" t="s">
        <v>1607</v>
      </c>
      <c r="F35" s="550" t="s">
        <v>2783</v>
      </c>
      <c r="G35" s="555"/>
      <c r="H35" s="551">
        <v>163792.0</v>
      </c>
      <c r="I35" s="550">
        <v>4.0</v>
      </c>
      <c r="J35" s="571"/>
      <c r="K35" s="653"/>
      <c r="L35" s="550" t="s">
        <v>2827</v>
      </c>
      <c r="M35" s="555"/>
      <c r="N35" s="565"/>
      <c r="O35" s="570" t="s">
        <v>1609</v>
      </c>
      <c r="P35" s="566"/>
      <c r="Q35" s="650"/>
      <c r="R35" s="654" t="s">
        <v>1608</v>
      </c>
      <c r="S35" s="650"/>
      <c r="T35" s="650"/>
      <c r="U35" s="650"/>
      <c r="V35" s="650"/>
      <c r="W35" s="650"/>
      <c r="X35" s="650"/>
      <c r="Y35" s="568"/>
      <c r="Z35" s="650"/>
      <c r="AA35" s="650"/>
      <c r="AB35" s="650"/>
      <c r="AC35" s="650"/>
      <c r="AD35" s="650"/>
      <c r="AE35" s="650"/>
      <c r="AF35" s="650"/>
      <c r="AG35" s="650"/>
      <c r="AH35" s="650"/>
      <c r="AI35" s="650"/>
      <c r="AJ35" s="650"/>
    </row>
    <row r="36">
      <c r="A36" s="627" t="s">
        <v>1616</v>
      </c>
      <c r="B36" s="630"/>
      <c r="C36" s="627">
        <v>8.0</v>
      </c>
      <c r="D36" s="629">
        <v>9000000.0</v>
      </c>
      <c r="E36" s="627" t="s">
        <v>64</v>
      </c>
      <c r="F36" s="627" t="s">
        <v>2828</v>
      </c>
      <c r="G36" s="630"/>
      <c r="H36" s="629">
        <v>9000000.0</v>
      </c>
      <c r="I36" s="627">
        <v>2.0</v>
      </c>
      <c r="J36" s="628"/>
      <c r="K36" s="630"/>
      <c r="L36" s="627" t="s">
        <v>2829</v>
      </c>
      <c r="M36" s="630"/>
      <c r="N36" s="631"/>
      <c r="O36" s="570" t="s">
        <v>1618</v>
      </c>
      <c r="P36" s="632"/>
      <c r="Q36" s="630"/>
      <c r="R36" s="627" t="s">
        <v>410</v>
      </c>
      <c r="S36" s="630"/>
      <c r="T36" s="630"/>
      <c r="U36" s="630"/>
      <c r="V36" s="630"/>
      <c r="W36" s="630"/>
      <c r="X36" s="630"/>
      <c r="Y36" s="634"/>
      <c r="Z36" s="630"/>
      <c r="AA36" s="630"/>
      <c r="AB36" s="630"/>
      <c r="AC36" s="630"/>
      <c r="AD36" s="630"/>
      <c r="AE36" s="630"/>
      <c r="AF36" s="630"/>
      <c r="AG36" s="630"/>
      <c r="AH36" s="630"/>
      <c r="AI36" s="630"/>
      <c r="AJ36" s="630"/>
    </row>
    <row r="37">
      <c r="A37" s="550" t="s">
        <v>1670</v>
      </c>
      <c r="B37" s="555"/>
      <c r="C37" s="550">
        <v>7.0</v>
      </c>
      <c r="D37" s="551">
        <v>73000.0</v>
      </c>
      <c r="E37" s="550" t="s">
        <v>2060</v>
      </c>
      <c r="F37" s="550" t="s">
        <v>23</v>
      </c>
      <c r="G37" s="555"/>
      <c r="H37" s="551">
        <v>73000.0</v>
      </c>
      <c r="I37" s="550">
        <v>2.0</v>
      </c>
      <c r="J37" s="595"/>
      <c r="K37" s="555"/>
      <c r="L37" s="584" t="s">
        <v>2830</v>
      </c>
      <c r="M37" s="555"/>
      <c r="N37" s="565"/>
      <c r="O37" s="570" t="s">
        <v>2800</v>
      </c>
      <c r="P37" s="566"/>
      <c r="Q37" s="555"/>
      <c r="R37" s="555"/>
      <c r="S37" s="650"/>
      <c r="T37" s="650"/>
      <c r="U37" s="644"/>
      <c r="V37" s="650"/>
      <c r="W37" s="650"/>
      <c r="X37" s="650"/>
      <c r="Y37" s="568"/>
      <c r="Z37" s="555"/>
      <c r="AA37" s="555"/>
      <c r="AB37" s="555"/>
      <c r="AC37" s="555"/>
      <c r="AD37" s="555"/>
      <c r="AE37" s="555"/>
      <c r="AF37" s="555"/>
      <c r="AG37" s="555"/>
      <c r="AH37" s="555"/>
      <c r="AI37" s="555"/>
      <c r="AJ37" s="555"/>
    </row>
    <row r="38">
      <c r="A38" s="550" t="s">
        <v>1400</v>
      </c>
      <c r="B38" s="555"/>
      <c r="C38" s="584">
        <v>7.0</v>
      </c>
      <c r="D38" s="551">
        <v>360083.0</v>
      </c>
      <c r="E38" s="550" t="s">
        <v>2153</v>
      </c>
      <c r="F38" s="550" t="s">
        <v>23</v>
      </c>
      <c r="G38" s="555"/>
      <c r="H38" s="551">
        <v>360083.0</v>
      </c>
      <c r="I38" s="550">
        <v>3.0</v>
      </c>
      <c r="J38" s="555"/>
      <c r="K38" s="653"/>
      <c r="L38" s="584" t="s">
        <v>2831</v>
      </c>
      <c r="M38" s="555"/>
      <c r="N38" s="565"/>
      <c r="O38" s="570" t="s">
        <v>1698</v>
      </c>
      <c r="P38" s="570" t="s">
        <v>2800</v>
      </c>
      <c r="Q38" s="644"/>
      <c r="R38" s="654" t="s">
        <v>1608</v>
      </c>
      <c r="S38" s="650"/>
      <c r="T38" s="650"/>
      <c r="U38" s="650"/>
      <c r="V38" s="650"/>
      <c r="W38" s="650"/>
      <c r="X38" s="650"/>
      <c r="Y38" s="568"/>
      <c r="Z38" s="650"/>
      <c r="AA38" s="650"/>
      <c r="AB38" s="650"/>
      <c r="AC38" s="650"/>
      <c r="AD38" s="650"/>
      <c r="AE38" s="650"/>
      <c r="AF38" s="650"/>
      <c r="AG38" s="650"/>
      <c r="AH38" s="650"/>
      <c r="AI38" s="650"/>
      <c r="AJ38" s="650"/>
    </row>
    <row r="39">
      <c r="A39" s="550" t="s">
        <v>1652</v>
      </c>
      <c r="B39" s="555"/>
      <c r="C39" s="584">
        <v>7.0</v>
      </c>
      <c r="D39" s="551">
        <v>34000.0</v>
      </c>
      <c r="E39" s="550" t="s">
        <v>2153</v>
      </c>
      <c r="F39" s="550" t="s">
        <v>2832</v>
      </c>
      <c r="G39" s="550" t="s">
        <v>29</v>
      </c>
      <c r="H39" s="551">
        <v>34000.0</v>
      </c>
      <c r="I39" s="550">
        <v>3.0</v>
      </c>
      <c r="J39" s="555"/>
      <c r="K39" s="653"/>
      <c r="L39" s="584" t="s">
        <v>2833</v>
      </c>
      <c r="M39" s="555"/>
      <c r="N39" s="565"/>
      <c r="O39" s="570" t="s">
        <v>2800</v>
      </c>
      <c r="P39" s="566"/>
      <c r="Q39" s="650"/>
      <c r="R39" s="654" t="s">
        <v>2801</v>
      </c>
      <c r="S39" s="650"/>
      <c r="T39" s="650"/>
      <c r="U39" s="650"/>
      <c r="V39" s="650"/>
      <c r="W39" s="650"/>
      <c r="X39" s="650"/>
      <c r="Y39" s="568"/>
      <c r="Z39" s="650"/>
      <c r="AA39" s="650"/>
      <c r="AB39" s="650"/>
      <c r="AC39" s="650"/>
      <c r="AD39" s="650"/>
      <c r="AE39" s="650"/>
      <c r="AF39" s="650"/>
      <c r="AG39" s="650"/>
      <c r="AH39" s="650"/>
      <c r="AI39" s="650"/>
      <c r="AJ39" s="650"/>
    </row>
    <row r="40">
      <c r="A40" s="550" t="s">
        <v>1690</v>
      </c>
      <c r="B40" s="550" t="s">
        <v>1691</v>
      </c>
      <c r="C40" s="584">
        <v>7.0</v>
      </c>
      <c r="D40" s="551">
        <v>200000.0</v>
      </c>
      <c r="E40" s="550" t="s">
        <v>236</v>
      </c>
      <c r="F40" s="550" t="s">
        <v>23</v>
      </c>
      <c r="G40" s="555"/>
      <c r="H40" s="551">
        <v>200000.0</v>
      </c>
      <c r="I40" s="550">
        <v>1.0</v>
      </c>
      <c r="J40" s="555"/>
      <c r="K40" s="653"/>
      <c r="L40" s="584" t="s">
        <v>2834</v>
      </c>
      <c r="M40" s="555"/>
      <c r="N40" s="565"/>
      <c r="O40" s="570" t="s">
        <v>2835</v>
      </c>
      <c r="P40" s="566"/>
      <c r="Q40" s="644"/>
      <c r="R40" s="654" t="s">
        <v>1608</v>
      </c>
      <c r="S40" s="571"/>
      <c r="T40" s="650"/>
      <c r="U40" s="650"/>
      <c r="V40" s="650"/>
      <c r="W40" s="650"/>
      <c r="X40" s="650"/>
      <c r="Y40" s="568"/>
      <c r="Z40" s="650"/>
      <c r="AA40" s="650"/>
      <c r="AB40" s="650"/>
      <c r="AC40" s="650"/>
      <c r="AD40" s="650"/>
      <c r="AE40" s="650"/>
      <c r="AF40" s="650"/>
      <c r="AG40" s="650"/>
      <c r="AH40" s="650"/>
      <c r="AI40" s="650"/>
      <c r="AJ40" s="650"/>
    </row>
    <row r="41">
      <c r="A41" s="550" t="s">
        <v>1694</v>
      </c>
      <c r="B41" s="555"/>
      <c r="C41" s="584">
        <v>7.0</v>
      </c>
      <c r="D41" s="551">
        <v>1290755.0</v>
      </c>
      <c r="E41" s="550" t="s">
        <v>236</v>
      </c>
      <c r="F41" s="550" t="s">
        <v>23</v>
      </c>
      <c r="G41" s="550" t="s">
        <v>29</v>
      </c>
      <c r="H41" s="551">
        <v>1290755.0</v>
      </c>
      <c r="I41" s="550">
        <v>4.0</v>
      </c>
      <c r="J41" s="555"/>
      <c r="K41" s="653"/>
      <c r="L41" s="584" t="s">
        <v>2836</v>
      </c>
      <c r="M41" s="555"/>
      <c r="N41" s="565"/>
      <c r="O41" s="570" t="s">
        <v>2837</v>
      </c>
      <c r="P41" s="566"/>
      <c r="Q41" s="555"/>
      <c r="R41" s="654" t="s">
        <v>608</v>
      </c>
      <c r="S41" s="650"/>
      <c r="T41" s="650"/>
      <c r="U41" s="650"/>
      <c r="V41" s="650"/>
      <c r="W41" s="650"/>
      <c r="X41" s="650"/>
      <c r="Y41" s="568"/>
      <c r="Z41" s="650"/>
      <c r="AA41" s="650"/>
      <c r="AB41" s="650"/>
      <c r="AC41" s="650"/>
      <c r="AD41" s="650"/>
      <c r="AE41" s="650"/>
      <c r="AF41" s="650"/>
      <c r="AG41" s="650"/>
      <c r="AH41" s="650"/>
      <c r="AI41" s="650"/>
      <c r="AJ41" s="650"/>
    </row>
    <row r="42">
      <c r="A42" s="550" t="s">
        <v>1728</v>
      </c>
      <c r="B42" s="555"/>
      <c r="C42" s="584">
        <v>7.0</v>
      </c>
      <c r="D42" s="551">
        <v>2.46E7</v>
      </c>
      <c r="E42" s="550" t="s">
        <v>236</v>
      </c>
      <c r="F42" s="550" t="s">
        <v>23</v>
      </c>
      <c r="G42" s="555"/>
      <c r="H42" s="551">
        <v>2.46E7</v>
      </c>
      <c r="I42" s="550">
        <v>3.0</v>
      </c>
      <c r="J42" s="555"/>
      <c r="K42" s="653"/>
      <c r="L42" s="584" t="s">
        <v>2838</v>
      </c>
      <c r="M42" s="555"/>
      <c r="N42" s="565"/>
      <c r="O42" s="570" t="s">
        <v>2839</v>
      </c>
      <c r="P42" s="566"/>
      <c r="Q42" s="555"/>
      <c r="R42" s="654" t="s">
        <v>1839</v>
      </c>
      <c r="S42" s="650"/>
      <c r="T42" s="650"/>
      <c r="U42" s="650"/>
      <c r="V42" s="650"/>
      <c r="W42" s="650"/>
      <c r="X42" s="650"/>
      <c r="Y42" s="568"/>
      <c r="Z42" s="650"/>
      <c r="AA42" s="650"/>
      <c r="AB42" s="650"/>
      <c r="AC42" s="650"/>
      <c r="AD42" s="650"/>
      <c r="AE42" s="650"/>
      <c r="AF42" s="650"/>
      <c r="AG42" s="650"/>
      <c r="AH42" s="650"/>
      <c r="AI42" s="650"/>
      <c r="AJ42" s="650"/>
    </row>
    <row r="43">
      <c r="A43" s="655" t="s">
        <v>1663</v>
      </c>
      <c r="B43" s="555"/>
      <c r="C43" s="584">
        <v>7.0</v>
      </c>
      <c r="D43" s="551">
        <v>7.7E7</v>
      </c>
      <c r="E43" s="550" t="s">
        <v>236</v>
      </c>
      <c r="F43" s="550" t="s">
        <v>23</v>
      </c>
      <c r="G43" s="550" t="s">
        <v>29</v>
      </c>
      <c r="H43" s="551">
        <v>7.7E7</v>
      </c>
      <c r="I43" s="550">
        <v>1.0</v>
      </c>
      <c r="J43" s="555"/>
      <c r="K43" s="653"/>
      <c r="L43" s="584" t="s">
        <v>2840</v>
      </c>
      <c r="M43" s="555"/>
      <c r="N43" s="565"/>
      <c r="O43" s="570" t="s">
        <v>2841</v>
      </c>
      <c r="P43" s="566"/>
      <c r="Q43" s="555"/>
      <c r="R43" s="654" t="s">
        <v>1665</v>
      </c>
      <c r="S43" s="650"/>
      <c r="T43" s="650"/>
      <c r="U43" s="650"/>
      <c r="V43" s="650"/>
      <c r="W43" s="650"/>
      <c r="X43" s="650"/>
      <c r="Y43" s="568"/>
      <c r="Z43" s="650"/>
      <c r="AA43" s="650"/>
      <c r="AB43" s="650"/>
      <c r="AC43" s="650"/>
      <c r="AD43" s="650"/>
      <c r="AE43" s="650"/>
      <c r="AF43" s="650"/>
      <c r="AG43" s="650"/>
      <c r="AH43" s="650"/>
      <c r="AI43" s="650"/>
      <c r="AJ43" s="650"/>
    </row>
    <row r="44">
      <c r="A44" s="550" t="s">
        <v>1725</v>
      </c>
      <c r="B44" s="555"/>
      <c r="C44" s="550">
        <v>7.0</v>
      </c>
      <c r="D44" s="551">
        <v>180000.0</v>
      </c>
      <c r="E44" s="550" t="s">
        <v>64</v>
      </c>
      <c r="F44" s="550" t="s">
        <v>23</v>
      </c>
      <c r="G44" s="555"/>
      <c r="H44" s="551">
        <v>180000.0</v>
      </c>
      <c r="I44" s="550">
        <v>1.0</v>
      </c>
      <c r="J44" s="595"/>
      <c r="K44" s="555"/>
      <c r="L44" s="584" t="s">
        <v>2842</v>
      </c>
      <c r="M44" s="555"/>
      <c r="N44" s="565"/>
      <c r="O44" s="570" t="s">
        <v>1727</v>
      </c>
      <c r="P44" s="566"/>
      <c r="Q44" s="555"/>
      <c r="R44" s="555"/>
      <c r="S44" s="650"/>
      <c r="T44" s="650"/>
      <c r="U44" s="644"/>
      <c r="V44" s="650"/>
      <c r="W44" s="650"/>
      <c r="X44" s="650"/>
      <c r="Y44" s="568"/>
      <c r="Z44" s="555"/>
      <c r="AA44" s="555"/>
      <c r="AB44" s="555"/>
      <c r="AC44" s="555"/>
      <c r="AD44" s="555"/>
      <c r="AE44" s="555"/>
      <c r="AF44" s="555"/>
      <c r="AG44" s="555"/>
      <c r="AH44" s="555"/>
      <c r="AI44" s="555"/>
      <c r="AJ44" s="555"/>
    </row>
    <row r="45">
      <c r="A45" s="550" t="s">
        <v>1739</v>
      </c>
      <c r="B45" s="588"/>
      <c r="C45" s="584">
        <v>7.0</v>
      </c>
      <c r="D45" s="551">
        <v>1000000.0</v>
      </c>
      <c r="E45" s="550" t="s">
        <v>64</v>
      </c>
      <c r="F45" s="550" t="s">
        <v>51</v>
      </c>
      <c r="G45" s="555"/>
      <c r="H45" s="551">
        <v>1000000.0</v>
      </c>
      <c r="I45" s="550">
        <v>2.0</v>
      </c>
      <c r="J45" s="571"/>
      <c r="K45" s="653"/>
      <c r="L45" s="550" t="s">
        <v>2843</v>
      </c>
      <c r="M45" s="555"/>
      <c r="N45" s="565"/>
      <c r="O45" s="570" t="s">
        <v>2800</v>
      </c>
      <c r="P45" s="566"/>
      <c r="Q45" s="650"/>
      <c r="R45" s="656" t="s">
        <v>2801</v>
      </c>
      <c r="S45" s="650"/>
      <c r="T45" s="650"/>
      <c r="U45" s="650"/>
      <c r="V45" s="650"/>
      <c r="W45" s="650"/>
      <c r="X45" s="650"/>
      <c r="Y45" s="568"/>
      <c r="Z45" s="650"/>
      <c r="AA45" s="650"/>
      <c r="AB45" s="650"/>
      <c r="AC45" s="650"/>
      <c r="AD45" s="650"/>
      <c r="AE45" s="650"/>
      <c r="AF45" s="650"/>
      <c r="AG45" s="650"/>
      <c r="AH45" s="555"/>
      <c r="AI45" s="555"/>
      <c r="AJ45" s="650"/>
    </row>
    <row r="46">
      <c r="A46" s="550" t="s">
        <v>1655</v>
      </c>
      <c r="B46" s="555"/>
      <c r="C46" s="584">
        <v>7.0</v>
      </c>
      <c r="D46" s="551">
        <v>3500000.0</v>
      </c>
      <c r="E46" s="550" t="s">
        <v>64</v>
      </c>
      <c r="F46" s="550" t="s">
        <v>2783</v>
      </c>
      <c r="G46" s="555"/>
      <c r="H46" s="551">
        <v>3500000.0</v>
      </c>
      <c r="I46" s="550">
        <v>2.0</v>
      </c>
      <c r="J46" s="555"/>
      <c r="K46" s="653"/>
      <c r="L46" s="584" t="s">
        <v>2844</v>
      </c>
      <c r="M46" s="555"/>
      <c r="N46" s="565"/>
      <c r="O46" s="570" t="s">
        <v>2845</v>
      </c>
      <c r="P46" s="566"/>
      <c r="Q46" s="644"/>
      <c r="R46" s="654" t="s">
        <v>1621</v>
      </c>
      <c r="S46" s="650"/>
      <c r="T46" s="650"/>
      <c r="U46" s="650"/>
      <c r="V46" s="650"/>
      <c r="W46" s="650"/>
      <c r="X46" s="650"/>
      <c r="Y46" s="568"/>
      <c r="Z46" s="650"/>
      <c r="AA46" s="650"/>
      <c r="AB46" s="650"/>
      <c r="AC46" s="650"/>
      <c r="AD46" s="650"/>
      <c r="AE46" s="650"/>
      <c r="AF46" s="650"/>
      <c r="AG46" s="650"/>
      <c r="AH46" s="650"/>
      <c r="AI46" s="650"/>
      <c r="AJ46" s="650"/>
    </row>
    <row r="47">
      <c r="A47" s="550" t="s">
        <v>1667</v>
      </c>
      <c r="B47" s="555"/>
      <c r="C47" s="584">
        <v>7.0</v>
      </c>
      <c r="D47" s="551">
        <v>123461.0</v>
      </c>
      <c r="E47" s="550" t="s">
        <v>64</v>
      </c>
      <c r="F47" s="550" t="s">
        <v>2783</v>
      </c>
      <c r="G47" s="555"/>
      <c r="H47" s="551">
        <v>123461.0</v>
      </c>
      <c r="I47" s="550">
        <v>3.0</v>
      </c>
      <c r="J47" s="555"/>
      <c r="K47" s="653"/>
      <c r="L47" s="584" t="s">
        <v>2846</v>
      </c>
      <c r="M47" s="555"/>
      <c r="N47" s="565"/>
      <c r="O47" s="570" t="s">
        <v>1669</v>
      </c>
      <c r="P47" s="566"/>
      <c r="Q47" s="555"/>
      <c r="R47" s="654" t="s">
        <v>1608</v>
      </c>
      <c r="S47" s="650"/>
      <c r="T47" s="650"/>
      <c r="U47" s="650"/>
      <c r="V47" s="650"/>
      <c r="W47" s="650"/>
      <c r="X47" s="650"/>
      <c r="Y47" s="568"/>
      <c r="Z47" s="650"/>
      <c r="AA47" s="650"/>
      <c r="AB47" s="650"/>
      <c r="AC47" s="650"/>
      <c r="AD47" s="650"/>
      <c r="AE47" s="650"/>
      <c r="AF47" s="650"/>
      <c r="AG47" s="650"/>
      <c r="AH47" s="650"/>
      <c r="AI47" s="650"/>
      <c r="AJ47" s="650"/>
    </row>
    <row r="48">
      <c r="A48" s="550" t="s">
        <v>1736</v>
      </c>
      <c r="B48" s="555"/>
      <c r="C48" s="584">
        <v>7.0</v>
      </c>
      <c r="D48" s="551">
        <v>210000.0</v>
      </c>
      <c r="E48" s="550" t="s">
        <v>64</v>
      </c>
      <c r="F48" s="550" t="s">
        <v>2847</v>
      </c>
      <c r="G48" s="550" t="s">
        <v>29</v>
      </c>
      <c r="H48" s="551">
        <v>210000.0</v>
      </c>
      <c r="I48" s="550">
        <v>5.0</v>
      </c>
      <c r="J48" s="555"/>
      <c r="K48" s="653"/>
      <c r="L48" s="584" t="s">
        <v>2848</v>
      </c>
      <c r="M48" s="555"/>
      <c r="N48" s="565"/>
      <c r="O48" s="570" t="s">
        <v>2800</v>
      </c>
      <c r="P48" s="566"/>
      <c r="Q48" s="650"/>
      <c r="R48" s="654" t="s">
        <v>2801</v>
      </c>
      <c r="S48" s="650"/>
      <c r="T48" s="650"/>
      <c r="U48" s="650"/>
      <c r="V48" s="650"/>
      <c r="W48" s="650"/>
      <c r="X48" s="650"/>
      <c r="Y48" s="568"/>
      <c r="Z48" s="650"/>
      <c r="AA48" s="650"/>
      <c r="AB48" s="650"/>
      <c r="AC48" s="650"/>
      <c r="AD48" s="650"/>
      <c r="AE48" s="650"/>
      <c r="AF48" s="650"/>
      <c r="AG48" s="650"/>
      <c r="AH48" s="650"/>
      <c r="AI48" s="650"/>
      <c r="AJ48" s="650"/>
    </row>
    <row r="49">
      <c r="A49" s="550" t="s">
        <v>1683</v>
      </c>
      <c r="B49" s="555"/>
      <c r="C49" s="550">
        <v>7.0</v>
      </c>
      <c r="D49" s="551">
        <v>300000.0</v>
      </c>
      <c r="E49" s="550" t="s">
        <v>2514</v>
      </c>
      <c r="F49" s="550" t="s">
        <v>23</v>
      </c>
      <c r="G49" s="555"/>
      <c r="H49" s="551">
        <v>300000.0</v>
      </c>
      <c r="I49" s="550">
        <v>2.0</v>
      </c>
      <c r="J49" s="595"/>
      <c r="K49" s="555"/>
      <c r="L49" s="584" t="s">
        <v>2849</v>
      </c>
      <c r="M49" s="555"/>
      <c r="N49" s="565"/>
      <c r="O49" s="570" t="s">
        <v>2800</v>
      </c>
      <c r="P49" s="566"/>
      <c r="Q49" s="555"/>
      <c r="R49" s="555"/>
      <c r="S49" s="650"/>
      <c r="T49" s="650"/>
      <c r="U49" s="644"/>
      <c r="V49" s="650"/>
      <c r="W49" s="650"/>
      <c r="X49" s="650"/>
      <c r="Y49" s="568"/>
      <c r="Z49" s="555"/>
      <c r="AA49" s="555"/>
      <c r="AB49" s="555"/>
      <c r="AC49" s="555"/>
      <c r="AD49" s="555"/>
      <c r="AE49" s="555"/>
      <c r="AF49" s="555"/>
      <c r="AG49" s="555"/>
      <c r="AH49" s="555"/>
      <c r="AI49" s="555"/>
      <c r="AJ49" s="555"/>
    </row>
    <row r="50">
      <c r="A50" s="550" t="s">
        <v>1706</v>
      </c>
      <c r="B50" s="584" t="s">
        <v>1707</v>
      </c>
      <c r="C50" s="584">
        <v>7.0</v>
      </c>
      <c r="D50" s="551" t="s">
        <v>2850</v>
      </c>
      <c r="E50" s="550" t="s">
        <v>2514</v>
      </c>
      <c r="F50" s="550" t="s">
        <v>2832</v>
      </c>
      <c r="G50" s="555"/>
      <c r="H50" s="551">
        <v>1900000.0</v>
      </c>
      <c r="I50" s="552" t="s">
        <v>2851</v>
      </c>
      <c r="J50" s="571"/>
      <c r="K50" s="653"/>
      <c r="L50" s="550" t="s">
        <v>2852</v>
      </c>
      <c r="M50" s="555"/>
      <c r="N50" s="565"/>
      <c r="O50" s="570" t="s">
        <v>2800</v>
      </c>
      <c r="P50" s="570" t="s">
        <v>2755</v>
      </c>
      <c r="Q50" s="644"/>
      <c r="R50" s="654" t="s">
        <v>2801</v>
      </c>
      <c r="S50" s="650"/>
      <c r="T50" s="650"/>
      <c r="U50" s="650"/>
      <c r="V50" s="650"/>
      <c r="W50" s="650"/>
      <c r="X50" s="650"/>
      <c r="Y50" s="568"/>
      <c r="Z50" s="650"/>
      <c r="AA50" s="650"/>
      <c r="AB50" s="650"/>
      <c r="AC50" s="650"/>
      <c r="AD50" s="650"/>
      <c r="AE50" s="650"/>
      <c r="AF50" s="650"/>
      <c r="AG50" s="650"/>
      <c r="AH50" s="650"/>
      <c r="AI50" s="650"/>
      <c r="AJ50" s="650"/>
    </row>
    <row r="51">
      <c r="A51" s="550" t="s">
        <v>1755</v>
      </c>
      <c r="B51" s="550" t="s">
        <v>1756</v>
      </c>
      <c r="C51" s="550">
        <v>7.0</v>
      </c>
      <c r="D51" s="551">
        <v>1055489.0</v>
      </c>
      <c r="E51" s="550" t="s">
        <v>2514</v>
      </c>
      <c r="F51" s="550" t="s">
        <v>2832</v>
      </c>
      <c r="G51" s="555"/>
      <c r="H51" s="551">
        <v>1055489.0</v>
      </c>
      <c r="I51" s="550">
        <v>4.0</v>
      </c>
      <c r="J51" s="595"/>
      <c r="K51" s="555"/>
      <c r="L51" s="584" t="s">
        <v>2853</v>
      </c>
      <c r="M51" s="555"/>
      <c r="N51" s="565"/>
      <c r="O51" s="570" t="s">
        <v>2854</v>
      </c>
      <c r="P51" s="570" t="s">
        <v>2755</v>
      </c>
      <c r="Q51" s="555"/>
      <c r="R51" s="555"/>
      <c r="S51" s="650"/>
      <c r="T51" s="650"/>
      <c r="U51" s="644"/>
      <c r="V51" s="650"/>
      <c r="W51" s="650"/>
      <c r="X51" s="650"/>
      <c r="Y51" s="568"/>
      <c r="Z51" s="555"/>
      <c r="AA51" s="555"/>
      <c r="AB51" s="555"/>
      <c r="AC51" s="555"/>
      <c r="AD51" s="555"/>
      <c r="AE51" s="555"/>
      <c r="AF51" s="555"/>
      <c r="AG51" s="555"/>
      <c r="AH51" s="555"/>
      <c r="AI51" s="555"/>
      <c r="AJ51" s="555"/>
    </row>
    <row r="52">
      <c r="A52" s="550" t="s">
        <v>1720</v>
      </c>
      <c r="B52" s="584" t="s">
        <v>1721</v>
      </c>
      <c r="C52" s="584">
        <v>7.0</v>
      </c>
      <c r="D52" s="551">
        <v>8300000.0</v>
      </c>
      <c r="E52" s="550" t="s">
        <v>2514</v>
      </c>
      <c r="F52" s="550" t="s">
        <v>2832</v>
      </c>
      <c r="G52" s="555"/>
      <c r="H52" s="551">
        <v>8300000.0</v>
      </c>
      <c r="I52" s="550">
        <v>4.0</v>
      </c>
      <c r="J52" s="555"/>
      <c r="K52" s="653"/>
      <c r="L52" s="584" t="s">
        <v>1722</v>
      </c>
      <c r="M52" s="555"/>
      <c r="N52" s="565"/>
      <c r="O52" s="570" t="s">
        <v>2855</v>
      </c>
      <c r="P52" s="566"/>
      <c r="Q52" s="650"/>
      <c r="R52" s="654" t="s">
        <v>2856</v>
      </c>
      <c r="S52" s="650"/>
      <c r="T52" s="650"/>
      <c r="U52" s="650"/>
      <c r="V52" s="650"/>
      <c r="W52" s="650"/>
      <c r="X52" s="650"/>
      <c r="Y52" s="568"/>
      <c r="Z52" s="650"/>
      <c r="AA52" s="650"/>
      <c r="AB52" s="650"/>
      <c r="AC52" s="650"/>
      <c r="AD52" s="650"/>
      <c r="AE52" s="650"/>
      <c r="AF52" s="650"/>
      <c r="AG52" s="650"/>
      <c r="AH52" s="650"/>
      <c r="AI52" s="650"/>
      <c r="AJ52" s="650"/>
    </row>
    <row r="53">
      <c r="A53" s="550" t="s">
        <v>2857</v>
      </c>
      <c r="B53" s="550" t="s">
        <v>2858</v>
      </c>
      <c r="C53" s="550">
        <v>7.0</v>
      </c>
      <c r="D53" s="551">
        <v>175350.0</v>
      </c>
      <c r="E53" s="550" t="s">
        <v>2514</v>
      </c>
      <c r="F53" s="550" t="s">
        <v>51</v>
      </c>
      <c r="G53" s="555"/>
      <c r="H53" s="551">
        <v>175350.0</v>
      </c>
      <c r="I53" s="550">
        <v>4.0</v>
      </c>
      <c r="J53" s="595"/>
      <c r="K53" s="555"/>
      <c r="L53" s="584" t="s">
        <v>2859</v>
      </c>
      <c r="M53" s="555"/>
      <c r="N53" s="565"/>
      <c r="O53" s="570" t="s">
        <v>1703</v>
      </c>
      <c r="P53" s="570" t="s">
        <v>2755</v>
      </c>
      <c r="Q53" s="555"/>
      <c r="R53" s="555"/>
      <c r="S53" s="650"/>
      <c r="T53" s="650"/>
      <c r="U53" s="644"/>
      <c r="V53" s="650"/>
      <c r="W53" s="650"/>
      <c r="X53" s="650"/>
      <c r="Y53" s="568"/>
      <c r="Z53" s="555"/>
      <c r="AA53" s="555"/>
      <c r="AB53" s="555"/>
      <c r="AC53" s="555"/>
      <c r="AD53" s="555"/>
      <c r="AE53" s="555"/>
      <c r="AF53" s="555"/>
      <c r="AG53" s="555"/>
      <c r="AH53" s="555"/>
      <c r="AI53" s="555"/>
      <c r="AJ53" s="555"/>
    </row>
    <row r="54">
      <c r="A54" s="550" t="s">
        <v>1711</v>
      </c>
      <c r="B54" s="555"/>
      <c r="C54" s="550">
        <v>7.0</v>
      </c>
      <c r="D54" s="551">
        <v>514330.0</v>
      </c>
      <c r="E54" s="550" t="s">
        <v>2514</v>
      </c>
      <c r="F54" s="550" t="s">
        <v>2762</v>
      </c>
      <c r="G54" s="555"/>
      <c r="H54" s="551">
        <v>514330.0</v>
      </c>
      <c r="I54" s="550">
        <v>4.0</v>
      </c>
      <c r="J54" s="595"/>
      <c r="K54" s="555"/>
      <c r="L54" s="551" t="s">
        <v>2860</v>
      </c>
      <c r="M54" s="555"/>
      <c r="N54" s="565"/>
      <c r="O54" s="570" t="s">
        <v>1715</v>
      </c>
      <c r="P54" s="570" t="s">
        <v>2755</v>
      </c>
      <c r="Q54" s="555"/>
      <c r="R54" s="555"/>
      <c r="S54" s="650"/>
      <c r="T54" s="650"/>
      <c r="U54" s="644"/>
      <c r="V54" s="650"/>
      <c r="W54" s="650"/>
      <c r="X54" s="650"/>
      <c r="Y54" s="568"/>
      <c r="Z54" s="555"/>
      <c r="AA54" s="555"/>
      <c r="AB54" s="555"/>
      <c r="AC54" s="555"/>
      <c r="AD54" s="555"/>
      <c r="AE54" s="555"/>
      <c r="AF54" s="555"/>
      <c r="AG54" s="555"/>
      <c r="AH54" s="555"/>
      <c r="AI54" s="555"/>
      <c r="AJ54" s="555"/>
    </row>
    <row r="55">
      <c r="A55" s="550" t="s">
        <v>1716</v>
      </c>
      <c r="B55" s="555"/>
      <c r="C55" s="550">
        <v>7.0</v>
      </c>
      <c r="D55" s="551">
        <v>400000.0</v>
      </c>
      <c r="E55" s="550" t="s">
        <v>2514</v>
      </c>
      <c r="F55" s="550" t="s">
        <v>2762</v>
      </c>
      <c r="G55" s="555"/>
      <c r="H55" s="551">
        <v>400000.0</v>
      </c>
      <c r="I55" s="550">
        <v>4.0</v>
      </c>
      <c r="J55" s="595"/>
      <c r="K55" s="555"/>
      <c r="L55" s="584" t="s">
        <v>2861</v>
      </c>
      <c r="M55" s="555"/>
      <c r="N55" s="565"/>
      <c r="O55" s="570" t="s">
        <v>2862</v>
      </c>
      <c r="P55" s="570" t="s">
        <v>2755</v>
      </c>
      <c r="Q55" s="555"/>
      <c r="R55" s="555"/>
      <c r="S55" s="650"/>
      <c r="T55" s="650"/>
      <c r="U55" s="644"/>
      <c r="V55" s="650"/>
      <c r="W55" s="650"/>
      <c r="X55" s="650"/>
      <c r="Y55" s="568"/>
      <c r="Z55" s="555"/>
      <c r="AA55" s="555"/>
      <c r="AB55" s="555"/>
      <c r="AC55" s="555"/>
      <c r="AD55" s="555"/>
      <c r="AE55" s="555"/>
      <c r="AF55" s="555"/>
      <c r="AG55" s="555"/>
      <c r="AH55" s="555"/>
      <c r="AI55" s="555"/>
      <c r="AJ55" s="555"/>
    </row>
    <row r="56">
      <c r="A56" s="550" t="s">
        <v>1760</v>
      </c>
      <c r="B56" s="555"/>
      <c r="C56" s="550">
        <v>7.0</v>
      </c>
      <c r="D56" s="595">
        <f>943434+3300000</f>
        <v>4243434</v>
      </c>
      <c r="E56" s="550" t="s">
        <v>2514</v>
      </c>
      <c r="F56" s="550" t="s">
        <v>2762</v>
      </c>
      <c r="G56" s="555"/>
      <c r="H56" s="595">
        <f>943434+3300000</f>
        <v>4243434</v>
      </c>
      <c r="I56" s="550">
        <v>2.0</v>
      </c>
      <c r="J56" s="595"/>
      <c r="K56" s="555"/>
      <c r="L56" s="584" t="s">
        <v>2863</v>
      </c>
      <c r="M56" s="555"/>
      <c r="N56" s="565"/>
      <c r="O56" s="570" t="s">
        <v>2864</v>
      </c>
      <c r="P56" s="570" t="s">
        <v>2755</v>
      </c>
      <c r="Q56" s="555"/>
      <c r="R56" s="555"/>
      <c r="S56" s="650"/>
      <c r="T56" s="650"/>
      <c r="U56" s="644"/>
      <c r="V56" s="650"/>
      <c r="W56" s="650"/>
      <c r="X56" s="650"/>
      <c r="Y56" s="568"/>
      <c r="Z56" s="555"/>
      <c r="AA56" s="555"/>
      <c r="AB56" s="555"/>
      <c r="AC56" s="555"/>
      <c r="AD56" s="555"/>
      <c r="AE56" s="555"/>
      <c r="AF56" s="555"/>
      <c r="AG56" s="555"/>
      <c r="AH56" s="555"/>
      <c r="AI56" s="555"/>
      <c r="AJ56" s="555"/>
    </row>
    <row r="57">
      <c r="A57" s="550" t="s">
        <v>1571</v>
      </c>
      <c r="B57" s="555"/>
      <c r="C57" s="550">
        <v>7.0</v>
      </c>
      <c r="D57" s="551">
        <v>102153.0</v>
      </c>
      <c r="E57" s="550" t="s">
        <v>2514</v>
      </c>
      <c r="F57" s="550" t="s">
        <v>2865</v>
      </c>
      <c r="G57" s="555"/>
      <c r="H57" s="551">
        <v>102153.0</v>
      </c>
      <c r="I57" s="550">
        <v>2.0</v>
      </c>
      <c r="J57" s="595"/>
      <c r="K57" s="555"/>
      <c r="L57" s="584" t="s">
        <v>2866</v>
      </c>
      <c r="M57" s="555"/>
      <c r="N57" s="565"/>
      <c r="O57" s="570" t="s">
        <v>2867</v>
      </c>
      <c r="P57" s="570" t="s">
        <v>2755</v>
      </c>
      <c r="Q57" s="555"/>
      <c r="R57" s="555"/>
      <c r="S57" s="650"/>
      <c r="T57" s="650"/>
      <c r="U57" s="644"/>
      <c r="V57" s="650"/>
      <c r="W57" s="650"/>
      <c r="X57" s="650"/>
      <c r="Y57" s="568"/>
      <c r="Z57" s="555"/>
      <c r="AA57" s="555"/>
      <c r="AB57" s="555"/>
      <c r="AC57" s="555"/>
      <c r="AD57" s="555"/>
      <c r="AE57" s="555"/>
      <c r="AF57" s="555"/>
      <c r="AG57" s="555"/>
      <c r="AH57" s="555"/>
      <c r="AI57" s="555"/>
      <c r="AJ57" s="555"/>
    </row>
    <row r="58">
      <c r="A58" s="550" t="s">
        <v>710</v>
      </c>
      <c r="B58" s="555"/>
      <c r="C58" s="584">
        <v>7.0</v>
      </c>
      <c r="D58" s="551">
        <v>1270000.0</v>
      </c>
      <c r="E58" s="550" t="s">
        <v>2007</v>
      </c>
      <c r="F58" s="550" t="s">
        <v>23</v>
      </c>
      <c r="G58" s="555"/>
      <c r="H58" s="551">
        <v>1270000.0</v>
      </c>
      <c r="I58" s="550">
        <v>2.0</v>
      </c>
      <c r="J58" s="555"/>
      <c r="K58" s="653"/>
      <c r="L58" s="584" t="s">
        <v>2868</v>
      </c>
      <c r="M58" s="555"/>
      <c r="N58" s="565"/>
      <c r="O58" s="570" t="s">
        <v>1705</v>
      </c>
      <c r="P58" s="566"/>
      <c r="Q58" s="650"/>
      <c r="R58" s="654" t="s">
        <v>629</v>
      </c>
      <c r="S58" s="650"/>
      <c r="T58" s="650"/>
      <c r="U58" s="650"/>
      <c r="V58" s="650"/>
      <c r="W58" s="650"/>
      <c r="X58" s="650"/>
      <c r="Y58" s="568"/>
      <c r="Z58" s="650"/>
      <c r="AA58" s="650"/>
      <c r="AB58" s="650"/>
      <c r="AC58" s="650"/>
      <c r="AD58" s="650"/>
      <c r="AE58" s="650"/>
      <c r="AF58" s="650"/>
      <c r="AG58" s="650"/>
      <c r="AH58" s="650"/>
      <c r="AI58" s="650"/>
      <c r="AJ58" s="650"/>
    </row>
    <row r="59">
      <c r="A59" s="550" t="s">
        <v>1673</v>
      </c>
      <c r="B59" s="550" t="s">
        <v>2869</v>
      </c>
      <c r="C59" s="584">
        <v>7.0</v>
      </c>
      <c r="D59" s="551">
        <v>935000.0</v>
      </c>
      <c r="E59" s="550" t="s">
        <v>1676</v>
      </c>
      <c r="F59" s="550" t="s">
        <v>2783</v>
      </c>
      <c r="G59" s="555"/>
      <c r="H59" s="551">
        <v>935000.0</v>
      </c>
      <c r="I59" s="552" t="s">
        <v>2870</v>
      </c>
      <c r="J59" s="555"/>
      <c r="K59" s="653"/>
      <c r="L59" s="584" t="s">
        <v>2871</v>
      </c>
      <c r="M59" s="555"/>
      <c r="N59" s="565"/>
      <c r="O59" s="570" t="s">
        <v>2872</v>
      </c>
      <c r="P59" s="566"/>
      <c r="Q59" s="555"/>
      <c r="R59" s="654" t="s">
        <v>841</v>
      </c>
      <c r="S59" s="650"/>
      <c r="T59" s="650"/>
      <c r="U59" s="650"/>
      <c r="V59" s="650"/>
      <c r="W59" s="650"/>
      <c r="X59" s="650"/>
      <c r="Y59" s="568"/>
      <c r="Z59" s="650"/>
      <c r="AA59" s="650"/>
      <c r="AB59" s="650"/>
      <c r="AC59" s="650"/>
      <c r="AD59" s="650"/>
      <c r="AE59" s="650"/>
      <c r="AF59" s="650"/>
      <c r="AG59" s="650"/>
      <c r="AH59" s="650"/>
      <c r="AI59" s="650"/>
      <c r="AJ59" s="650"/>
    </row>
    <row r="60">
      <c r="A60" s="550" t="s">
        <v>2873</v>
      </c>
      <c r="B60" s="555"/>
      <c r="C60" s="584">
        <v>7.0</v>
      </c>
      <c r="D60" s="551">
        <v>50000.0</v>
      </c>
      <c r="E60" s="550" t="s">
        <v>1676</v>
      </c>
      <c r="F60" s="550" t="s">
        <v>2783</v>
      </c>
      <c r="G60" s="555"/>
      <c r="H60" s="551">
        <v>50000.0</v>
      </c>
      <c r="I60" s="550">
        <v>1.0</v>
      </c>
      <c r="J60" s="555"/>
      <c r="K60" s="653"/>
      <c r="L60" s="588"/>
      <c r="M60" s="555"/>
      <c r="N60" s="565"/>
      <c r="O60" s="570" t="s">
        <v>2800</v>
      </c>
      <c r="P60" s="566"/>
      <c r="Q60" s="555"/>
      <c r="R60" s="654" t="s">
        <v>2801</v>
      </c>
      <c r="S60" s="650"/>
      <c r="T60" s="650"/>
      <c r="U60" s="650"/>
      <c r="V60" s="650"/>
      <c r="W60" s="650"/>
      <c r="X60" s="650"/>
      <c r="Y60" s="568"/>
      <c r="Z60" s="650"/>
      <c r="AA60" s="650"/>
      <c r="AB60" s="650"/>
      <c r="AC60" s="650"/>
      <c r="AD60" s="650"/>
      <c r="AE60" s="650"/>
      <c r="AF60" s="650"/>
      <c r="AG60" s="650"/>
      <c r="AH60" s="650"/>
      <c r="AI60" s="650"/>
      <c r="AJ60" s="650"/>
    </row>
    <row r="61">
      <c r="A61" s="550" t="s">
        <v>1763</v>
      </c>
      <c r="B61" s="550" t="s">
        <v>1764</v>
      </c>
      <c r="C61" s="584">
        <v>7.0</v>
      </c>
      <c r="D61" s="551">
        <v>4901432.0</v>
      </c>
      <c r="E61" s="550" t="s">
        <v>2521</v>
      </c>
      <c r="F61" s="550" t="s">
        <v>2762</v>
      </c>
      <c r="G61" s="555"/>
      <c r="H61" s="551">
        <v>4901432.0</v>
      </c>
      <c r="I61" s="550">
        <v>4.0</v>
      </c>
      <c r="J61" s="555"/>
      <c r="K61" s="653"/>
      <c r="L61" s="584" t="s">
        <v>2874</v>
      </c>
      <c r="M61" s="555"/>
      <c r="N61" s="565"/>
      <c r="O61" s="570" t="s">
        <v>2800</v>
      </c>
      <c r="P61" s="566"/>
      <c r="Q61" s="644"/>
      <c r="R61" s="654" t="s">
        <v>2801</v>
      </c>
      <c r="S61" s="650"/>
      <c r="T61" s="650"/>
      <c r="U61" s="650"/>
      <c r="V61" s="650"/>
      <c r="W61" s="650"/>
      <c r="X61" s="650"/>
      <c r="Y61" s="568"/>
      <c r="Z61" s="650"/>
      <c r="AA61" s="650"/>
      <c r="AB61" s="650"/>
      <c r="AC61" s="650"/>
      <c r="AD61" s="650"/>
      <c r="AE61" s="650"/>
      <c r="AF61" s="650"/>
      <c r="AG61" s="650"/>
      <c r="AH61" s="650"/>
      <c r="AI61" s="650"/>
      <c r="AJ61" s="650"/>
    </row>
    <row r="62">
      <c r="A62" s="550" t="s">
        <v>1747</v>
      </c>
      <c r="B62" s="584" t="s">
        <v>1748</v>
      </c>
      <c r="C62" s="584">
        <v>7.0</v>
      </c>
      <c r="D62" s="551">
        <v>200000.0</v>
      </c>
      <c r="E62" s="550" t="s">
        <v>43</v>
      </c>
      <c r="F62" s="550" t="s">
        <v>23</v>
      </c>
      <c r="G62" s="555"/>
      <c r="H62" s="551">
        <v>200000.0</v>
      </c>
      <c r="I62" s="550">
        <v>3.0</v>
      </c>
      <c r="J62" s="555"/>
      <c r="K62" s="653"/>
      <c r="L62" s="550" t="s">
        <v>2875</v>
      </c>
      <c r="M62" s="555"/>
      <c r="N62" s="565"/>
      <c r="O62" s="570" t="s">
        <v>2800</v>
      </c>
      <c r="P62" s="566"/>
      <c r="Q62" s="555"/>
      <c r="R62" s="654" t="s">
        <v>2801</v>
      </c>
      <c r="S62" s="650"/>
      <c r="T62" s="650"/>
      <c r="U62" s="650"/>
      <c r="V62" s="650"/>
      <c r="W62" s="650"/>
      <c r="X62" s="650"/>
      <c r="Y62" s="568"/>
      <c r="Z62" s="650"/>
      <c r="AA62" s="650"/>
      <c r="AB62" s="650"/>
      <c r="AC62" s="650"/>
      <c r="AD62" s="650"/>
      <c r="AE62" s="650"/>
      <c r="AF62" s="650"/>
      <c r="AG62" s="650"/>
      <c r="AH62" s="650"/>
      <c r="AI62" s="650"/>
      <c r="AJ62" s="650"/>
    </row>
    <row r="63">
      <c r="A63" s="550" t="s">
        <v>1334</v>
      </c>
      <c r="B63" s="555"/>
      <c r="C63" s="584">
        <v>7.0</v>
      </c>
      <c r="D63" s="551">
        <v>1000000.0</v>
      </c>
      <c r="E63" s="550" t="s">
        <v>28</v>
      </c>
      <c r="F63" s="550" t="s">
        <v>23</v>
      </c>
      <c r="G63" s="550" t="s">
        <v>29</v>
      </c>
      <c r="H63" s="551">
        <v>1000000.0</v>
      </c>
      <c r="I63" s="550">
        <v>1.0</v>
      </c>
      <c r="J63" s="555"/>
      <c r="K63" s="653"/>
      <c r="L63" s="584" t="s">
        <v>2876</v>
      </c>
      <c r="M63" s="555"/>
      <c r="N63" s="565"/>
      <c r="O63" s="570" t="s">
        <v>1700</v>
      </c>
      <c r="P63" s="566"/>
      <c r="Q63" s="555"/>
      <c r="R63" s="654" t="s">
        <v>1665</v>
      </c>
      <c r="S63" s="650"/>
      <c r="T63" s="650"/>
      <c r="U63" s="650"/>
      <c r="V63" s="650"/>
      <c r="W63" s="650"/>
      <c r="X63" s="650"/>
      <c r="Y63" s="568"/>
      <c r="Z63" s="650"/>
      <c r="AA63" s="555"/>
      <c r="AB63" s="650"/>
      <c r="AC63" s="650"/>
      <c r="AD63" s="650"/>
      <c r="AE63" s="650"/>
      <c r="AF63" s="650"/>
      <c r="AG63" s="650"/>
      <c r="AH63" s="650"/>
      <c r="AI63" s="650"/>
      <c r="AJ63" s="650"/>
    </row>
    <row r="64">
      <c r="A64" s="657" t="s">
        <v>1686</v>
      </c>
      <c r="B64" s="550" t="s">
        <v>1687</v>
      </c>
      <c r="C64" s="584">
        <v>7.0</v>
      </c>
      <c r="D64" s="551">
        <v>62000.0</v>
      </c>
      <c r="E64" s="550" t="s">
        <v>28</v>
      </c>
      <c r="F64" s="550" t="s">
        <v>23</v>
      </c>
      <c r="G64" s="555"/>
      <c r="H64" s="551">
        <v>62000.0</v>
      </c>
      <c r="I64" s="550">
        <v>1.0</v>
      </c>
      <c r="J64" s="555"/>
      <c r="K64" s="653"/>
      <c r="L64" s="584" t="s">
        <v>2877</v>
      </c>
      <c r="M64" s="555"/>
      <c r="N64" s="565"/>
      <c r="O64" s="570" t="s">
        <v>1689</v>
      </c>
      <c r="P64" s="566"/>
      <c r="Q64" s="650"/>
      <c r="R64" s="654" t="s">
        <v>629</v>
      </c>
      <c r="S64" s="650"/>
      <c r="T64" s="650"/>
      <c r="U64" s="650"/>
      <c r="V64" s="650"/>
      <c r="W64" s="650"/>
      <c r="X64" s="650"/>
      <c r="Y64" s="568"/>
      <c r="Z64" s="650"/>
      <c r="AA64" s="650"/>
      <c r="AB64" s="650"/>
      <c r="AC64" s="650"/>
      <c r="AD64" s="650"/>
      <c r="AE64" s="650"/>
      <c r="AF64" s="650"/>
      <c r="AG64" s="650"/>
      <c r="AH64" s="650"/>
      <c r="AI64" s="650"/>
      <c r="AJ64" s="650"/>
    </row>
    <row r="65">
      <c r="A65" s="550" t="s">
        <v>1790</v>
      </c>
      <c r="B65" s="588"/>
      <c r="C65" s="584">
        <v>6.0</v>
      </c>
      <c r="D65" s="551">
        <v>760000.0</v>
      </c>
      <c r="E65" s="550" t="s">
        <v>2060</v>
      </c>
      <c r="F65" s="550" t="s">
        <v>23</v>
      </c>
      <c r="G65" s="555"/>
      <c r="H65" s="551">
        <v>760000.0</v>
      </c>
      <c r="I65" s="550">
        <v>2.0</v>
      </c>
      <c r="J65" s="555"/>
      <c r="K65" s="653"/>
      <c r="L65" s="584" t="s">
        <v>2878</v>
      </c>
      <c r="M65" s="555"/>
      <c r="N65" s="565"/>
      <c r="O65" s="570" t="s">
        <v>2800</v>
      </c>
      <c r="P65" s="566"/>
      <c r="Q65" s="644"/>
      <c r="R65" s="654" t="s">
        <v>2801</v>
      </c>
      <c r="S65" s="650"/>
      <c r="T65" s="650"/>
      <c r="U65" s="650"/>
      <c r="V65" s="650"/>
      <c r="W65" s="650"/>
      <c r="X65" s="650"/>
      <c r="Y65" s="568"/>
      <c r="Z65" s="650"/>
      <c r="AA65" s="650"/>
      <c r="AB65" s="650"/>
      <c r="AC65" s="650"/>
      <c r="AD65" s="650"/>
      <c r="AE65" s="650"/>
      <c r="AF65" s="650"/>
      <c r="AG65" s="650"/>
      <c r="AH65" s="650"/>
      <c r="AI65" s="650"/>
      <c r="AJ65" s="650"/>
    </row>
    <row r="66">
      <c r="A66" s="550" t="s">
        <v>1649</v>
      </c>
      <c r="B66" s="555"/>
      <c r="C66" s="584">
        <v>6.0</v>
      </c>
      <c r="D66" s="551">
        <v>43000.0</v>
      </c>
      <c r="E66" s="550" t="s">
        <v>2060</v>
      </c>
      <c r="F66" s="550" t="s">
        <v>2783</v>
      </c>
      <c r="G66" s="555"/>
      <c r="H66" s="551">
        <v>43000.0</v>
      </c>
      <c r="I66" s="550">
        <v>2.0</v>
      </c>
      <c r="J66" s="555"/>
      <c r="K66" s="653"/>
      <c r="L66" s="550" t="s">
        <v>2879</v>
      </c>
      <c r="M66" s="555"/>
      <c r="N66" s="565"/>
      <c r="O66" s="570" t="s">
        <v>2800</v>
      </c>
      <c r="P66" s="566"/>
      <c r="Q66" s="644"/>
      <c r="R66" s="654" t="s">
        <v>2801</v>
      </c>
      <c r="S66" s="650"/>
      <c r="T66" s="650"/>
      <c r="U66" s="650"/>
      <c r="V66" s="650"/>
      <c r="W66" s="650"/>
      <c r="X66" s="650"/>
      <c r="Y66" s="568"/>
      <c r="Z66" s="650"/>
      <c r="AA66" s="650"/>
      <c r="AB66" s="650"/>
      <c r="AC66" s="650"/>
      <c r="AD66" s="650"/>
      <c r="AE66" s="650"/>
      <c r="AF66" s="650"/>
      <c r="AG66" s="650"/>
      <c r="AH66" s="650"/>
      <c r="AI66" s="650"/>
      <c r="AJ66" s="650"/>
    </row>
    <row r="67">
      <c r="A67" s="550" t="s">
        <v>1815</v>
      </c>
      <c r="B67" s="555"/>
      <c r="C67" s="584">
        <v>6.0</v>
      </c>
      <c r="D67" s="551">
        <v>400000.0</v>
      </c>
      <c r="E67" s="550" t="s">
        <v>2153</v>
      </c>
      <c r="F67" s="550" t="s">
        <v>23</v>
      </c>
      <c r="G67" s="555"/>
      <c r="H67" s="551">
        <v>400000.0</v>
      </c>
      <c r="I67" s="550">
        <v>3.0</v>
      </c>
      <c r="J67" s="555"/>
      <c r="K67" s="653"/>
      <c r="L67" s="550" t="s">
        <v>2880</v>
      </c>
      <c r="M67" s="555"/>
      <c r="N67" s="565"/>
      <c r="O67" s="570" t="s">
        <v>2800</v>
      </c>
      <c r="P67" s="566"/>
      <c r="Q67" s="644"/>
      <c r="R67" s="654" t="s">
        <v>2801</v>
      </c>
      <c r="S67" s="650"/>
      <c r="T67" s="650"/>
      <c r="U67" s="650"/>
      <c r="V67" s="650"/>
      <c r="W67" s="650"/>
      <c r="X67" s="650"/>
      <c r="Y67" s="568"/>
      <c r="Z67" s="650"/>
      <c r="AA67" s="650"/>
      <c r="AB67" s="650"/>
      <c r="AC67" s="650"/>
      <c r="AD67" s="650"/>
      <c r="AE67" s="650"/>
      <c r="AF67" s="650"/>
      <c r="AG67" s="650"/>
      <c r="AH67" s="650"/>
      <c r="AI67" s="650"/>
      <c r="AJ67" s="650"/>
    </row>
    <row r="68">
      <c r="A68" s="550" t="s">
        <v>1354</v>
      </c>
      <c r="B68" s="555"/>
      <c r="C68" s="584">
        <v>6.0</v>
      </c>
      <c r="D68" s="551">
        <v>2600000.0</v>
      </c>
      <c r="E68" s="550" t="s">
        <v>2153</v>
      </c>
      <c r="F68" s="550" t="s">
        <v>2832</v>
      </c>
      <c r="G68" s="550" t="s">
        <v>29</v>
      </c>
      <c r="H68" s="551">
        <v>2600000.0</v>
      </c>
      <c r="I68" s="550">
        <v>3.0</v>
      </c>
      <c r="J68" s="555"/>
      <c r="K68" s="653"/>
      <c r="L68" s="584" t="s">
        <v>2881</v>
      </c>
      <c r="M68" s="555"/>
      <c r="N68" s="565"/>
      <c r="O68" s="570" t="s">
        <v>2800</v>
      </c>
      <c r="P68" s="570" t="s">
        <v>1959</v>
      </c>
      <c r="Q68" s="649" t="s">
        <v>1608</v>
      </c>
      <c r="R68" s="654" t="s">
        <v>2801</v>
      </c>
      <c r="S68" s="650"/>
      <c r="T68" s="650"/>
      <c r="U68" s="650"/>
      <c r="V68" s="650"/>
      <c r="W68" s="650"/>
      <c r="X68" s="650"/>
      <c r="Y68" s="568"/>
      <c r="Z68" s="650"/>
      <c r="AA68" s="650"/>
      <c r="AB68" s="650"/>
      <c r="AC68" s="650"/>
      <c r="AD68" s="650"/>
      <c r="AE68" s="650"/>
      <c r="AF68" s="650"/>
      <c r="AG68" s="650"/>
      <c r="AH68" s="650"/>
      <c r="AI68" s="650"/>
      <c r="AJ68" s="650"/>
    </row>
    <row r="69">
      <c r="A69" s="550" t="s">
        <v>1810</v>
      </c>
      <c r="B69" s="584" t="s">
        <v>1811</v>
      </c>
      <c r="C69" s="584">
        <v>6.0</v>
      </c>
      <c r="D69" s="551">
        <v>3300000.0</v>
      </c>
      <c r="E69" s="550" t="s">
        <v>2153</v>
      </c>
      <c r="F69" s="550" t="s">
        <v>2865</v>
      </c>
      <c r="G69" s="555"/>
      <c r="H69" s="551">
        <v>3300000.0</v>
      </c>
      <c r="I69" s="550">
        <v>2.0</v>
      </c>
      <c r="J69" s="555"/>
      <c r="K69" s="653"/>
      <c r="L69" s="584" t="s">
        <v>2882</v>
      </c>
      <c r="M69" s="555"/>
      <c r="N69" s="565"/>
      <c r="O69" s="570" t="s">
        <v>2883</v>
      </c>
      <c r="P69" s="570" t="s">
        <v>2800</v>
      </c>
      <c r="Q69" s="644"/>
      <c r="R69" s="654" t="s">
        <v>2801</v>
      </c>
      <c r="S69" s="650"/>
      <c r="T69" s="650"/>
      <c r="U69" s="650"/>
      <c r="V69" s="650"/>
      <c r="W69" s="650"/>
      <c r="X69" s="650"/>
      <c r="Y69" s="568"/>
      <c r="Z69" s="650"/>
      <c r="AA69" s="650"/>
      <c r="AB69" s="650"/>
      <c r="AC69" s="650"/>
      <c r="AD69" s="650"/>
      <c r="AE69" s="650"/>
      <c r="AF69" s="650"/>
      <c r="AG69" s="650"/>
      <c r="AH69" s="650"/>
      <c r="AI69" s="650"/>
      <c r="AJ69" s="650"/>
    </row>
    <row r="70">
      <c r="A70" s="550" t="s">
        <v>1645</v>
      </c>
      <c r="B70" s="555"/>
      <c r="C70" s="550">
        <v>6.0</v>
      </c>
      <c r="D70" s="551">
        <v>156000.0</v>
      </c>
      <c r="E70" s="550" t="s">
        <v>2514</v>
      </c>
      <c r="F70" s="550" t="s">
        <v>23</v>
      </c>
      <c r="G70" s="555"/>
      <c r="H70" s="551">
        <v>156000.0</v>
      </c>
      <c r="I70" s="550">
        <v>4.0</v>
      </c>
      <c r="J70" s="595"/>
      <c r="K70" s="555"/>
      <c r="L70" s="584" t="s">
        <v>2884</v>
      </c>
      <c r="M70" s="555"/>
      <c r="N70" s="565"/>
      <c r="O70" s="570" t="s">
        <v>2885</v>
      </c>
      <c r="P70" s="570" t="s">
        <v>2755</v>
      </c>
      <c r="Q70" s="555"/>
      <c r="R70" s="555"/>
      <c r="S70" s="650"/>
      <c r="T70" s="650"/>
      <c r="U70" s="644"/>
      <c r="V70" s="650"/>
      <c r="W70" s="650"/>
      <c r="X70" s="650"/>
      <c r="Y70" s="568"/>
      <c r="Z70" s="555"/>
      <c r="AA70" s="555"/>
      <c r="AB70" s="555"/>
      <c r="AC70" s="555"/>
      <c r="AD70" s="555"/>
      <c r="AE70" s="555"/>
      <c r="AF70" s="555"/>
      <c r="AG70" s="555"/>
      <c r="AH70" s="555"/>
      <c r="AI70" s="555"/>
      <c r="AJ70" s="555"/>
    </row>
    <row r="71">
      <c r="A71" s="550" t="s">
        <v>2544</v>
      </c>
      <c r="B71" s="555"/>
      <c r="C71" s="550">
        <v>6.0</v>
      </c>
      <c r="D71" s="551">
        <v>515000.0</v>
      </c>
      <c r="E71" s="550" t="s">
        <v>2514</v>
      </c>
      <c r="F71" s="550" t="s">
        <v>23</v>
      </c>
      <c r="G71" s="555"/>
      <c r="H71" s="551">
        <v>515000.0</v>
      </c>
      <c r="I71" s="550">
        <v>4.0</v>
      </c>
      <c r="J71" s="595"/>
      <c r="K71" s="555"/>
      <c r="L71" s="584" t="s">
        <v>2886</v>
      </c>
      <c r="M71" s="555"/>
      <c r="N71" s="565"/>
      <c r="O71" s="570" t="s">
        <v>2755</v>
      </c>
      <c r="P71" s="566"/>
      <c r="Q71" s="555"/>
      <c r="R71" s="555"/>
      <c r="S71" s="650"/>
      <c r="T71" s="650"/>
      <c r="U71" s="644"/>
      <c r="V71" s="650"/>
      <c r="W71" s="650"/>
      <c r="X71" s="650"/>
      <c r="Y71" s="568"/>
      <c r="Z71" s="555"/>
      <c r="AA71" s="555"/>
      <c r="AB71" s="555"/>
      <c r="AC71" s="555"/>
      <c r="AD71" s="555"/>
      <c r="AE71" s="555"/>
      <c r="AF71" s="555"/>
      <c r="AG71" s="555"/>
      <c r="AH71" s="555"/>
      <c r="AI71" s="555"/>
      <c r="AJ71" s="555"/>
    </row>
    <row r="72">
      <c r="A72" s="550" t="s">
        <v>1632</v>
      </c>
      <c r="B72" s="555"/>
      <c r="C72" s="550">
        <v>6.0</v>
      </c>
      <c r="D72" s="551">
        <v>231400.0</v>
      </c>
      <c r="E72" s="550" t="s">
        <v>2514</v>
      </c>
      <c r="F72" s="550" t="s">
        <v>23</v>
      </c>
      <c r="G72" s="550" t="s">
        <v>29</v>
      </c>
      <c r="H72" s="551">
        <v>231400.0</v>
      </c>
      <c r="I72" s="550">
        <v>2.0</v>
      </c>
      <c r="J72" s="595"/>
      <c r="K72" s="555"/>
      <c r="L72" s="551" t="s">
        <v>2887</v>
      </c>
      <c r="M72" s="555"/>
      <c r="N72" s="565"/>
      <c r="O72" s="570" t="s">
        <v>1635</v>
      </c>
      <c r="P72" s="570" t="s">
        <v>2755</v>
      </c>
      <c r="Q72" s="555"/>
      <c r="R72" s="555"/>
      <c r="S72" s="650"/>
      <c r="T72" s="650"/>
      <c r="U72" s="644"/>
      <c r="V72" s="650"/>
      <c r="W72" s="650"/>
      <c r="X72" s="650"/>
      <c r="Y72" s="568"/>
      <c r="Z72" s="555"/>
      <c r="AA72" s="555"/>
      <c r="AB72" s="555"/>
      <c r="AC72" s="555"/>
      <c r="AD72" s="555"/>
      <c r="AE72" s="555"/>
      <c r="AF72" s="555"/>
      <c r="AG72" s="555"/>
      <c r="AH72" s="555"/>
      <c r="AI72" s="555"/>
      <c r="AJ72" s="555"/>
    </row>
    <row r="73">
      <c r="A73" s="550" t="s">
        <v>2888</v>
      </c>
      <c r="B73" s="555"/>
      <c r="C73" s="550">
        <v>6.0</v>
      </c>
      <c r="D73" s="551">
        <v>130495.0</v>
      </c>
      <c r="E73" s="550" t="s">
        <v>2514</v>
      </c>
      <c r="F73" s="550" t="s">
        <v>2832</v>
      </c>
      <c r="G73" s="555"/>
      <c r="H73" s="551">
        <v>130495.0</v>
      </c>
      <c r="I73" s="550">
        <v>4.0</v>
      </c>
      <c r="J73" s="595"/>
      <c r="K73" s="555"/>
      <c r="L73" s="584" t="s">
        <v>2889</v>
      </c>
      <c r="M73" s="555"/>
      <c r="N73" s="565"/>
      <c r="O73" s="570" t="s">
        <v>2890</v>
      </c>
      <c r="P73" s="570" t="s">
        <v>2755</v>
      </c>
      <c r="Q73" s="555"/>
      <c r="R73" s="555"/>
      <c r="S73" s="650"/>
      <c r="T73" s="650"/>
      <c r="U73" s="644"/>
      <c r="V73" s="650"/>
      <c r="W73" s="650"/>
      <c r="X73" s="650"/>
      <c r="Y73" s="568"/>
      <c r="Z73" s="555"/>
      <c r="AA73" s="555"/>
      <c r="AB73" s="555"/>
      <c r="AC73" s="555"/>
      <c r="AD73" s="555"/>
      <c r="AE73" s="555"/>
      <c r="AF73" s="555"/>
      <c r="AG73" s="555"/>
      <c r="AH73" s="555"/>
      <c r="AI73" s="555"/>
      <c r="AJ73" s="555"/>
    </row>
    <row r="74">
      <c r="A74" s="550" t="s">
        <v>1627</v>
      </c>
      <c r="B74" s="550" t="s">
        <v>1628</v>
      </c>
      <c r="C74" s="550">
        <v>6.0</v>
      </c>
      <c r="D74" s="551">
        <v>1700000.0</v>
      </c>
      <c r="E74" s="550" t="s">
        <v>2514</v>
      </c>
      <c r="F74" s="550" t="s">
        <v>2832</v>
      </c>
      <c r="G74" s="555"/>
      <c r="H74" s="551">
        <v>1700000.0</v>
      </c>
      <c r="I74" s="550">
        <v>4.0</v>
      </c>
      <c r="J74" s="595"/>
      <c r="K74" s="555"/>
      <c r="L74" s="584" t="s">
        <v>2891</v>
      </c>
      <c r="M74" s="555"/>
      <c r="N74" s="565"/>
      <c r="O74" s="570" t="s">
        <v>2755</v>
      </c>
      <c r="P74" s="566"/>
      <c r="Q74" s="555"/>
      <c r="R74" s="555"/>
      <c r="S74" s="650"/>
      <c r="T74" s="650"/>
      <c r="U74" s="644"/>
      <c r="V74" s="650"/>
      <c r="W74" s="650"/>
      <c r="X74" s="650"/>
      <c r="Y74" s="568"/>
      <c r="Z74" s="555"/>
      <c r="AA74" s="555"/>
      <c r="AB74" s="555"/>
      <c r="AC74" s="555"/>
      <c r="AD74" s="555"/>
      <c r="AE74" s="555"/>
      <c r="AF74" s="555"/>
      <c r="AG74" s="555"/>
      <c r="AH74" s="555"/>
      <c r="AI74" s="555"/>
      <c r="AJ74" s="555"/>
    </row>
    <row r="75">
      <c r="A75" s="550" t="s">
        <v>1636</v>
      </c>
      <c r="B75" s="653"/>
      <c r="C75" s="584">
        <v>6.0</v>
      </c>
      <c r="D75" s="551">
        <v>800000.0</v>
      </c>
      <c r="E75" s="550" t="s">
        <v>2514</v>
      </c>
      <c r="F75" s="550" t="s">
        <v>2832</v>
      </c>
      <c r="G75" s="555"/>
      <c r="H75" s="551">
        <v>800000.0</v>
      </c>
      <c r="I75" s="550" t="s">
        <v>2892</v>
      </c>
      <c r="J75" s="555"/>
      <c r="K75" s="653"/>
      <c r="L75" s="550" t="s">
        <v>2893</v>
      </c>
      <c r="M75" s="555"/>
      <c r="N75" s="565"/>
      <c r="O75" s="570" t="s">
        <v>2800</v>
      </c>
      <c r="P75" s="566"/>
      <c r="Q75" s="644"/>
      <c r="R75" s="654" t="s">
        <v>2801</v>
      </c>
      <c r="S75" s="650"/>
      <c r="T75" s="650"/>
      <c r="U75" s="650"/>
      <c r="V75" s="650"/>
      <c r="W75" s="650"/>
      <c r="X75" s="650"/>
      <c r="Y75" s="568"/>
      <c r="Z75" s="650"/>
      <c r="AA75" s="650"/>
      <c r="AB75" s="650"/>
      <c r="AC75" s="650"/>
      <c r="AD75" s="650"/>
      <c r="AE75" s="650"/>
      <c r="AF75" s="650"/>
      <c r="AG75" s="650"/>
      <c r="AH75" s="650"/>
      <c r="AI75" s="650"/>
      <c r="AJ75" s="650"/>
    </row>
    <row r="76">
      <c r="A76" s="550" t="s">
        <v>1800</v>
      </c>
      <c r="B76" s="555"/>
      <c r="C76" s="550">
        <v>6.0</v>
      </c>
      <c r="D76" s="551">
        <v>105470.0</v>
      </c>
      <c r="E76" s="550" t="s">
        <v>2514</v>
      </c>
      <c r="F76" s="550" t="s">
        <v>2762</v>
      </c>
      <c r="G76" s="555"/>
      <c r="H76" s="551">
        <v>105470.0</v>
      </c>
      <c r="I76" s="550">
        <v>2.0</v>
      </c>
      <c r="J76" s="595"/>
      <c r="K76" s="555"/>
      <c r="L76" s="584" t="s">
        <v>2894</v>
      </c>
      <c r="M76" s="555"/>
      <c r="N76" s="565"/>
      <c r="O76" s="570" t="s">
        <v>1802</v>
      </c>
      <c r="P76" s="570" t="s">
        <v>2755</v>
      </c>
      <c r="Q76" s="555"/>
      <c r="R76" s="555"/>
      <c r="S76" s="650"/>
      <c r="T76" s="650"/>
      <c r="U76" s="644"/>
      <c r="V76" s="650"/>
      <c r="W76" s="650"/>
      <c r="X76" s="650"/>
      <c r="Y76" s="568"/>
      <c r="Z76" s="555"/>
      <c r="AA76" s="555"/>
      <c r="AB76" s="555"/>
      <c r="AC76" s="555"/>
      <c r="AD76" s="555"/>
      <c r="AE76" s="555"/>
      <c r="AF76" s="555"/>
      <c r="AG76" s="555"/>
      <c r="AH76" s="555"/>
      <c r="AI76" s="555"/>
      <c r="AJ76" s="555"/>
    </row>
    <row r="77">
      <c r="A77" s="550" t="s">
        <v>1794</v>
      </c>
      <c r="B77" s="550" t="s">
        <v>1795</v>
      </c>
      <c r="C77" s="550">
        <v>6.0</v>
      </c>
      <c r="D77" s="551">
        <v>180111.0</v>
      </c>
      <c r="E77" s="550" t="s">
        <v>2514</v>
      </c>
      <c r="F77" s="550" t="s">
        <v>2865</v>
      </c>
      <c r="G77" s="555"/>
      <c r="H77" s="551">
        <v>180111.0</v>
      </c>
      <c r="I77" s="550">
        <v>4.0</v>
      </c>
      <c r="J77" s="595"/>
      <c r="K77" s="555"/>
      <c r="L77" s="584" t="s">
        <v>2895</v>
      </c>
      <c r="M77" s="555"/>
      <c r="N77" s="565"/>
      <c r="O77" s="570" t="s">
        <v>1798</v>
      </c>
      <c r="P77" s="570" t="s">
        <v>2755</v>
      </c>
      <c r="Q77" s="555"/>
      <c r="R77" s="555"/>
      <c r="S77" s="650"/>
      <c r="T77" s="650"/>
      <c r="U77" s="644"/>
      <c r="V77" s="650"/>
      <c r="W77" s="650"/>
      <c r="X77" s="650"/>
      <c r="Y77" s="568"/>
      <c r="Z77" s="555"/>
      <c r="AA77" s="555"/>
      <c r="AB77" s="555"/>
      <c r="AC77" s="555"/>
      <c r="AD77" s="555"/>
      <c r="AE77" s="555"/>
      <c r="AF77" s="555"/>
      <c r="AG77" s="555"/>
      <c r="AH77" s="555"/>
      <c r="AI77" s="555"/>
      <c r="AJ77" s="555"/>
    </row>
    <row r="78">
      <c r="A78" s="550" t="s">
        <v>1786</v>
      </c>
      <c r="B78" s="555"/>
      <c r="C78" s="550">
        <v>6.0</v>
      </c>
      <c r="D78" s="551">
        <v>398000.0</v>
      </c>
      <c r="E78" s="550" t="s">
        <v>2514</v>
      </c>
      <c r="F78" s="550" t="s">
        <v>2865</v>
      </c>
      <c r="G78" s="555"/>
      <c r="H78" s="551">
        <v>398000.0</v>
      </c>
      <c r="I78" s="550">
        <v>4.0</v>
      </c>
      <c r="J78" s="595"/>
      <c r="K78" s="555"/>
      <c r="L78" s="584" t="s">
        <v>2896</v>
      </c>
      <c r="M78" s="555"/>
      <c r="N78" s="565"/>
      <c r="O78" s="570" t="s">
        <v>2755</v>
      </c>
      <c r="P78" s="566"/>
      <c r="Q78" s="555"/>
      <c r="R78" s="555"/>
      <c r="S78" s="650"/>
      <c r="T78" s="650"/>
      <c r="U78" s="644"/>
      <c r="V78" s="650"/>
      <c r="W78" s="650"/>
      <c r="X78" s="650"/>
      <c r="Y78" s="568"/>
      <c r="Z78" s="555"/>
      <c r="AA78" s="555"/>
      <c r="AB78" s="555"/>
      <c r="AC78" s="555"/>
      <c r="AD78" s="555"/>
      <c r="AE78" s="555"/>
      <c r="AF78" s="555"/>
      <c r="AG78" s="555"/>
      <c r="AH78" s="555"/>
      <c r="AI78" s="555"/>
      <c r="AJ78" s="555"/>
    </row>
    <row r="79">
      <c r="A79" s="550" t="s">
        <v>1777</v>
      </c>
      <c r="B79" s="555"/>
      <c r="C79" s="584">
        <v>6.0</v>
      </c>
      <c r="D79" s="551">
        <v>260000.0</v>
      </c>
      <c r="E79" s="550" t="s">
        <v>1676</v>
      </c>
      <c r="F79" s="550" t="s">
        <v>2762</v>
      </c>
      <c r="G79" s="550" t="s">
        <v>29</v>
      </c>
      <c r="H79" s="551">
        <v>260000.0</v>
      </c>
      <c r="I79" s="550">
        <v>5.0</v>
      </c>
      <c r="J79" s="555"/>
      <c r="K79" s="653"/>
      <c r="L79" s="584" t="s">
        <v>2897</v>
      </c>
      <c r="M79" s="555"/>
      <c r="N79" s="565"/>
      <c r="O79" s="570" t="s">
        <v>1780</v>
      </c>
      <c r="P79" s="566"/>
      <c r="Q79" s="644"/>
      <c r="R79" s="654" t="s">
        <v>507</v>
      </c>
      <c r="S79" s="650"/>
      <c r="T79" s="650"/>
      <c r="U79" s="650"/>
      <c r="V79" s="650"/>
      <c r="W79" s="650"/>
      <c r="X79" s="650"/>
      <c r="Y79" s="568"/>
      <c r="Z79" s="650"/>
      <c r="AA79" s="650"/>
      <c r="AB79" s="650"/>
      <c r="AC79" s="650"/>
      <c r="AD79" s="650"/>
      <c r="AE79" s="650"/>
      <c r="AF79" s="650"/>
      <c r="AG79" s="650"/>
      <c r="AH79" s="650"/>
      <c r="AI79" s="650"/>
      <c r="AJ79" s="650"/>
    </row>
    <row r="80">
      <c r="A80" s="550" t="s">
        <v>244</v>
      </c>
      <c r="B80" s="555"/>
      <c r="C80" s="584">
        <v>6.0</v>
      </c>
      <c r="D80" s="551">
        <v>114000.0</v>
      </c>
      <c r="E80" s="550" t="s">
        <v>129</v>
      </c>
      <c r="F80" s="550" t="s">
        <v>23</v>
      </c>
      <c r="G80" s="550" t="s">
        <v>29</v>
      </c>
      <c r="H80" s="551">
        <v>114000.0</v>
      </c>
      <c r="I80" s="550">
        <v>1.0</v>
      </c>
      <c r="J80" s="555"/>
      <c r="K80" s="653"/>
      <c r="L80" s="584" t="s">
        <v>2898</v>
      </c>
      <c r="M80" s="555"/>
      <c r="N80" s="565"/>
      <c r="O80" s="570" t="s">
        <v>1805</v>
      </c>
      <c r="P80" s="566"/>
      <c r="Q80" s="644"/>
      <c r="R80" s="656" t="s">
        <v>507</v>
      </c>
      <c r="S80" s="650"/>
      <c r="T80" s="650"/>
      <c r="U80" s="650"/>
      <c r="V80" s="650"/>
      <c r="W80" s="650"/>
      <c r="X80" s="650"/>
      <c r="Y80" s="568"/>
      <c r="Z80" s="650"/>
      <c r="AA80" s="650"/>
      <c r="AB80" s="650"/>
      <c r="AC80" s="650"/>
      <c r="AD80" s="650"/>
      <c r="AE80" s="650"/>
      <c r="AF80" s="650"/>
      <c r="AG80" s="650"/>
      <c r="AH80" s="650"/>
      <c r="AI80" s="650"/>
      <c r="AJ80" s="650"/>
    </row>
    <row r="81">
      <c r="A81" s="550" t="s">
        <v>1640</v>
      </c>
      <c r="B81" s="550" t="s">
        <v>1641</v>
      </c>
      <c r="C81" s="584">
        <v>6.0</v>
      </c>
      <c r="D81" s="551">
        <v>2300000.0</v>
      </c>
      <c r="E81" s="550" t="s">
        <v>28</v>
      </c>
      <c r="F81" s="550" t="s">
        <v>23</v>
      </c>
      <c r="G81" s="555"/>
      <c r="H81" s="551">
        <v>2300000.0</v>
      </c>
      <c r="I81" s="550">
        <v>3.0</v>
      </c>
      <c r="J81" s="555"/>
      <c r="K81" s="653"/>
      <c r="L81" s="550" t="s">
        <v>2899</v>
      </c>
      <c r="M81" s="555"/>
      <c r="N81" s="565"/>
      <c r="O81" s="570" t="s">
        <v>2800</v>
      </c>
      <c r="P81" s="566"/>
      <c r="Q81" s="644"/>
      <c r="R81" s="654" t="s">
        <v>2801</v>
      </c>
      <c r="S81" s="650"/>
      <c r="T81" s="650"/>
      <c r="U81" s="650"/>
      <c r="V81" s="650"/>
      <c r="W81" s="650"/>
      <c r="X81" s="650"/>
      <c r="Y81" s="568"/>
      <c r="Z81" s="650"/>
      <c r="AA81" s="650"/>
      <c r="AB81" s="650"/>
      <c r="AC81" s="650"/>
      <c r="AD81" s="650"/>
      <c r="AE81" s="650"/>
      <c r="AF81" s="650"/>
      <c r="AG81" s="650"/>
      <c r="AH81" s="650"/>
      <c r="AI81" s="650"/>
      <c r="AJ81" s="650"/>
    </row>
    <row r="82">
      <c r="A82" s="581" t="s">
        <v>1781</v>
      </c>
      <c r="B82" s="550" t="s">
        <v>2900</v>
      </c>
      <c r="C82" s="584">
        <v>6.0</v>
      </c>
      <c r="D82" s="551">
        <v>1500000.0</v>
      </c>
      <c r="E82" s="550" t="s">
        <v>28</v>
      </c>
      <c r="F82" s="550" t="s">
        <v>23</v>
      </c>
      <c r="G82" s="555"/>
      <c r="H82" s="551">
        <v>1500000.0</v>
      </c>
      <c r="I82" s="550">
        <v>2.0</v>
      </c>
      <c r="J82" s="555"/>
      <c r="K82" s="653"/>
      <c r="L82" s="584" t="s">
        <v>2901</v>
      </c>
      <c r="M82" s="555"/>
      <c r="N82" s="565"/>
      <c r="O82" s="570" t="s">
        <v>1784</v>
      </c>
      <c r="P82" s="570" t="s">
        <v>1785</v>
      </c>
      <c r="Q82" s="650"/>
      <c r="R82" s="654" t="s">
        <v>507</v>
      </c>
      <c r="S82" s="650"/>
      <c r="T82" s="650"/>
      <c r="U82" s="650"/>
      <c r="V82" s="650"/>
      <c r="W82" s="650"/>
      <c r="X82" s="650"/>
      <c r="Y82" s="568"/>
      <c r="Z82" s="650"/>
      <c r="AA82" s="650"/>
      <c r="AB82" s="650"/>
      <c r="AC82" s="650"/>
      <c r="AD82" s="650"/>
      <c r="AE82" s="650"/>
      <c r="AF82" s="650"/>
      <c r="AG82" s="650"/>
      <c r="AH82" s="650"/>
      <c r="AI82" s="650"/>
      <c r="AJ82" s="650"/>
    </row>
    <row r="83">
      <c r="A83" s="550" t="s">
        <v>1849</v>
      </c>
      <c r="B83" s="555"/>
      <c r="C83" s="584">
        <v>5.0</v>
      </c>
      <c r="D83" s="551">
        <v>160000.0</v>
      </c>
      <c r="E83" s="550" t="s">
        <v>2060</v>
      </c>
      <c r="F83" s="550" t="s">
        <v>23</v>
      </c>
      <c r="G83" s="555"/>
      <c r="H83" s="551">
        <v>160000.0</v>
      </c>
      <c r="I83" s="550">
        <v>2.0</v>
      </c>
      <c r="J83" s="555"/>
      <c r="K83" s="653"/>
      <c r="L83" s="550" t="s">
        <v>2902</v>
      </c>
      <c r="M83" s="555"/>
      <c r="N83" s="565"/>
      <c r="O83" s="570" t="s">
        <v>2903</v>
      </c>
      <c r="P83" s="570" t="s">
        <v>2800</v>
      </c>
      <c r="Q83" s="650"/>
      <c r="R83" s="654" t="s">
        <v>2801</v>
      </c>
      <c r="S83" s="650"/>
      <c r="T83" s="650"/>
      <c r="U83" s="650"/>
      <c r="V83" s="650"/>
      <c r="W83" s="650"/>
      <c r="X83" s="650"/>
      <c r="Y83" s="568"/>
      <c r="Z83" s="650"/>
      <c r="AA83" s="650"/>
      <c r="AB83" s="650"/>
      <c r="AC83" s="650"/>
      <c r="AD83" s="650"/>
      <c r="AE83" s="650"/>
      <c r="AF83" s="650"/>
      <c r="AG83" s="650"/>
      <c r="AH83" s="650"/>
      <c r="AI83" s="650"/>
      <c r="AJ83" s="650"/>
    </row>
    <row r="84">
      <c r="A84" s="658" t="s">
        <v>1836</v>
      </c>
      <c r="B84" s="584" t="s">
        <v>1837</v>
      </c>
      <c r="C84" s="584">
        <v>5.0</v>
      </c>
      <c r="D84" s="551">
        <v>5000000.0</v>
      </c>
      <c r="E84" s="550" t="s">
        <v>2153</v>
      </c>
      <c r="F84" s="550" t="s">
        <v>23</v>
      </c>
      <c r="G84" s="555"/>
      <c r="H84" s="551">
        <v>5000000.0</v>
      </c>
      <c r="I84" s="550">
        <v>1.0</v>
      </c>
      <c r="J84" s="555"/>
      <c r="K84" s="653"/>
      <c r="L84" s="584" t="s">
        <v>2904</v>
      </c>
      <c r="M84" s="555"/>
      <c r="N84" s="565"/>
      <c r="O84" s="570" t="s">
        <v>2905</v>
      </c>
      <c r="P84" s="566"/>
      <c r="Q84" s="644"/>
      <c r="R84" s="654" t="s">
        <v>1839</v>
      </c>
      <c r="S84" s="650"/>
      <c r="T84" s="650"/>
      <c r="U84" s="650"/>
      <c r="V84" s="650"/>
      <c r="W84" s="650"/>
      <c r="X84" s="650"/>
      <c r="Y84" s="568"/>
      <c r="Z84" s="644"/>
      <c r="AA84" s="644"/>
      <c r="AB84" s="644"/>
      <c r="AC84" s="644"/>
      <c r="AD84" s="644"/>
      <c r="AE84" s="659"/>
      <c r="AF84" s="660"/>
      <c r="AG84" s="644"/>
      <c r="AH84" s="644"/>
      <c r="AI84" s="644"/>
      <c r="AJ84" s="650"/>
    </row>
    <row r="85">
      <c r="A85" s="658" t="s">
        <v>1822</v>
      </c>
      <c r="B85" s="550" t="s">
        <v>1823</v>
      </c>
      <c r="C85" s="584">
        <v>5.0</v>
      </c>
      <c r="D85" s="551">
        <v>1.3E8</v>
      </c>
      <c r="E85" s="550" t="s">
        <v>2153</v>
      </c>
      <c r="F85" s="550" t="s">
        <v>23</v>
      </c>
      <c r="G85" s="555"/>
      <c r="H85" s="551">
        <v>1.3E8</v>
      </c>
      <c r="I85" s="550">
        <v>3.0</v>
      </c>
      <c r="J85" s="555"/>
      <c r="K85" s="653"/>
      <c r="L85" s="584" t="s">
        <v>2906</v>
      </c>
      <c r="M85" s="555"/>
      <c r="N85" s="565"/>
      <c r="O85" s="570" t="s">
        <v>2907</v>
      </c>
      <c r="P85" s="570" t="s">
        <v>2803</v>
      </c>
      <c r="Q85" s="644"/>
      <c r="R85" s="654" t="s">
        <v>507</v>
      </c>
      <c r="S85" s="650"/>
      <c r="T85" s="650"/>
      <c r="U85" s="650"/>
      <c r="V85" s="650"/>
      <c r="W85" s="650"/>
      <c r="X85" s="650"/>
      <c r="Y85" s="568"/>
      <c r="Z85" s="650"/>
      <c r="AA85" s="650"/>
      <c r="AB85" s="650"/>
      <c r="AC85" s="650"/>
      <c r="AD85" s="650"/>
      <c r="AE85" s="661"/>
      <c r="AF85" s="662"/>
      <c r="AG85" s="650"/>
      <c r="AH85" s="650"/>
      <c r="AI85" s="650"/>
      <c r="AJ85" s="650"/>
    </row>
    <row r="86">
      <c r="A86" s="658" t="s">
        <v>2548</v>
      </c>
      <c r="B86" s="555"/>
      <c r="C86" s="584">
        <v>5.0</v>
      </c>
      <c r="D86" s="551">
        <v>8257378.0</v>
      </c>
      <c r="E86" s="550" t="s">
        <v>2520</v>
      </c>
      <c r="F86" s="550" t="s">
        <v>23</v>
      </c>
      <c r="G86" s="550" t="s">
        <v>29</v>
      </c>
      <c r="H86" s="551">
        <v>8257378.0</v>
      </c>
      <c r="I86" s="550">
        <v>4.0</v>
      </c>
      <c r="J86" s="555"/>
      <c r="K86" s="653"/>
      <c r="L86" s="550" t="s">
        <v>2908</v>
      </c>
      <c r="M86" s="555"/>
      <c r="N86" s="565"/>
      <c r="O86" s="570" t="s">
        <v>2800</v>
      </c>
      <c r="P86" s="566"/>
      <c r="Q86" s="650"/>
      <c r="R86" s="656" t="s">
        <v>2801</v>
      </c>
      <c r="S86" s="650"/>
      <c r="T86" s="663"/>
      <c r="U86" s="650"/>
      <c r="V86" s="650"/>
      <c r="W86" s="650"/>
      <c r="X86" s="650"/>
      <c r="Y86" s="568"/>
      <c r="Z86" s="650"/>
      <c r="AA86" s="650"/>
      <c r="AB86" s="650"/>
      <c r="AC86" s="650"/>
      <c r="AD86" s="650"/>
      <c r="AE86" s="661"/>
      <c r="AF86" s="662"/>
      <c r="AG86" s="650"/>
      <c r="AH86" s="650"/>
      <c r="AI86" s="650"/>
      <c r="AJ86" s="650"/>
    </row>
    <row r="87">
      <c r="A87" s="658" t="s">
        <v>1845</v>
      </c>
      <c r="B87" s="555"/>
      <c r="C87" s="584">
        <v>5.0</v>
      </c>
      <c r="D87" s="551">
        <v>531400.0</v>
      </c>
      <c r="E87" s="550" t="s">
        <v>2514</v>
      </c>
      <c r="F87" s="550" t="s">
        <v>23</v>
      </c>
      <c r="G87" s="550" t="s">
        <v>29</v>
      </c>
      <c r="H87" s="551">
        <v>531400.0</v>
      </c>
      <c r="I87" s="550">
        <v>2.0</v>
      </c>
      <c r="J87" s="555"/>
      <c r="K87" s="653"/>
      <c r="L87" s="584" t="s">
        <v>2909</v>
      </c>
      <c r="M87" s="555"/>
      <c r="N87" s="565"/>
      <c r="O87" s="570" t="s">
        <v>2800</v>
      </c>
      <c r="P87" s="566"/>
      <c r="Q87" s="644"/>
      <c r="R87" s="654" t="s">
        <v>2801</v>
      </c>
      <c r="S87" s="650"/>
      <c r="T87" s="650"/>
      <c r="U87" s="650"/>
      <c r="V87" s="650"/>
      <c r="W87" s="650"/>
      <c r="X87" s="650"/>
      <c r="Y87" s="568"/>
      <c r="Z87" s="650"/>
      <c r="AA87" s="644"/>
      <c r="AB87" s="650"/>
      <c r="AC87" s="650"/>
      <c r="AD87" s="650"/>
      <c r="AE87" s="661"/>
      <c r="AF87" s="662"/>
      <c r="AG87" s="650"/>
      <c r="AH87" s="650"/>
      <c r="AI87" s="650"/>
      <c r="AJ87" s="650"/>
    </row>
    <row r="88">
      <c r="A88" s="658" t="s">
        <v>1773</v>
      </c>
      <c r="B88" s="550" t="s">
        <v>1774</v>
      </c>
      <c r="C88" s="584">
        <v>5.0</v>
      </c>
      <c r="D88" s="551">
        <v>1023209.0</v>
      </c>
      <c r="E88" s="550" t="s">
        <v>2514</v>
      </c>
      <c r="F88" s="550" t="s">
        <v>2910</v>
      </c>
      <c r="G88" s="550" t="s">
        <v>29</v>
      </c>
      <c r="H88" s="551">
        <v>1023209.0</v>
      </c>
      <c r="I88" s="550">
        <v>2.0</v>
      </c>
      <c r="J88" s="555"/>
      <c r="K88" s="571"/>
      <c r="L88" s="584" t="s">
        <v>2911</v>
      </c>
      <c r="M88" s="555"/>
      <c r="N88" s="565"/>
      <c r="O88" s="570" t="s">
        <v>2912</v>
      </c>
      <c r="P88" s="570" t="s">
        <v>2755</v>
      </c>
      <c r="Q88" s="644"/>
      <c r="R88" s="654" t="s">
        <v>2801</v>
      </c>
      <c r="S88" s="571"/>
      <c r="T88" s="650"/>
      <c r="U88" s="650"/>
      <c r="V88" s="650"/>
      <c r="W88" s="650"/>
      <c r="X88" s="650"/>
      <c r="Y88" s="568"/>
      <c r="Z88" s="650"/>
      <c r="AA88" s="650"/>
      <c r="AB88" s="650"/>
      <c r="AC88" s="650"/>
      <c r="AD88" s="650"/>
      <c r="AE88" s="661"/>
      <c r="AF88" s="662"/>
      <c r="AG88" s="650"/>
      <c r="AH88" s="650"/>
      <c r="AI88" s="650"/>
      <c r="AJ88" s="650"/>
    </row>
    <row r="89">
      <c r="A89" s="658" t="s">
        <v>1396</v>
      </c>
      <c r="B89" s="555"/>
      <c r="C89" s="550">
        <v>5.0</v>
      </c>
      <c r="D89" s="551">
        <v>344579.0</v>
      </c>
      <c r="E89" s="550" t="s">
        <v>2514</v>
      </c>
      <c r="F89" s="550" t="s">
        <v>2832</v>
      </c>
      <c r="G89" s="550" t="s">
        <v>29</v>
      </c>
      <c r="H89" s="551">
        <v>344579.0</v>
      </c>
      <c r="I89" s="550">
        <v>4.0</v>
      </c>
      <c r="J89" s="595"/>
      <c r="K89" s="555"/>
      <c r="L89" s="584" t="s">
        <v>2913</v>
      </c>
      <c r="M89" s="555"/>
      <c r="N89" s="565"/>
      <c r="O89" s="570" t="s">
        <v>2914</v>
      </c>
      <c r="P89" s="570" t="s">
        <v>2755</v>
      </c>
      <c r="Q89" s="555"/>
      <c r="R89" s="555"/>
      <c r="S89" s="650"/>
      <c r="T89" s="650"/>
      <c r="U89" s="644"/>
      <c r="V89" s="650"/>
      <c r="W89" s="650"/>
      <c r="X89" s="650"/>
      <c r="Y89" s="568"/>
      <c r="Z89" s="555"/>
      <c r="AA89" s="555"/>
      <c r="AB89" s="555"/>
      <c r="AC89" s="555"/>
      <c r="AD89" s="555"/>
      <c r="AE89" s="664"/>
      <c r="AF89" s="665"/>
      <c r="AG89" s="555"/>
      <c r="AH89" s="555"/>
      <c r="AI89" s="555"/>
      <c r="AJ89" s="555"/>
    </row>
    <row r="90">
      <c r="A90" s="658" t="s">
        <v>1853</v>
      </c>
      <c r="B90" s="550" t="s">
        <v>1854</v>
      </c>
      <c r="C90" s="584">
        <v>5.0</v>
      </c>
      <c r="D90" s="551">
        <v>1500000.0</v>
      </c>
      <c r="E90" s="550" t="s">
        <v>2514</v>
      </c>
      <c r="F90" s="550" t="s">
        <v>2832</v>
      </c>
      <c r="G90" s="550" t="s">
        <v>29</v>
      </c>
      <c r="H90" s="551">
        <v>1500000.0</v>
      </c>
      <c r="I90" s="550">
        <v>2.0</v>
      </c>
      <c r="J90" s="555"/>
      <c r="K90" s="653"/>
      <c r="L90" s="584" t="s">
        <v>2915</v>
      </c>
      <c r="M90" s="555"/>
      <c r="N90" s="565"/>
      <c r="O90" s="570" t="s">
        <v>2800</v>
      </c>
      <c r="P90" s="566"/>
      <c r="Q90" s="650"/>
      <c r="R90" s="654" t="s">
        <v>2801</v>
      </c>
      <c r="S90" s="650"/>
      <c r="T90" s="650"/>
      <c r="U90" s="650"/>
      <c r="V90" s="650"/>
      <c r="W90" s="650"/>
      <c r="X90" s="650"/>
      <c r="Y90" s="568"/>
      <c r="Z90" s="650"/>
      <c r="AA90" s="650"/>
      <c r="AB90" s="650"/>
      <c r="AC90" s="650"/>
      <c r="AD90" s="650"/>
      <c r="AE90" s="661"/>
      <c r="AF90" s="662"/>
      <c r="AG90" s="650"/>
      <c r="AH90" s="650"/>
      <c r="AI90" s="650"/>
      <c r="AJ90" s="650"/>
    </row>
    <row r="91">
      <c r="A91" s="550" t="s">
        <v>1768</v>
      </c>
      <c r="B91" s="555"/>
      <c r="C91" s="550">
        <v>5.0</v>
      </c>
      <c r="D91" s="551">
        <v>1220000.0</v>
      </c>
      <c r="E91" s="550" t="s">
        <v>2514</v>
      </c>
      <c r="F91" s="550" t="s">
        <v>2762</v>
      </c>
      <c r="G91" s="555"/>
      <c r="H91" s="551">
        <v>1220000.0</v>
      </c>
      <c r="I91" s="552" t="s">
        <v>2916</v>
      </c>
      <c r="J91" s="595"/>
      <c r="K91" s="555"/>
      <c r="L91" s="584" t="s">
        <v>2917</v>
      </c>
      <c r="M91" s="555"/>
      <c r="N91" s="565"/>
      <c r="O91" s="570" t="s">
        <v>2918</v>
      </c>
      <c r="P91" s="570" t="s">
        <v>2755</v>
      </c>
      <c r="Q91" s="555"/>
      <c r="R91" s="555"/>
      <c r="S91" s="650"/>
      <c r="T91" s="650"/>
      <c r="U91" s="644"/>
      <c r="V91" s="650"/>
      <c r="W91" s="650"/>
      <c r="X91" s="650"/>
      <c r="Y91" s="568"/>
      <c r="Z91" s="555"/>
      <c r="AA91" s="555"/>
      <c r="AB91" s="555"/>
      <c r="AC91" s="555"/>
      <c r="AD91" s="555"/>
      <c r="AE91" s="664"/>
      <c r="AF91" s="665"/>
      <c r="AG91" s="555"/>
      <c r="AH91" s="555"/>
      <c r="AI91" s="555"/>
      <c r="AJ91" s="555"/>
    </row>
    <row r="92">
      <c r="A92" s="550" t="s">
        <v>2919</v>
      </c>
      <c r="B92" s="555"/>
      <c r="C92" s="584">
        <v>5.0</v>
      </c>
      <c r="D92" s="551">
        <v>72000.0</v>
      </c>
      <c r="E92" s="550" t="s">
        <v>1676</v>
      </c>
      <c r="F92" s="550" t="s">
        <v>2832</v>
      </c>
      <c r="G92" s="550" t="s">
        <v>29</v>
      </c>
      <c r="H92" s="551">
        <v>72000.0</v>
      </c>
      <c r="I92" s="550">
        <v>2.0</v>
      </c>
      <c r="J92" s="555"/>
      <c r="K92" s="653"/>
      <c r="L92" s="550" t="s">
        <v>2920</v>
      </c>
      <c r="M92" s="555"/>
      <c r="N92" s="565"/>
      <c r="O92" s="570" t="s">
        <v>2800</v>
      </c>
      <c r="P92" s="566"/>
      <c r="Q92" s="650"/>
      <c r="R92" s="654" t="s">
        <v>2801</v>
      </c>
      <c r="S92" s="650"/>
      <c r="T92" s="650"/>
      <c r="U92" s="650"/>
      <c r="V92" s="650"/>
      <c r="W92" s="650"/>
      <c r="X92" s="650"/>
      <c r="Y92" s="568"/>
      <c r="Z92" s="650"/>
      <c r="AA92" s="650"/>
      <c r="AB92" s="650"/>
      <c r="AC92" s="650"/>
      <c r="AD92" s="650"/>
      <c r="AE92" s="661"/>
      <c r="AF92" s="662"/>
      <c r="AG92" s="650"/>
      <c r="AH92" s="650"/>
      <c r="AI92" s="650"/>
      <c r="AJ92" s="650"/>
    </row>
    <row r="93">
      <c r="A93" s="550" t="s">
        <v>1777</v>
      </c>
      <c r="B93" s="555"/>
      <c r="C93" s="584">
        <v>5.0</v>
      </c>
      <c r="D93" s="551">
        <v>7.6E7</v>
      </c>
      <c r="E93" s="550" t="s">
        <v>1676</v>
      </c>
      <c r="F93" s="550" t="s">
        <v>2832</v>
      </c>
      <c r="G93" s="555"/>
      <c r="H93" s="551">
        <v>7.6E7</v>
      </c>
      <c r="I93" s="550">
        <v>2.0</v>
      </c>
      <c r="J93" s="555"/>
      <c r="K93" s="653"/>
      <c r="L93" s="584" t="s">
        <v>2921</v>
      </c>
      <c r="M93" s="555"/>
      <c r="N93" s="565"/>
      <c r="O93" s="570" t="s">
        <v>1858</v>
      </c>
      <c r="P93" s="570" t="s">
        <v>2800</v>
      </c>
      <c r="Q93" s="644"/>
      <c r="R93" s="654" t="s">
        <v>2801</v>
      </c>
      <c r="S93" s="650"/>
      <c r="T93" s="650"/>
      <c r="U93" s="650"/>
      <c r="V93" s="650"/>
      <c r="W93" s="650"/>
      <c r="X93" s="650"/>
      <c r="Y93" s="568"/>
      <c r="Z93" s="650"/>
      <c r="AA93" s="650"/>
      <c r="AB93" s="650"/>
      <c r="AC93" s="650"/>
      <c r="AD93" s="650"/>
      <c r="AE93" s="661"/>
      <c r="AF93" s="662"/>
      <c r="AG93" s="650"/>
      <c r="AH93" s="650"/>
      <c r="AI93" s="650"/>
      <c r="AJ93" s="650"/>
    </row>
    <row r="94">
      <c r="A94" s="550" t="s">
        <v>1828</v>
      </c>
      <c r="B94" s="555"/>
      <c r="C94" s="584">
        <v>5.0</v>
      </c>
      <c r="D94" s="551">
        <v>131000.0</v>
      </c>
      <c r="E94" s="550" t="s">
        <v>1676</v>
      </c>
      <c r="F94" s="550" t="s">
        <v>2762</v>
      </c>
      <c r="G94" s="550" t="s">
        <v>29</v>
      </c>
      <c r="H94" s="551">
        <v>131000.0</v>
      </c>
      <c r="I94" s="550">
        <v>2.0</v>
      </c>
      <c r="J94" s="555"/>
      <c r="K94" s="653"/>
      <c r="L94" s="550" t="s">
        <v>2922</v>
      </c>
      <c r="M94" s="555"/>
      <c r="N94" s="565"/>
      <c r="O94" s="570" t="s">
        <v>2800</v>
      </c>
      <c r="P94" s="566"/>
      <c r="Q94" s="650"/>
      <c r="R94" s="654" t="s">
        <v>2801</v>
      </c>
      <c r="S94" s="650"/>
      <c r="T94" s="650"/>
      <c r="U94" s="650"/>
      <c r="V94" s="650"/>
      <c r="W94" s="650"/>
      <c r="X94" s="650"/>
      <c r="Y94" s="568"/>
      <c r="Z94" s="650"/>
      <c r="AA94" s="650"/>
      <c r="AB94" s="650"/>
      <c r="AC94" s="650"/>
      <c r="AD94" s="650"/>
      <c r="AE94" s="661"/>
      <c r="AF94" s="662"/>
      <c r="AG94" s="650"/>
      <c r="AH94" s="650"/>
      <c r="AI94" s="650"/>
      <c r="AJ94" s="650"/>
    </row>
    <row r="95">
      <c r="A95" s="658" t="s">
        <v>1841</v>
      </c>
      <c r="B95" s="550" t="s">
        <v>1842</v>
      </c>
      <c r="C95" s="584">
        <v>5.0</v>
      </c>
      <c r="D95" s="551">
        <v>573000.0</v>
      </c>
      <c r="E95" s="550" t="s">
        <v>50</v>
      </c>
      <c r="F95" s="550" t="s">
        <v>23</v>
      </c>
      <c r="G95" s="555"/>
      <c r="H95" s="551">
        <v>573000.0</v>
      </c>
      <c r="I95" s="550">
        <v>3.0</v>
      </c>
      <c r="J95" s="555"/>
      <c r="K95" s="653"/>
      <c r="L95" s="584" t="s">
        <v>2923</v>
      </c>
      <c r="M95" s="555"/>
      <c r="N95" s="565"/>
      <c r="O95" s="570" t="s">
        <v>2924</v>
      </c>
      <c r="P95" s="570" t="s">
        <v>1844</v>
      </c>
      <c r="Q95" s="650"/>
      <c r="R95" s="654" t="s">
        <v>2801</v>
      </c>
      <c r="S95" s="571"/>
      <c r="T95" s="650"/>
      <c r="U95" s="650"/>
      <c r="V95" s="650"/>
      <c r="W95" s="650"/>
      <c r="X95" s="650"/>
      <c r="Y95" s="568"/>
      <c r="Z95" s="650"/>
      <c r="AA95" s="650"/>
      <c r="AB95" s="650"/>
      <c r="AC95" s="650"/>
      <c r="AD95" s="650"/>
      <c r="AE95" s="661"/>
      <c r="AF95" s="662"/>
      <c r="AG95" s="650"/>
      <c r="AH95" s="650"/>
      <c r="AI95" s="650"/>
      <c r="AJ95" s="650"/>
    </row>
    <row r="96">
      <c r="A96" s="550" t="s">
        <v>1831</v>
      </c>
      <c r="B96" s="584" t="s">
        <v>1832</v>
      </c>
      <c r="C96" s="584">
        <v>5.0</v>
      </c>
      <c r="D96" s="551">
        <v>3.2E7</v>
      </c>
      <c r="E96" s="550" t="s">
        <v>1834</v>
      </c>
      <c r="F96" s="550" t="s">
        <v>23</v>
      </c>
      <c r="G96" s="550" t="s">
        <v>29</v>
      </c>
      <c r="H96" s="551">
        <v>3.2E7</v>
      </c>
      <c r="I96" s="550">
        <v>4.0</v>
      </c>
      <c r="J96" s="555"/>
      <c r="K96" s="653"/>
      <c r="L96" s="584" t="s">
        <v>2925</v>
      </c>
      <c r="M96" s="555"/>
      <c r="N96" s="565"/>
      <c r="O96" s="570" t="s">
        <v>1835</v>
      </c>
      <c r="P96" s="566"/>
      <c r="Q96" s="644"/>
      <c r="R96" s="654" t="s">
        <v>34</v>
      </c>
      <c r="S96" s="650"/>
      <c r="T96" s="650"/>
      <c r="U96" s="650"/>
      <c r="V96" s="650"/>
      <c r="W96" s="650"/>
      <c r="X96" s="650"/>
      <c r="Y96" s="568"/>
      <c r="Z96" s="650"/>
      <c r="AA96" s="650"/>
      <c r="AB96" s="650"/>
      <c r="AC96" s="650"/>
      <c r="AD96" s="650"/>
      <c r="AE96" s="661"/>
      <c r="AF96" s="662"/>
      <c r="AG96" s="650"/>
      <c r="AH96" s="650"/>
      <c r="AI96" s="650"/>
      <c r="AJ96" s="650"/>
    </row>
    <row r="97">
      <c r="A97" s="550" t="s">
        <v>149</v>
      </c>
      <c r="B97" s="555"/>
      <c r="C97" s="584">
        <v>4.0</v>
      </c>
      <c r="D97" s="551">
        <v>72000.0</v>
      </c>
      <c r="E97" s="550" t="s">
        <v>2060</v>
      </c>
      <c r="F97" s="550" t="s">
        <v>2762</v>
      </c>
      <c r="G97" s="555"/>
      <c r="H97" s="551">
        <v>72000.0</v>
      </c>
      <c r="I97" s="550">
        <v>2.0</v>
      </c>
      <c r="J97" s="571"/>
      <c r="K97" s="653"/>
      <c r="L97" s="584" t="s">
        <v>2926</v>
      </c>
      <c r="M97" s="555"/>
      <c r="N97" s="565"/>
      <c r="O97" s="570" t="s">
        <v>2800</v>
      </c>
      <c r="P97" s="570" t="s">
        <v>1901</v>
      </c>
      <c r="Q97" s="555"/>
      <c r="R97" s="656" t="s">
        <v>2801</v>
      </c>
      <c r="S97" s="650"/>
      <c r="T97" s="650"/>
      <c r="U97" s="650"/>
      <c r="V97" s="651"/>
      <c r="W97" s="651"/>
      <c r="X97" s="650"/>
      <c r="Y97" s="568"/>
      <c r="Z97" s="555"/>
      <c r="AA97" s="650"/>
      <c r="AB97" s="650"/>
      <c r="AC97" s="555"/>
      <c r="AD97" s="555"/>
      <c r="AE97" s="664"/>
      <c r="AF97" s="662"/>
      <c r="AG97" s="650"/>
      <c r="AH97" s="650"/>
      <c r="AI97" s="555"/>
      <c r="AJ97" s="650"/>
    </row>
    <row r="98">
      <c r="A98" s="550" t="s">
        <v>1867</v>
      </c>
      <c r="B98" s="555"/>
      <c r="C98" s="584">
        <v>4.0</v>
      </c>
      <c r="D98" s="551">
        <v>2100000.0</v>
      </c>
      <c r="E98" s="550" t="s">
        <v>2060</v>
      </c>
      <c r="F98" s="550" t="s">
        <v>2762</v>
      </c>
      <c r="G98" s="555"/>
      <c r="H98" s="551">
        <v>2100000.0</v>
      </c>
      <c r="I98" s="552" t="s">
        <v>2870</v>
      </c>
      <c r="J98" s="555"/>
      <c r="K98" s="653"/>
      <c r="L98" s="550" t="s">
        <v>2927</v>
      </c>
      <c r="M98" s="555"/>
      <c r="N98" s="565"/>
      <c r="O98" s="570" t="s">
        <v>2800</v>
      </c>
      <c r="P98" s="566"/>
      <c r="Q98" s="555"/>
      <c r="R98" s="654" t="s">
        <v>2801</v>
      </c>
      <c r="S98" s="650"/>
      <c r="T98" s="650"/>
      <c r="U98" s="650"/>
      <c r="V98" s="651"/>
      <c r="W98" s="650"/>
      <c r="X98" s="650"/>
      <c r="Y98" s="568"/>
      <c r="Z98" s="644"/>
      <c r="AA98" s="555"/>
      <c r="AB98" s="644"/>
      <c r="AC98" s="644"/>
      <c r="AD98" s="644"/>
      <c r="AE98" s="664"/>
      <c r="AF98" s="665"/>
      <c r="AG98" s="555"/>
      <c r="AH98" s="555"/>
      <c r="AI98" s="555"/>
      <c r="AJ98" s="650"/>
    </row>
    <row r="99">
      <c r="A99" s="550" t="s">
        <v>1902</v>
      </c>
      <c r="B99" s="555"/>
      <c r="C99" s="584">
        <v>4.0</v>
      </c>
      <c r="D99" s="551">
        <v>2200000.0</v>
      </c>
      <c r="E99" s="550" t="s">
        <v>2060</v>
      </c>
      <c r="F99" s="550" t="s">
        <v>2865</v>
      </c>
      <c r="G99" s="550" t="s">
        <v>29</v>
      </c>
      <c r="H99" s="551">
        <v>2200000.0</v>
      </c>
      <c r="I99" s="550">
        <v>4.0</v>
      </c>
      <c r="J99" s="555"/>
      <c r="K99" s="653"/>
      <c r="L99" s="584" t="s">
        <v>2928</v>
      </c>
      <c r="M99" s="555"/>
      <c r="N99" s="565"/>
      <c r="O99" s="570" t="s">
        <v>2800</v>
      </c>
      <c r="P99" s="566"/>
      <c r="Q99" s="650"/>
      <c r="R99" s="654" t="s">
        <v>2801</v>
      </c>
      <c r="S99" s="650"/>
      <c r="T99" s="650"/>
      <c r="U99" s="650"/>
      <c r="V99" s="650"/>
      <c r="W99" s="650"/>
      <c r="X99" s="650"/>
      <c r="Y99" s="568"/>
      <c r="Z99" s="650"/>
      <c r="AA99" s="650"/>
      <c r="AB99" s="650"/>
      <c r="AC99" s="650"/>
      <c r="AD99" s="650"/>
      <c r="AE99" s="661"/>
      <c r="AF99" s="662"/>
      <c r="AG99" s="650"/>
      <c r="AH99" s="650"/>
      <c r="AI99" s="650"/>
      <c r="AJ99" s="650"/>
    </row>
    <row r="100">
      <c r="A100" s="550" t="s">
        <v>1892</v>
      </c>
      <c r="B100" s="550" t="s">
        <v>1893</v>
      </c>
      <c r="C100" s="584">
        <v>4.0</v>
      </c>
      <c r="D100" s="551">
        <v>1.11E7</v>
      </c>
      <c r="E100" s="550" t="s">
        <v>2125</v>
      </c>
      <c r="F100" s="550" t="s">
        <v>59</v>
      </c>
      <c r="G100" s="555"/>
      <c r="H100" s="551">
        <v>1.11E7</v>
      </c>
      <c r="I100" s="550">
        <v>2.0</v>
      </c>
      <c r="J100" s="555"/>
      <c r="K100" s="653"/>
      <c r="L100" s="584" t="s">
        <v>2929</v>
      </c>
      <c r="M100" s="555"/>
      <c r="N100" s="565"/>
      <c r="O100" s="570" t="s">
        <v>2930</v>
      </c>
      <c r="P100" s="570" t="s">
        <v>1896</v>
      </c>
      <c r="Q100" s="644"/>
      <c r="R100" s="654" t="s">
        <v>2931</v>
      </c>
      <c r="S100" s="650"/>
      <c r="T100" s="650"/>
      <c r="U100" s="650"/>
      <c r="V100" s="650"/>
      <c r="W100" s="650"/>
      <c r="X100" s="650"/>
      <c r="Y100" s="568"/>
      <c r="Z100" s="650"/>
      <c r="AA100" s="650"/>
      <c r="AB100" s="650"/>
      <c r="AC100" s="650"/>
      <c r="AD100" s="650"/>
      <c r="AE100" s="661"/>
      <c r="AF100" s="662"/>
      <c r="AG100" s="650"/>
      <c r="AH100" s="650"/>
      <c r="AI100" s="650"/>
      <c r="AJ100" s="650"/>
    </row>
    <row r="101">
      <c r="A101" s="550" t="s">
        <v>1884</v>
      </c>
      <c r="B101" s="584" t="s">
        <v>1885</v>
      </c>
      <c r="C101" s="584">
        <v>4.0</v>
      </c>
      <c r="D101" s="551">
        <v>1500000.0</v>
      </c>
      <c r="E101" s="550" t="s">
        <v>2153</v>
      </c>
      <c r="F101" s="550" t="s">
        <v>23</v>
      </c>
      <c r="G101" s="555"/>
      <c r="H101" s="551">
        <v>1500000.0</v>
      </c>
      <c r="I101" s="552" t="s">
        <v>2851</v>
      </c>
      <c r="J101" s="555"/>
      <c r="K101" s="653"/>
      <c r="L101" s="550" t="s">
        <v>2932</v>
      </c>
      <c r="M101" s="555"/>
      <c r="N101" s="565"/>
      <c r="O101" s="570" t="s">
        <v>2800</v>
      </c>
      <c r="P101" s="566"/>
      <c r="Q101" s="650"/>
      <c r="R101" s="656" t="s">
        <v>2801</v>
      </c>
      <c r="S101" s="650"/>
      <c r="T101" s="650"/>
      <c r="U101" s="650"/>
      <c r="V101" s="651"/>
      <c r="W101" s="650"/>
      <c r="X101" s="650"/>
      <c r="Y101" s="568"/>
      <c r="Z101" s="650"/>
      <c r="AA101" s="555"/>
      <c r="AB101" s="555"/>
      <c r="AC101" s="644"/>
      <c r="AD101" s="555"/>
      <c r="AE101" s="664"/>
      <c r="AF101" s="665"/>
      <c r="AG101" s="555"/>
      <c r="AH101" s="555"/>
      <c r="AI101" s="555"/>
      <c r="AJ101" s="555"/>
    </row>
    <row r="102">
      <c r="A102" s="658" t="s">
        <v>1871</v>
      </c>
      <c r="B102" s="550" t="s">
        <v>1872</v>
      </c>
      <c r="C102" s="584">
        <v>4.0</v>
      </c>
      <c r="D102" s="551">
        <v>1.25E7</v>
      </c>
      <c r="E102" s="550" t="s">
        <v>2153</v>
      </c>
      <c r="F102" s="550" t="s">
        <v>2810</v>
      </c>
      <c r="G102" s="555"/>
      <c r="H102" s="551">
        <v>1.25E7</v>
      </c>
      <c r="I102" s="550">
        <v>1.0</v>
      </c>
      <c r="J102" s="555"/>
      <c r="K102" s="653"/>
      <c r="L102" s="584" t="s">
        <v>2933</v>
      </c>
      <c r="M102" s="555"/>
      <c r="N102" s="565"/>
      <c r="O102" s="570" t="s">
        <v>2934</v>
      </c>
      <c r="P102" s="570" t="s">
        <v>2800</v>
      </c>
      <c r="Q102" s="644"/>
      <c r="R102" s="654" t="s">
        <v>2801</v>
      </c>
      <c r="S102" s="571"/>
      <c r="T102" s="650"/>
      <c r="U102" s="650"/>
      <c r="V102" s="650"/>
      <c r="W102" s="650"/>
      <c r="X102" s="650"/>
      <c r="Y102" s="568"/>
      <c r="Z102" s="567"/>
      <c r="AA102" s="663"/>
      <c r="AB102" s="666"/>
      <c r="AC102" s="667"/>
      <c r="AD102" s="666"/>
      <c r="AE102" s="668"/>
      <c r="AF102" s="667"/>
      <c r="AG102" s="644"/>
      <c r="AH102" s="644"/>
      <c r="AI102" s="644"/>
      <c r="AJ102" s="650"/>
    </row>
    <row r="103">
      <c r="A103" s="658" t="s">
        <v>2935</v>
      </c>
      <c r="B103" s="550" t="s">
        <v>2936</v>
      </c>
      <c r="C103" s="584">
        <v>4.0</v>
      </c>
      <c r="D103" s="551">
        <v>5000000.0</v>
      </c>
      <c r="E103" s="550" t="s">
        <v>2153</v>
      </c>
      <c r="F103" s="550" t="s">
        <v>23</v>
      </c>
      <c r="G103" s="555"/>
      <c r="H103" s="551">
        <v>5000000.0</v>
      </c>
      <c r="I103" s="550">
        <v>1.0</v>
      </c>
      <c r="J103" s="555"/>
      <c r="K103" s="653"/>
      <c r="L103" s="588"/>
      <c r="M103" s="555"/>
      <c r="N103" s="565"/>
      <c r="O103" s="570" t="s">
        <v>2937</v>
      </c>
      <c r="P103" s="566"/>
      <c r="Q103" s="644"/>
      <c r="R103" s="654" t="s">
        <v>278</v>
      </c>
      <c r="S103" s="650"/>
      <c r="T103" s="650"/>
      <c r="U103" s="650"/>
      <c r="V103" s="650"/>
      <c r="W103" s="650"/>
      <c r="X103" s="650"/>
      <c r="Y103" s="568"/>
      <c r="Z103" s="644"/>
      <c r="AA103" s="644"/>
      <c r="AB103" s="644"/>
      <c r="AC103" s="644"/>
      <c r="AD103" s="555"/>
      <c r="AE103" s="659"/>
      <c r="AF103" s="660"/>
      <c r="AG103" s="644"/>
      <c r="AH103" s="644"/>
      <c r="AI103" s="644"/>
      <c r="AJ103" s="650"/>
    </row>
    <row r="104">
      <c r="A104" s="658" t="s">
        <v>1907</v>
      </c>
      <c r="B104" s="555"/>
      <c r="C104" s="584">
        <v>4.0</v>
      </c>
      <c r="D104" s="551">
        <v>6000000.0</v>
      </c>
      <c r="E104" s="550" t="s">
        <v>64</v>
      </c>
      <c r="F104" s="550" t="s">
        <v>2783</v>
      </c>
      <c r="G104" s="555"/>
      <c r="H104" s="551">
        <v>6000000.0</v>
      </c>
      <c r="I104" s="550">
        <v>1.0</v>
      </c>
      <c r="J104" s="555"/>
      <c r="K104" s="653"/>
      <c r="L104" s="584" t="s">
        <v>2938</v>
      </c>
      <c r="M104" s="555"/>
      <c r="N104" s="565"/>
      <c r="O104" s="570" t="s">
        <v>1909</v>
      </c>
      <c r="P104" s="570" t="s">
        <v>1910</v>
      </c>
      <c r="Q104" s="644"/>
      <c r="R104" s="654" t="s">
        <v>278</v>
      </c>
      <c r="S104" s="650"/>
      <c r="T104" s="650"/>
      <c r="U104" s="650"/>
      <c r="V104" s="650"/>
      <c r="W104" s="650"/>
      <c r="X104" s="650"/>
      <c r="Y104" s="568"/>
      <c r="Z104" s="650"/>
      <c r="AA104" s="650"/>
      <c r="AB104" s="650"/>
      <c r="AC104" s="650"/>
      <c r="AD104" s="650"/>
      <c r="AE104" s="650"/>
      <c r="AF104" s="650"/>
      <c r="AG104" s="650"/>
      <c r="AH104" s="650"/>
      <c r="AI104" s="650"/>
      <c r="AJ104" s="650"/>
    </row>
    <row r="105">
      <c r="A105" s="550" t="s">
        <v>2554</v>
      </c>
      <c r="B105" s="550" t="s">
        <v>2939</v>
      </c>
      <c r="C105" s="584">
        <v>4.0</v>
      </c>
      <c r="D105" s="551">
        <v>1600000.0</v>
      </c>
      <c r="E105" s="550" t="s">
        <v>64</v>
      </c>
      <c r="F105" s="550" t="s">
        <v>2783</v>
      </c>
      <c r="G105" s="550" t="s">
        <v>29</v>
      </c>
      <c r="H105" s="551">
        <v>1600000.0</v>
      </c>
      <c r="I105" s="550">
        <v>2.0</v>
      </c>
      <c r="J105" s="555"/>
      <c r="K105" s="653"/>
      <c r="L105" s="584" t="s">
        <v>2940</v>
      </c>
      <c r="M105" s="555"/>
      <c r="N105" s="565"/>
      <c r="O105" s="570" t="s">
        <v>2800</v>
      </c>
      <c r="P105" s="570" t="s">
        <v>2941</v>
      </c>
      <c r="Q105" s="644"/>
      <c r="R105" s="654" t="s">
        <v>2801</v>
      </c>
      <c r="S105" s="650"/>
      <c r="T105" s="650"/>
      <c r="U105" s="650"/>
      <c r="V105" s="650"/>
      <c r="W105" s="650"/>
      <c r="X105" s="650"/>
      <c r="Y105" s="568"/>
      <c r="Z105" s="650"/>
      <c r="AA105" s="650"/>
      <c r="AB105" s="650"/>
      <c r="AC105" s="650"/>
      <c r="AD105" s="650"/>
      <c r="AE105" s="661"/>
      <c r="AF105" s="662"/>
      <c r="AG105" s="650"/>
      <c r="AH105" s="650"/>
      <c r="AI105" s="650"/>
      <c r="AJ105" s="650"/>
    </row>
    <row r="106">
      <c r="A106" s="550" t="s">
        <v>1925</v>
      </c>
      <c r="B106" s="588"/>
      <c r="C106" s="584">
        <v>4.0</v>
      </c>
      <c r="D106" s="551">
        <v>3950000.0</v>
      </c>
      <c r="E106" s="550" t="s">
        <v>64</v>
      </c>
      <c r="F106" s="550" t="s">
        <v>2783</v>
      </c>
      <c r="G106" s="550" t="s">
        <v>29</v>
      </c>
      <c r="H106" s="551">
        <v>3950000.0</v>
      </c>
      <c r="I106" s="550">
        <v>2.0</v>
      </c>
      <c r="J106" s="555"/>
      <c r="K106" s="653"/>
      <c r="L106" s="584" t="s">
        <v>2942</v>
      </c>
      <c r="M106" s="555"/>
      <c r="N106" s="565"/>
      <c r="O106" s="570" t="s">
        <v>1927</v>
      </c>
      <c r="P106" s="566"/>
      <c r="Q106" s="650"/>
      <c r="R106" s="654" t="s">
        <v>1917</v>
      </c>
      <c r="S106" s="650"/>
      <c r="T106" s="650"/>
      <c r="U106" s="650"/>
      <c r="V106" s="650"/>
      <c r="W106" s="650"/>
      <c r="X106" s="650"/>
      <c r="Y106" s="568"/>
      <c r="Z106" s="650"/>
      <c r="AA106" s="650"/>
      <c r="AB106" s="650"/>
      <c r="AC106" s="650"/>
      <c r="AD106" s="650"/>
      <c r="AE106" s="650"/>
      <c r="AF106" s="650"/>
      <c r="AG106" s="650"/>
      <c r="AH106" s="650"/>
      <c r="AI106" s="650"/>
      <c r="AJ106" s="650"/>
    </row>
    <row r="107">
      <c r="A107" s="550" t="s">
        <v>1915</v>
      </c>
      <c r="B107" s="555"/>
      <c r="C107" s="584">
        <v>4.0</v>
      </c>
      <c r="D107" s="551">
        <v>97000.0</v>
      </c>
      <c r="E107" s="550" t="s">
        <v>43</v>
      </c>
      <c r="F107" s="550" t="s">
        <v>2762</v>
      </c>
      <c r="G107" s="550" t="s">
        <v>29</v>
      </c>
      <c r="H107" s="551">
        <v>97000.0</v>
      </c>
      <c r="I107" s="550">
        <v>2.0</v>
      </c>
      <c r="J107" s="555"/>
      <c r="K107" s="653"/>
      <c r="L107" s="550" t="s">
        <v>2943</v>
      </c>
      <c r="M107" s="555"/>
      <c r="N107" s="565"/>
      <c r="O107" s="570" t="s">
        <v>2800</v>
      </c>
      <c r="P107" s="570" t="s">
        <v>2944</v>
      </c>
      <c r="Q107" s="650"/>
      <c r="R107" s="654" t="s">
        <v>2801</v>
      </c>
      <c r="S107" s="650"/>
      <c r="T107" s="650"/>
      <c r="U107" s="650"/>
      <c r="V107" s="651"/>
      <c r="W107" s="651"/>
      <c r="X107" s="650"/>
      <c r="Y107" s="568"/>
      <c r="Z107" s="650"/>
      <c r="AA107" s="644"/>
      <c r="AB107" s="644"/>
      <c r="AC107" s="555"/>
      <c r="AD107" s="555"/>
      <c r="AE107" s="555"/>
      <c r="AF107" s="555"/>
      <c r="AG107" s="650"/>
      <c r="AH107" s="650"/>
      <c r="AI107" s="555"/>
      <c r="AJ107" s="555"/>
    </row>
    <row r="108">
      <c r="A108" s="550" t="s">
        <v>244</v>
      </c>
      <c r="B108" s="555"/>
      <c r="C108" s="584">
        <v>4.0</v>
      </c>
      <c r="D108" s="551">
        <v>113000.0</v>
      </c>
      <c r="E108" s="550" t="s">
        <v>129</v>
      </c>
      <c r="F108" s="550" t="s">
        <v>2910</v>
      </c>
      <c r="G108" s="550" t="s">
        <v>29</v>
      </c>
      <c r="H108" s="551">
        <v>113000.0</v>
      </c>
      <c r="I108" s="550">
        <v>1.0</v>
      </c>
      <c r="J108" s="555"/>
      <c r="K108" s="653"/>
      <c r="L108" s="584" t="s">
        <v>2945</v>
      </c>
      <c r="M108" s="555"/>
      <c r="N108" s="565"/>
      <c r="O108" s="570" t="s">
        <v>2946</v>
      </c>
      <c r="P108" s="566"/>
      <c r="Q108" s="644"/>
      <c r="R108" s="654" t="s">
        <v>2801</v>
      </c>
      <c r="S108" s="650"/>
      <c r="T108" s="650"/>
      <c r="U108" s="650"/>
      <c r="V108" s="650"/>
      <c r="W108" s="650"/>
      <c r="X108" s="650"/>
      <c r="Y108" s="568"/>
      <c r="Z108" s="644"/>
      <c r="AA108" s="644"/>
      <c r="AB108" s="555"/>
      <c r="AC108" s="644"/>
      <c r="AD108" s="644"/>
      <c r="AE108" s="644"/>
      <c r="AF108" s="644"/>
      <c r="AG108" s="644"/>
      <c r="AH108" s="644"/>
      <c r="AI108" s="644"/>
      <c r="AJ108" s="650"/>
    </row>
    <row r="109">
      <c r="A109" s="581" t="s">
        <v>1888</v>
      </c>
      <c r="B109" s="550" t="s">
        <v>1889</v>
      </c>
      <c r="C109" s="550">
        <v>4.0</v>
      </c>
      <c r="D109" s="551" t="s">
        <v>2947</v>
      </c>
      <c r="E109" s="550" t="s">
        <v>28</v>
      </c>
      <c r="F109" s="550" t="s">
        <v>23</v>
      </c>
      <c r="G109" s="555"/>
      <c r="H109" s="551" t="s">
        <v>2947</v>
      </c>
      <c r="I109" s="550">
        <v>3.0</v>
      </c>
      <c r="J109" s="595"/>
      <c r="K109" s="555"/>
      <c r="L109" s="584" t="s">
        <v>2948</v>
      </c>
      <c r="M109" s="555"/>
      <c r="N109" s="565"/>
      <c r="O109" s="570" t="s">
        <v>2949</v>
      </c>
      <c r="P109" s="566"/>
      <c r="Q109" s="555"/>
      <c r="R109" s="555"/>
      <c r="S109" s="650"/>
      <c r="T109" s="650"/>
      <c r="U109" s="644"/>
      <c r="V109" s="650"/>
      <c r="W109" s="650"/>
      <c r="X109" s="650"/>
      <c r="Y109" s="568"/>
      <c r="Z109" s="555"/>
      <c r="AA109" s="555"/>
      <c r="AB109" s="555"/>
      <c r="AC109" s="555"/>
      <c r="AD109" s="555"/>
      <c r="AE109" s="555"/>
      <c r="AF109" s="555"/>
      <c r="AG109" s="555"/>
      <c r="AH109" s="555"/>
      <c r="AI109" s="555"/>
      <c r="AJ109" s="555"/>
    </row>
    <row r="110">
      <c r="A110" s="658" t="s">
        <v>1964</v>
      </c>
      <c r="B110" s="550" t="s">
        <v>1965</v>
      </c>
      <c r="C110" s="584">
        <v>3.0</v>
      </c>
      <c r="D110" s="551">
        <v>6300000.0</v>
      </c>
      <c r="E110" s="550" t="s">
        <v>2153</v>
      </c>
      <c r="F110" s="550" t="s">
        <v>23</v>
      </c>
      <c r="G110" s="555"/>
      <c r="H110" s="551">
        <v>6300000.0</v>
      </c>
      <c r="I110" s="550">
        <v>1.0</v>
      </c>
      <c r="J110" s="555"/>
      <c r="K110" s="653"/>
      <c r="L110" s="584" t="s">
        <v>2950</v>
      </c>
      <c r="M110" s="555"/>
      <c r="N110" s="565"/>
      <c r="O110" s="570" t="s">
        <v>1968</v>
      </c>
      <c r="P110" s="566"/>
      <c r="Q110" s="644"/>
      <c r="R110" s="654" t="s">
        <v>410</v>
      </c>
      <c r="S110" s="650"/>
      <c r="T110" s="650"/>
      <c r="U110" s="650"/>
      <c r="V110" s="650"/>
      <c r="W110" s="650"/>
      <c r="X110" s="650"/>
      <c r="Y110" s="568"/>
      <c r="Z110" s="644"/>
      <c r="AA110" s="644"/>
      <c r="AB110" s="659"/>
      <c r="AC110" s="660"/>
      <c r="AD110" s="659"/>
      <c r="AE110" s="660"/>
      <c r="AF110" s="644"/>
      <c r="AG110" s="644"/>
      <c r="AH110" s="644"/>
      <c r="AI110" s="644"/>
      <c r="AJ110" s="650"/>
    </row>
    <row r="111">
      <c r="A111" s="550" t="s">
        <v>1859</v>
      </c>
      <c r="B111" s="555"/>
      <c r="C111" s="584">
        <v>3.0</v>
      </c>
      <c r="D111" s="551">
        <v>1000000.0</v>
      </c>
      <c r="E111" s="550" t="s">
        <v>2153</v>
      </c>
      <c r="F111" s="550" t="s">
        <v>59</v>
      </c>
      <c r="G111" s="550" t="s">
        <v>29</v>
      </c>
      <c r="H111" s="551">
        <v>1000000.0</v>
      </c>
      <c r="I111" s="550">
        <v>3.0</v>
      </c>
      <c r="J111" s="555"/>
      <c r="K111" s="653"/>
      <c r="L111" s="584" t="s">
        <v>2951</v>
      </c>
      <c r="M111" s="555"/>
      <c r="N111" s="565"/>
      <c r="O111" s="570" t="s">
        <v>2800</v>
      </c>
      <c r="P111" s="570" t="s">
        <v>2952</v>
      </c>
      <c r="Q111" s="650"/>
      <c r="R111" s="654" t="s">
        <v>2801</v>
      </c>
      <c r="S111" s="650"/>
      <c r="T111" s="650"/>
      <c r="U111" s="650"/>
      <c r="V111" s="650"/>
      <c r="W111" s="650"/>
      <c r="X111" s="650"/>
      <c r="Y111" s="568"/>
      <c r="Z111" s="650"/>
      <c r="AA111" s="650"/>
      <c r="AB111" s="555"/>
      <c r="AC111" s="650"/>
      <c r="AD111" s="650"/>
      <c r="AE111" s="650"/>
      <c r="AF111" s="650"/>
      <c r="AG111" s="650"/>
      <c r="AH111" s="650"/>
      <c r="AI111" s="650"/>
      <c r="AJ111" s="650"/>
    </row>
    <row r="112">
      <c r="A112" s="550" t="s">
        <v>1911</v>
      </c>
      <c r="B112" s="555"/>
      <c r="C112" s="550">
        <v>3.0</v>
      </c>
      <c r="D112" s="551">
        <v>89000.0</v>
      </c>
      <c r="E112" s="550" t="s">
        <v>64</v>
      </c>
      <c r="F112" s="550" t="s">
        <v>59</v>
      </c>
      <c r="G112" s="555"/>
      <c r="H112" s="551">
        <v>89000.0</v>
      </c>
      <c r="I112" s="550">
        <v>2.0</v>
      </c>
      <c r="J112" s="555"/>
      <c r="K112" s="653"/>
      <c r="L112" s="656" t="s">
        <v>2953</v>
      </c>
      <c r="M112" s="555"/>
      <c r="N112" s="565"/>
      <c r="O112" s="570" t="s">
        <v>2800</v>
      </c>
      <c r="P112" s="566"/>
      <c r="Q112" s="555"/>
      <c r="R112" s="654" t="s">
        <v>2801</v>
      </c>
      <c r="S112" s="650"/>
      <c r="T112" s="650"/>
      <c r="U112" s="650"/>
      <c r="V112" s="650"/>
      <c r="W112" s="650"/>
      <c r="X112" s="650"/>
      <c r="Y112" s="568"/>
      <c r="Z112" s="555"/>
      <c r="AA112" s="644"/>
      <c r="AB112" s="644"/>
      <c r="AC112" s="555"/>
      <c r="AD112" s="555"/>
      <c r="AE112" s="555"/>
      <c r="AF112" s="555"/>
      <c r="AG112" s="555"/>
      <c r="AH112" s="555"/>
      <c r="AI112" s="555"/>
      <c r="AJ112" s="555"/>
    </row>
    <row r="113">
      <c r="A113" s="550" t="s">
        <v>1960</v>
      </c>
      <c r="B113" s="550" t="s">
        <v>1961</v>
      </c>
      <c r="C113" s="584">
        <v>3.0</v>
      </c>
      <c r="D113" s="551">
        <v>2.5E7</v>
      </c>
      <c r="E113" s="550" t="s">
        <v>64</v>
      </c>
      <c r="F113" s="550" t="s">
        <v>2832</v>
      </c>
      <c r="G113" s="555"/>
      <c r="H113" s="551">
        <v>2.5E7</v>
      </c>
      <c r="I113" s="550">
        <v>1.0</v>
      </c>
      <c r="J113" s="555"/>
      <c r="K113" s="653"/>
      <c r="L113" s="584" t="s">
        <v>2954</v>
      </c>
      <c r="M113" s="571"/>
      <c r="N113" s="565"/>
      <c r="O113" s="570" t="s">
        <v>1963</v>
      </c>
      <c r="P113" s="570" t="s">
        <v>2937</v>
      </c>
      <c r="Q113" s="644"/>
      <c r="R113" s="654" t="s">
        <v>278</v>
      </c>
      <c r="S113" s="650"/>
      <c r="T113" s="650"/>
      <c r="U113" s="650"/>
      <c r="V113" s="650"/>
      <c r="W113" s="650"/>
      <c r="X113" s="650"/>
      <c r="Y113" s="568"/>
      <c r="Z113" s="644"/>
      <c r="AA113" s="644"/>
      <c r="AB113" s="644"/>
      <c r="AC113" s="644"/>
      <c r="AD113" s="644"/>
      <c r="AE113" s="644"/>
      <c r="AF113" s="644"/>
      <c r="AG113" s="644"/>
      <c r="AH113" s="644"/>
      <c r="AI113" s="644"/>
      <c r="AJ113" s="650"/>
    </row>
    <row r="114">
      <c r="A114" s="550" t="s">
        <v>1862</v>
      </c>
      <c r="B114" s="550" t="s">
        <v>1863</v>
      </c>
      <c r="C114" s="584">
        <v>3.0</v>
      </c>
      <c r="D114" s="551">
        <v>4200000.0</v>
      </c>
      <c r="E114" s="550" t="s">
        <v>43</v>
      </c>
      <c r="F114" s="550" t="s">
        <v>23</v>
      </c>
      <c r="G114" s="555"/>
      <c r="H114" s="551">
        <v>4200000.0</v>
      </c>
      <c r="I114" s="550">
        <v>3.0</v>
      </c>
      <c r="J114" s="555"/>
      <c r="K114" s="653"/>
      <c r="L114" s="550" t="s">
        <v>2955</v>
      </c>
      <c r="M114" s="555"/>
      <c r="N114" s="565"/>
      <c r="O114" s="570" t="s">
        <v>2800</v>
      </c>
      <c r="P114" s="566"/>
      <c r="Q114" s="650"/>
      <c r="R114" s="654" t="s">
        <v>2801</v>
      </c>
      <c r="S114" s="650"/>
      <c r="T114" s="650"/>
      <c r="U114" s="650"/>
      <c r="V114" s="650"/>
      <c r="W114" s="650"/>
      <c r="X114" s="650"/>
      <c r="Y114" s="568"/>
      <c r="Z114" s="650"/>
      <c r="AA114" s="650"/>
      <c r="AB114" s="650"/>
      <c r="AC114" s="650"/>
      <c r="AD114" s="650"/>
      <c r="AE114" s="650"/>
      <c r="AF114" s="650"/>
      <c r="AG114" s="650"/>
      <c r="AH114" s="650"/>
      <c r="AI114" s="650"/>
      <c r="AJ114" s="650"/>
    </row>
    <row r="115">
      <c r="A115" s="550" t="s">
        <v>2956</v>
      </c>
      <c r="B115" s="550" t="s">
        <v>2957</v>
      </c>
      <c r="C115" s="584">
        <v>3.0</v>
      </c>
      <c r="D115" s="551">
        <v>9.4E7</v>
      </c>
      <c r="E115" s="550" t="s">
        <v>43</v>
      </c>
      <c r="F115" s="550" t="s">
        <v>23</v>
      </c>
      <c r="G115" s="555"/>
      <c r="H115" s="551">
        <v>9.4E7</v>
      </c>
      <c r="I115" s="550">
        <v>3.0</v>
      </c>
      <c r="J115" s="555"/>
      <c r="K115" s="653"/>
      <c r="L115" s="584" t="s">
        <v>2958</v>
      </c>
      <c r="M115" s="555"/>
      <c r="N115" s="565"/>
      <c r="O115" s="570" t="s">
        <v>2937</v>
      </c>
      <c r="P115" s="570" t="s">
        <v>2959</v>
      </c>
      <c r="Q115" s="644"/>
      <c r="R115" s="654" t="s">
        <v>278</v>
      </c>
      <c r="S115" s="650"/>
      <c r="T115" s="650"/>
      <c r="U115" s="650"/>
      <c r="V115" s="650"/>
      <c r="W115" s="650"/>
      <c r="X115" s="650"/>
      <c r="Y115" s="568"/>
      <c r="Z115" s="644"/>
      <c r="AA115" s="644"/>
      <c r="AB115" s="644"/>
      <c r="AC115" s="644"/>
      <c r="AD115" s="644"/>
      <c r="AE115" s="644"/>
      <c r="AF115" s="644"/>
      <c r="AG115" s="644"/>
      <c r="AH115" s="644"/>
      <c r="AI115" s="644"/>
      <c r="AJ115" s="650"/>
    </row>
    <row r="116">
      <c r="A116" s="550" t="s">
        <v>1948</v>
      </c>
      <c r="B116" s="550" t="s">
        <v>1949</v>
      </c>
      <c r="C116" s="584">
        <v>3.0</v>
      </c>
      <c r="D116" s="551">
        <v>8637405.0</v>
      </c>
      <c r="E116" s="550" t="s">
        <v>43</v>
      </c>
      <c r="F116" s="550" t="s">
        <v>59</v>
      </c>
      <c r="G116" s="555"/>
      <c r="H116" s="551">
        <v>8637405.0</v>
      </c>
      <c r="I116" s="550">
        <v>1.0</v>
      </c>
      <c r="J116" s="555"/>
      <c r="K116" s="653"/>
      <c r="L116" s="588"/>
      <c r="M116" s="555"/>
      <c r="N116" s="565"/>
      <c r="O116" s="570" t="s">
        <v>2937</v>
      </c>
      <c r="P116" s="566"/>
      <c r="Q116" s="650"/>
      <c r="R116" s="654" t="s">
        <v>278</v>
      </c>
      <c r="S116" s="650"/>
      <c r="T116" s="650"/>
      <c r="U116" s="650"/>
      <c r="V116" s="650"/>
      <c r="W116" s="650"/>
      <c r="X116" s="650"/>
      <c r="Y116" s="568"/>
      <c r="Z116" s="650"/>
      <c r="AA116" s="650"/>
      <c r="AB116" s="650"/>
      <c r="AC116" s="650"/>
      <c r="AD116" s="650"/>
      <c r="AE116" s="650"/>
      <c r="AF116" s="650"/>
      <c r="AG116" s="650"/>
      <c r="AH116" s="650"/>
      <c r="AI116" s="650"/>
      <c r="AJ116" s="650"/>
    </row>
    <row r="117">
      <c r="A117" s="550" t="s">
        <v>1945</v>
      </c>
      <c r="B117" s="555"/>
      <c r="C117" s="584">
        <v>3.0</v>
      </c>
      <c r="D117" s="551">
        <v>800000.0</v>
      </c>
      <c r="E117" s="550" t="s">
        <v>43</v>
      </c>
      <c r="F117" s="550" t="s">
        <v>2762</v>
      </c>
      <c r="G117" s="555"/>
      <c r="H117" s="551">
        <v>800000.0</v>
      </c>
      <c r="I117" s="550">
        <v>2.0</v>
      </c>
      <c r="J117" s="555"/>
      <c r="K117" s="653"/>
      <c r="L117" s="584" t="s">
        <v>2960</v>
      </c>
      <c r="M117" s="555"/>
      <c r="N117" s="565"/>
      <c r="O117" s="570" t="s">
        <v>1947</v>
      </c>
      <c r="P117" s="566"/>
      <c r="Q117" s="650"/>
      <c r="R117" s="654" t="s">
        <v>1608</v>
      </c>
      <c r="S117" s="650"/>
      <c r="T117" s="650"/>
      <c r="U117" s="650"/>
      <c r="V117" s="650"/>
      <c r="W117" s="650"/>
      <c r="X117" s="650"/>
      <c r="Y117" s="568"/>
      <c r="Z117" s="650"/>
      <c r="AA117" s="650"/>
      <c r="AB117" s="650"/>
      <c r="AC117" s="650"/>
      <c r="AD117" s="650"/>
      <c r="AE117" s="650"/>
      <c r="AF117" s="650"/>
      <c r="AG117" s="650"/>
      <c r="AH117" s="650"/>
      <c r="AI117" s="650"/>
      <c r="AJ117" s="650"/>
    </row>
    <row r="118">
      <c r="A118" s="581" t="s">
        <v>1931</v>
      </c>
      <c r="B118" s="555"/>
      <c r="C118" s="550">
        <v>3.0</v>
      </c>
      <c r="D118" s="551">
        <v>1600000.0</v>
      </c>
      <c r="E118" s="550" t="s">
        <v>28</v>
      </c>
      <c r="F118" s="550" t="s">
        <v>23</v>
      </c>
      <c r="G118" s="550" t="s">
        <v>29</v>
      </c>
      <c r="H118" s="551">
        <v>1600000.0</v>
      </c>
      <c r="I118" s="550">
        <v>2.0</v>
      </c>
      <c r="J118" s="555"/>
      <c r="K118" s="653"/>
      <c r="L118" s="584" t="s">
        <v>2961</v>
      </c>
      <c r="M118" s="555"/>
      <c r="N118" s="565"/>
      <c r="O118" s="570" t="s">
        <v>1934</v>
      </c>
      <c r="P118" s="566"/>
      <c r="Q118" s="644"/>
      <c r="R118" s="654" t="s">
        <v>147</v>
      </c>
      <c r="S118" s="650"/>
      <c r="T118" s="650"/>
      <c r="U118" s="650"/>
      <c r="V118" s="650"/>
      <c r="W118" s="650"/>
      <c r="X118" s="650"/>
      <c r="Y118" s="568"/>
      <c r="Z118" s="644"/>
      <c r="AA118" s="644"/>
      <c r="AB118" s="644"/>
      <c r="AC118" s="644"/>
      <c r="AD118" s="644"/>
      <c r="AE118" s="644"/>
      <c r="AF118" s="644"/>
      <c r="AG118" s="644"/>
      <c r="AH118" s="644"/>
      <c r="AI118" s="644"/>
      <c r="AJ118" s="555"/>
    </row>
    <row r="119">
      <c r="A119" s="550" t="s">
        <v>1875</v>
      </c>
      <c r="B119" s="550" t="s">
        <v>2551</v>
      </c>
      <c r="C119" s="584">
        <v>2.0</v>
      </c>
      <c r="D119" s="551">
        <v>2600000.0</v>
      </c>
      <c r="E119" s="550" t="s">
        <v>2153</v>
      </c>
      <c r="F119" s="550" t="s">
        <v>59</v>
      </c>
      <c r="G119" s="555"/>
      <c r="H119" s="551">
        <v>2600000.0</v>
      </c>
      <c r="I119" s="550">
        <v>3.0</v>
      </c>
      <c r="J119" s="555"/>
      <c r="K119" s="653"/>
      <c r="L119" s="588"/>
      <c r="M119" s="555"/>
      <c r="N119" s="565"/>
      <c r="O119" s="570" t="s">
        <v>2800</v>
      </c>
      <c r="P119" s="566"/>
      <c r="Q119" s="650"/>
      <c r="R119" s="654" t="s">
        <v>2801</v>
      </c>
      <c r="S119" s="650"/>
      <c r="T119" s="650"/>
      <c r="U119" s="650"/>
      <c r="V119" s="650"/>
      <c r="W119" s="650"/>
      <c r="X119" s="650"/>
      <c r="Y119" s="568"/>
      <c r="Z119" s="650"/>
      <c r="AA119" s="650"/>
      <c r="AB119" s="650"/>
      <c r="AC119" s="650"/>
      <c r="AD119" s="650"/>
      <c r="AE119" s="650"/>
      <c r="AF119" s="650"/>
      <c r="AG119" s="650"/>
      <c r="AH119" s="650"/>
      <c r="AI119" s="650"/>
      <c r="AJ119" s="650"/>
    </row>
    <row r="120">
      <c r="A120" s="550" t="s">
        <v>1973</v>
      </c>
      <c r="B120" s="555"/>
      <c r="C120" s="584">
        <v>2.0</v>
      </c>
      <c r="D120" s="551">
        <v>2.65E7</v>
      </c>
      <c r="E120" s="550" t="s">
        <v>1975</v>
      </c>
      <c r="F120" s="550" t="s">
        <v>2762</v>
      </c>
      <c r="G120" s="555"/>
      <c r="H120" s="551">
        <v>2.65E7</v>
      </c>
      <c r="I120" s="550">
        <v>2.0</v>
      </c>
      <c r="J120" s="555"/>
      <c r="K120" s="653"/>
      <c r="L120" s="584" t="s">
        <v>2962</v>
      </c>
      <c r="M120" s="555"/>
      <c r="N120" s="565"/>
      <c r="O120" s="570" t="s">
        <v>1977</v>
      </c>
      <c r="P120" s="570" t="s">
        <v>2937</v>
      </c>
      <c r="Q120" s="644"/>
      <c r="R120" s="654" t="s">
        <v>278</v>
      </c>
      <c r="S120" s="571"/>
      <c r="T120" s="650"/>
      <c r="U120" s="650"/>
      <c r="V120" s="650"/>
      <c r="W120" s="650"/>
      <c r="X120" s="650"/>
      <c r="Y120" s="568"/>
      <c r="Z120" s="650"/>
      <c r="AA120" s="650"/>
      <c r="AB120" s="650"/>
      <c r="AC120" s="650"/>
      <c r="AD120" s="650"/>
      <c r="AE120" s="650"/>
      <c r="AF120" s="650"/>
      <c r="AG120" s="650"/>
      <c r="AH120" s="650"/>
      <c r="AI120" s="650"/>
      <c r="AJ120" s="650"/>
    </row>
    <row r="121">
      <c r="A121" s="550" t="s">
        <v>1983</v>
      </c>
      <c r="B121" s="550" t="s">
        <v>1984</v>
      </c>
      <c r="C121" s="584">
        <v>2.0</v>
      </c>
      <c r="D121" s="551">
        <v>4000000.0</v>
      </c>
      <c r="E121" s="550" t="s">
        <v>129</v>
      </c>
      <c r="F121" s="550" t="s">
        <v>23</v>
      </c>
      <c r="G121" s="550" t="s">
        <v>29</v>
      </c>
      <c r="H121" s="551">
        <v>4000000.0</v>
      </c>
      <c r="I121" s="550">
        <v>1.0</v>
      </c>
      <c r="J121" s="555"/>
      <c r="K121" s="653"/>
      <c r="L121" s="584" t="s">
        <v>2963</v>
      </c>
      <c r="M121" s="555"/>
      <c r="N121" s="565"/>
      <c r="O121" s="570" t="s">
        <v>2937</v>
      </c>
      <c r="P121" s="566"/>
      <c r="Q121" s="650"/>
      <c r="R121" s="654" t="s">
        <v>278</v>
      </c>
      <c r="S121" s="650"/>
      <c r="T121" s="650"/>
      <c r="U121" s="650"/>
      <c r="V121" s="650"/>
      <c r="W121" s="650"/>
      <c r="X121" s="650"/>
      <c r="Y121" s="568"/>
      <c r="Z121" s="650"/>
      <c r="AA121" s="650"/>
      <c r="AB121" s="650"/>
      <c r="AC121" s="650"/>
      <c r="AD121" s="650"/>
      <c r="AE121" s="650"/>
      <c r="AF121" s="650"/>
      <c r="AG121" s="650"/>
      <c r="AH121" s="650"/>
      <c r="AI121" s="650"/>
      <c r="AJ121" s="650"/>
    </row>
    <row r="122">
      <c r="A122" s="550" t="s">
        <v>1922</v>
      </c>
      <c r="B122" s="555"/>
      <c r="C122" s="584">
        <v>2.0</v>
      </c>
      <c r="D122" s="551">
        <v>1.7E7</v>
      </c>
      <c r="E122" s="550" t="s">
        <v>129</v>
      </c>
      <c r="F122" s="550" t="s">
        <v>2832</v>
      </c>
      <c r="G122" s="555"/>
      <c r="H122" s="551">
        <v>1.7E7</v>
      </c>
      <c r="I122" s="550">
        <v>1.0</v>
      </c>
      <c r="J122" s="555"/>
      <c r="K122" s="653"/>
      <c r="L122" s="584" t="s">
        <v>2964</v>
      </c>
      <c r="M122" s="555"/>
      <c r="N122" s="565"/>
      <c r="O122" s="570" t="s">
        <v>2930</v>
      </c>
      <c r="P122" s="570" t="s">
        <v>2965</v>
      </c>
      <c r="Q122" s="650"/>
      <c r="R122" s="654" t="s">
        <v>2931</v>
      </c>
      <c r="S122" s="650"/>
      <c r="T122" s="650"/>
      <c r="U122" s="650"/>
      <c r="V122" s="650"/>
      <c r="W122" s="650"/>
      <c r="X122" s="650"/>
      <c r="Y122" s="568"/>
      <c r="Z122" s="650"/>
      <c r="AA122" s="650"/>
      <c r="AB122" s="650"/>
      <c r="AC122" s="650"/>
      <c r="AD122" s="650"/>
      <c r="AE122" s="650"/>
      <c r="AF122" s="650"/>
      <c r="AG122" s="650"/>
      <c r="AH122" s="650"/>
      <c r="AI122" s="650"/>
      <c r="AJ122" s="650"/>
    </row>
    <row r="123">
      <c r="A123" s="550" t="s">
        <v>1324</v>
      </c>
      <c r="B123" s="551" t="s">
        <v>1970</v>
      </c>
      <c r="C123" s="584">
        <v>2.0</v>
      </c>
      <c r="D123" s="551">
        <v>2.0E7</v>
      </c>
      <c r="E123" s="550" t="s">
        <v>28</v>
      </c>
      <c r="F123" s="550" t="s">
        <v>2783</v>
      </c>
      <c r="G123" s="550" t="s">
        <v>29</v>
      </c>
      <c r="H123" s="551">
        <v>2.0E7</v>
      </c>
      <c r="I123" s="550">
        <v>1.0</v>
      </c>
      <c r="J123" s="555"/>
      <c r="K123" s="653"/>
      <c r="L123" s="584" t="s">
        <v>2966</v>
      </c>
      <c r="M123" s="555"/>
      <c r="N123" s="565"/>
      <c r="O123" s="570" t="s">
        <v>1972</v>
      </c>
      <c r="P123" s="566"/>
      <c r="Q123" s="644"/>
      <c r="R123" s="591" t="s">
        <v>34</v>
      </c>
      <c r="S123" s="650"/>
      <c r="T123" s="650"/>
      <c r="U123" s="650"/>
      <c r="V123" s="650"/>
      <c r="W123" s="650"/>
      <c r="X123" s="650"/>
      <c r="Y123" s="568"/>
      <c r="Z123" s="555"/>
      <c r="AA123" s="555"/>
      <c r="AB123" s="650"/>
      <c r="AC123" s="650"/>
      <c r="AD123" s="650"/>
      <c r="AE123" s="650"/>
      <c r="AF123" s="650"/>
      <c r="AG123" s="650"/>
      <c r="AH123" s="650"/>
      <c r="AI123" s="650"/>
      <c r="AJ123" s="650"/>
    </row>
    <row r="124">
      <c r="A124" s="550" t="s">
        <v>1997</v>
      </c>
      <c r="B124" s="550" t="s">
        <v>1998</v>
      </c>
      <c r="C124" s="550">
        <v>1.0</v>
      </c>
      <c r="D124" s="551" t="s">
        <v>2967</v>
      </c>
      <c r="E124" s="550" t="s">
        <v>2153</v>
      </c>
      <c r="F124" s="550" t="s">
        <v>23</v>
      </c>
      <c r="G124" s="550" t="s">
        <v>29</v>
      </c>
      <c r="H124" s="551">
        <v>4.0E7</v>
      </c>
      <c r="I124" s="550">
        <v>3.0</v>
      </c>
      <c r="J124" s="595"/>
      <c r="K124" s="555"/>
      <c r="L124" s="584" t="s">
        <v>2968</v>
      </c>
      <c r="M124" s="555"/>
      <c r="N124" s="565"/>
      <c r="O124" s="570" t="s">
        <v>2969</v>
      </c>
      <c r="P124" s="570" t="s">
        <v>2937</v>
      </c>
      <c r="Q124" s="555"/>
      <c r="R124" s="555"/>
      <c r="S124" s="650"/>
      <c r="T124" s="650"/>
      <c r="U124" s="644"/>
      <c r="V124" s="650"/>
      <c r="W124" s="650"/>
      <c r="X124" s="650"/>
      <c r="Y124" s="568"/>
      <c r="Z124" s="555"/>
      <c r="AA124" s="555"/>
      <c r="AB124" s="555"/>
      <c r="AC124" s="555"/>
      <c r="AD124" s="555"/>
      <c r="AE124" s="555"/>
      <c r="AF124" s="555"/>
      <c r="AG124" s="555"/>
      <c r="AH124" s="555"/>
      <c r="AI124" s="555"/>
      <c r="AJ124" s="555"/>
    </row>
    <row r="125">
      <c r="A125" s="550" t="s">
        <v>1400</v>
      </c>
      <c r="B125" s="555"/>
      <c r="C125" s="584">
        <v>1.0</v>
      </c>
      <c r="D125" s="551">
        <v>3900000.0</v>
      </c>
      <c r="E125" s="550" t="s">
        <v>2153</v>
      </c>
      <c r="F125" s="550" t="s">
        <v>2832</v>
      </c>
      <c r="G125" s="555"/>
      <c r="H125" s="551">
        <v>3900000.0</v>
      </c>
      <c r="I125" s="550">
        <v>3.0</v>
      </c>
      <c r="J125" s="555"/>
      <c r="K125" s="653"/>
      <c r="L125" s="584" t="s">
        <v>2970</v>
      </c>
      <c r="M125" s="555"/>
      <c r="N125" s="565"/>
      <c r="O125" s="570" t="s">
        <v>1996</v>
      </c>
      <c r="P125" s="570" t="s">
        <v>2937</v>
      </c>
      <c r="Q125" s="555"/>
      <c r="R125" s="654" t="s">
        <v>278</v>
      </c>
      <c r="S125" s="650"/>
      <c r="T125" s="650"/>
      <c r="U125" s="650"/>
      <c r="V125" s="650"/>
      <c r="W125" s="650"/>
      <c r="X125" s="650"/>
      <c r="Y125" s="568"/>
      <c r="Z125" s="555"/>
      <c r="AA125" s="650"/>
      <c r="AB125" s="650"/>
      <c r="AC125" s="650"/>
      <c r="AD125" s="650"/>
      <c r="AE125" s="650"/>
      <c r="AF125" s="650"/>
      <c r="AG125" s="650"/>
      <c r="AH125" s="650"/>
      <c r="AI125" s="650"/>
      <c r="AJ125" s="650"/>
    </row>
    <row r="126">
      <c r="A126" s="550" t="s">
        <v>1979</v>
      </c>
      <c r="B126" s="550" t="s">
        <v>2971</v>
      </c>
      <c r="C126" s="584">
        <v>1.0</v>
      </c>
      <c r="D126" s="551">
        <v>125000.0</v>
      </c>
      <c r="E126" s="550" t="s">
        <v>2153</v>
      </c>
      <c r="F126" s="550" t="s">
        <v>51</v>
      </c>
      <c r="G126" s="555"/>
      <c r="H126" s="551">
        <v>125000.0</v>
      </c>
      <c r="I126" s="550">
        <v>2.0</v>
      </c>
      <c r="J126" s="555"/>
      <c r="K126" s="653"/>
      <c r="L126" s="584" t="s">
        <v>2972</v>
      </c>
      <c r="M126" s="555"/>
      <c r="N126" s="565"/>
      <c r="O126" s="570" t="s">
        <v>1982</v>
      </c>
      <c r="P126" s="566"/>
      <c r="Q126" s="644"/>
      <c r="R126" s="654" t="s">
        <v>24</v>
      </c>
      <c r="S126" s="650"/>
      <c r="T126" s="650"/>
      <c r="U126" s="650"/>
      <c r="V126" s="650"/>
      <c r="W126" s="650"/>
      <c r="X126" s="650"/>
      <c r="Y126" s="568"/>
      <c r="Z126" s="650"/>
      <c r="AA126" s="650"/>
      <c r="AB126" s="650"/>
      <c r="AC126" s="650"/>
      <c r="AD126" s="650"/>
      <c r="AE126" s="650"/>
      <c r="AF126" s="650"/>
      <c r="AG126" s="650"/>
      <c r="AH126" s="650"/>
      <c r="AI126" s="650"/>
      <c r="AJ126" s="650"/>
    </row>
    <row r="127">
      <c r="A127" s="550" t="s">
        <v>1324</v>
      </c>
      <c r="B127" s="551" t="s">
        <v>1970</v>
      </c>
      <c r="C127" s="584">
        <v>0.0</v>
      </c>
      <c r="D127" s="551">
        <v>9.2E7</v>
      </c>
      <c r="E127" s="550" t="s">
        <v>28</v>
      </c>
      <c r="F127" s="550" t="s">
        <v>23</v>
      </c>
      <c r="G127" s="555"/>
      <c r="H127" s="551">
        <v>9.2E7</v>
      </c>
      <c r="I127" s="550">
        <v>1.0</v>
      </c>
      <c r="J127" s="555"/>
      <c r="K127" s="653"/>
      <c r="L127" s="584" t="s">
        <v>2973</v>
      </c>
      <c r="M127" s="555"/>
      <c r="N127" s="565"/>
      <c r="O127" s="570" t="s">
        <v>2003</v>
      </c>
      <c r="P127" s="570" t="s">
        <v>2974</v>
      </c>
      <c r="Q127" s="644"/>
      <c r="R127" s="591" t="s">
        <v>1088</v>
      </c>
      <c r="S127" s="571"/>
      <c r="T127" s="650"/>
      <c r="U127" s="650"/>
      <c r="V127" s="650"/>
      <c r="W127" s="650"/>
      <c r="X127" s="650"/>
      <c r="Y127" s="568"/>
      <c r="Z127" s="644"/>
      <c r="AA127" s="555"/>
      <c r="AB127" s="650"/>
      <c r="AC127" s="650"/>
      <c r="AD127" s="650"/>
      <c r="AE127" s="650"/>
      <c r="AF127" s="650"/>
      <c r="AG127" s="650"/>
      <c r="AH127" s="650"/>
      <c r="AI127" s="650"/>
      <c r="AJ127" s="650"/>
    </row>
    <row r="128">
      <c r="A128" s="627" t="s">
        <v>1731</v>
      </c>
      <c r="B128" s="628"/>
      <c r="C128" s="627">
        <v>7.0</v>
      </c>
      <c r="D128" s="629">
        <v>283000.0</v>
      </c>
      <c r="E128" s="627" t="s">
        <v>43</v>
      </c>
      <c r="F128" s="627" t="s">
        <v>51</v>
      </c>
      <c r="G128" s="627" t="s">
        <v>2975</v>
      </c>
      <c r="H128" s="629">
        <v>283000.0</v>
      </c>
      <c r="I128" s="627">
        <v>2.0</v>
      </c>
      <c r="J128" s="630"/>
      <c r="K128" s="630"/>
      <c r="L128" s="627" t="s">
        <v>2976</v>
      </c>
      <c r="M128" s="630"/>
      <c r="N128" s="631"/>
      <c r="O128" s="570" t="s">
        <v>1734</v>
      </c>
      <c r="P128" s="632"/>
      <c r="Q128" s="630"/>
      <c r="R128" s="633"/>
      <c r="S128" s="633"/>
      <c r="T128" s="630"/>
      <c r="U128" s="630"/>
      <c r="V128" s="630"/>
      <c r="W128" s="630"/>
      <c r="X128" s="630"/>
      <c r="Y128" s="634"/>
      <c r="Z128" s="630"/>
      <c r="AA128" s="630"/>
      <c r="AB128" s="630"/>
      <c r="AC128" s="630"/>
      <c r="AD128" s="630"/>
      <c r="AE128" s="630"/>
      <c r="AF128" s="630"/>
      <c r="AG128" s="630"/>
      <c r="AH128" s="630"/>
      <c r="AI128" s="630"/>
      <c r="AJ128" s="630"/>
    </row>
    <row r="129">
      <c r="A129" s="627" t="s">
        <v>1400</v>
      </c>
      <c r="B129" s="628"/>
      <c r="C129" s="627">
        <v>9.0</v>
      </c>
      <c r="D129" s="629">
        <v>150000.0</v>
      </c>
      <c r="E129" s="627" t="s">
        <v>2153</v>
      </c>
      <c r="F129" s="627" t="s">
        <v>51</v>
      </c>
      <c r="G129" s="627" t="s">
        <v>2975</v>
      </c>
      <c r="H129" s="629">
        <v>150000.0</v>
      </c>
      <c r="I129" s="627">
        <v>2.0</v>
      </c>
      <c r="J129" s="630"/>
      <c r="K129" s="630"/>
      <c r="L129" s="627" t="s">
        <v>2977</v>
      </c>
      <c r="M129" s="630"/>
      <c r="N129" s="631"/>
      <c r="O129" s="570" t="s">
        <v>1402</v>
      </c>
      <c r="P129" s="632"/>
      <c r="Q129" s="630"/>
      <c r="R129" s="633"/>
      <c r="S129" s="633"/>
      <c r="T129" s="630"/>
      <c r="U129" s="630"/>
      <c r="V129" s="630"/>
      <c r="W129" s="630"/>
      <c r="X129" s="630"/>
      <c r="Y129" s="634"/>
      <c r="Z129" s="630"/>
      <c r="AA129" s="630"/>
      <c r="AB129" s="630"/>
      <c r="AC129" s="630"/>
      <c r="AD129" s="630"/>
      <c r="AE129" s="630"/>
      <c r="AF129" s="630"/>
      <c r="AG129" s="630"/>
      <c r="AH129" s="630"/>
      <c r="AI129" s="630"/>
      <c r="AJ129" s="630"/>
    </row>
    <row r="130">
      <c r="A130" s="627" t="s">
        <v>1448</v>
      </c>
      <c r="B130" s="628"/>
      <c r="C130" s="627">
        <v>9.0</v>
      </c>
      <c r="D130" s="629" t="s">
        <v>2978</v>
      </c>
      <c r="E130" s="627" t="s">
        <v>28</v>
      </c>
      <c r="F130" s="627" t="s">
        <v>23</v>
      </c>
      <c r="G130" s="627" t="s">
        <v>2975</v>
      </c>
      <c r="H130" s="629" t="s">
        <v>2978</v>
      </c>
      <c r="I130" s="627">
        <v>2.0</v>
      </c>
      <c r="J130" s="630"/>
      <c r="K130" s="630"/>
      <c r="L130" s="627" t="s">
        <v>2979</v>
      </c>
      <c r="M130" s="630"/>
      <c r="N130" s="631"/>
      <c r="O130" s="570" t="s">
        <v>1451</v>
      </c>
      <c r="P130" s="632"/>
      <c r="Q130" s="630"/>
      <c r="R130" s="633"/>
      <c r="S130" s="633"/>
      <c r="T130" s="630"/>
      <c r="U130" s="630"/>
      <c r="V130" s="630"/>
      <c r="W130" s="630"/>
      <c r="X130" s="630"/>
      <c r="Y130" s="634"/>
      <c r="Z130" s="630"/>
      <c r="AA130" s="630"/>
      <c r="AB130" s="630"/>
      <c r="AC130" s="630"/>
      <c r="AD130" s="630"/>
      <c r="AE130" s="630"/>
      <c r="AF130" s="630"/>
      <c r="AG130" s="630"/>
      <c r="AH130" s="630"/>
      <c r="AI130" s="630"/>
      <c r="AJ130" s="630"/>
    </row>
    <row r="131">
      <c r="A131" s="627" t="s">
        <v>214</v>
      </c>
      <c r="B131" s="628"/>
      <c r="C131" s="627">
        <v>8.0</v>
      </c>
      <c r="D131" s="629" t="s">
        <v>2727</v>
      </c>
      <c r="E131" s="627" t="s">
        <v>28</v>
      </c>
      <c r="F131" s="627" t="s">
        <v>23</v>
      </c>
      <c r="G131" s="627" t="s">
        <v>2975</v>
      </c>
      <c r="H131" s="629" t="s">
        <v>2727</v>
      </c>
      <c r="I131" s="627">
        <v>1.0</v>
      </c>
      <c r="J131" s="630"/>
      <c r="K131" s="630"/>
      <c r="L131" s="627" t="s">
        <v>2726</v>
      </c>
      <c r="M131" s="630"/>
      <c r="N131" s="631"/>
      <c r="O131" s="570" t="s">
        <v>2728</v>
      </c>
      <c r="P131" s="632"/>
      <c r="Q131" s="630"/>
      <c r="R131" s="633"/>
      <c r="S131" s="633"/>
      <c r="T131" s="630"/>
      <c r="U131" s="630"/>
      <c r="V131" s="630"/>
      <c r="W131" s="630"/>
      <c r="X131" s="630"/>
      <c r="Y131" s="634"/>
      <c r="Z131" s="630"/>
      <c r="AA131" s="630"/>
      <c r="AB131" s="630"/>
      <c r="AC131" s="630"/>
      <c r="AD131" s="630"/>
      <c r="AE131" s="630"/>
      <c r="AF131" s="630"/>
      <c r="AG131" s="630"/>
      <c r="AH131" s="630"/>
      <c r="AI131" s="630"/>
      <c r="AJ131" s="630"/>
    </row>
    <row r="132">
      <c r="A132" s="627" t="s">
        <v>1987</v>
      </c>
      <c r="B132" s="629" t="s">
        <v>2980</v>
      </c>
      <c r="C132" s="627">
        <v>2.0</v>
      </c>
      <c r="D132" s="629">
        <v>200000.0</v>
      </c>
      <c r="E132" s="627" t="s">
        <v>1612</v>
      </c>
      <c r="F132" s="627" t="s">
        <v>2832</v>
      </c>
      <c r="G132" s="627" t="s">
        <v>2975</v>
      </c>
      <c r="H132" s="629">
        <v>200000.0</v>
      </c>
      <c r="I132" s="627">
        <v>2.0</v>
      </c>
      <c r="J132" s="630"/>
      <c r="K132" s="630"/>
      <c r="L132" s="627" t="s">
        <v>2981</v>
      </c>
      <c r="M132" s="630"/>
      <c r="N132" s="631"/>
      <c r="O132" s="570" t="s">
        <v>2982</v>
      </c>
      <c r="P132" s="632"/>
      <c r="Q132" s="630"/>
      <c r="R132" s="633"/>
      <c r="S132" s="633"/>
      <c r="T132" s="630"/>
      <c r="U132" s="630"/>
      <c r="V132" s="630"/>
      <c r="W132" s="630"/>
      <c r="X132" s="630"/>
      <c r="Y132" s="634"/>
      <c r="Z132" s="630"/>
      <c r="AA132" s="630"/>
      <c r="AB132" s="630"/>
      <c r="AC132" s="630"/>
      <c r="AD132" s="630"/>
      <c r="AE132" s="630"/>
      <c r="AF132" s="630"/>
      <c r="AG132" s="630"/>
      <c r="AH132" s="630"/>
      <c r="AI132" s="630"/>
      <c r="AJ132" s="630"/>
    </row>
    <row r="133">
      <c r="A133" s="627" t="s">
        <v>1919</v>
      </c>
      <c r="B133" s="629" t="s">
        <v>2983</v>
      </c>
      <c r="C133" s="627">
        <v>4.0</v>
      </c>
      <c r="D133" s="629">
        <v>1700000.0</v>
      </c>
      <c r="E133" s="627" t="s">
        <v>64</v>
      </c>
      <c r="F133" s="627" t="s">
        <v>2832</v>
      </c>
      <c r="G133" s="627" t="s">
        <v>29</v>
      </c>
      <c r="H133" s="629">
        <v>1700000.0</v>
      </c>
      <c r="I133" s="627">
        <v>5.0</v>
      </c>
      <c r="J133" s="630"/>
      <c r="K133" s="630"/>
      <c r="L133" s="627" t="s">
        <v>2984</v>
      </c>
      <c r="M133" s="630"/>
      <c r="N133" s="631"/>
      <c r="O133" s="570" t="s">
        <v>1921</v>
      </c>
      <c r="P133" s="632"/>
      <c r="Q133" s="630"/>
      <c r="R133" s="633"/>
      <c r="S133" s="633"/>
      <c r="T133" s="630"/>
      <c r="U133" s="630"/>
      <c r="V133" s="630"/>
      <c r="W133" s="630"/>
      <c r="X133" s="630"/>
      <c r="Y133" s="634"/>
      <c r="Z133" s="630"/>
      <c r="AA133" s="630"/>
      <c r="AB133" s="630"/>
      <c r="AC133" s="630"/>
      <c r="AD133" s="630"/>
      <c r="AE133" s="630"/>
      <c r="AF133" s="630"/>
      <c r="AG133" s="630"/>
      <c r="AH133" s="630"/>
      <c r="AI133" s="630"/>
      <c r="AJ133" s="630"/>
    </row>
    <row r="134">
      <c r="A134" s="627" t="s">
        <v>1928</v>
      </c>
      <c r="B134" s="628"/>
      <c r="C134" s="627">
        <v>4.0</v>
      </c>
      <c r="D134" s="629">
        <v>50500.0</v>
      </c>
      <c r="E134" s="627" t="s">
        <v>64</v>
      </c>
      <c r="F134" s="627" t="s">
        <v>2865</v>
      </c>
      <c r="G134" s="627" t="s">
        <v>2975</v>
      </c>
      <c r="H134" s="629">
        <v>50500.0</v>
      </c>
      <c r="I134" s="627">
        <v>2.0</v>
      </c>
      <c r="J134" s="630"/>
      <c r="K134" s="630"/>
      <c r="L134" s="627" t="s">
        <v>2985</v>
      </c>
      <c r="M134" s="630"/>
      <c r="N134" s="631"/>
      <c r="O134" s="570" t="s">
        <v>1930</v>
      </c>
      <c r="P134" s="632"/>
      <c r="Q134" s="630"/>
      <c r="R134" s="633"/>
      <c r="S134" s="633"/>
      <c r="T134" s="630"/>
      <c r="U134" s="630"/>
      <c r="V134" s="630"/>
      <c r="W134" s="630"/>
      <c r="X134" s="630"/>
      <c r="Y134" s="634"/>
      <c r="Z134" s="630"/>
      <c r="AA134" s="630"/>
      <c r="AB134" s="630"/>
      <c r="AC134" s="630"/>
      <c r="AD134" s="630"/>
      <c r="AE134" s="630"/>
      <c r="AF134" s="630"/>
      <c r="AG134" s="630"/>
      <c r="AH134" s="630"/>
      <c r="AI134" s="630"/>
      <c r="AJ134" s="630"/>
    </row>
    <row r="135">
      <c r="A135" s="627" t="s">
        <v>2986</v>
      </c>
      <c r="B135" s="628"/>
      <c r="C135" s="627">
        <v>4.0</v>
      </c>
      <c r="D135" s="629">
        <v>400.0</v>
      </c>
      <c r="E135" s="627" t="s">
        <v>64</v>
      </c>
      <c r="F135" s="627" t="s">
        <v>2865</v>
      </c>
      <c r="G135" s="627" t="s">
        <v>2975</v>
      </c>
      <c r="H135" s="629">
        <v>400.0</v>
      </c>
      <c r="I135" s="627">
        <v>5.0</v>
      </c>
      <c r="J135" s="630"/>
      <c r="K135" s="630"/>
      <c r="L135" s="627" t="s">
        <v>2987</v>
      </c>
      <c r="M135" s="630"/>
      <c r="N135" s="631"/>
      <c r="O135" s="570" t="s">
        <v>2988</v>
      </c>
      <c r="P135" s="632"/>
      <c r="Q135" s="630"/>
      <c r="R135" s="633"/>
      <c r="S135" s="633"/>
      <c r="T135" s="630"/>
      <c r="U135" s="630"/>
      <c r="V135" s="630"/>
      <c r="W135" s="630"/>
      <c r="X135" s="630"/>
      <c r="Y135" s="634"/>
      <c r="Z135" s="630"/>
      <c r="AA135" s="630"/>
      <c r="AB135" s="630"/>
      <c r="AC135" s="630"/>
      <c r="AD135" s="630"/>
      <c r="AE135" s="630"/>
      <c r="AF135" s="630"/>
      <c r="AG135" s="630"/>
      <c r="AH135" s="630"/>
      <c r="AI135" s="630"/>
      <c r="AJ135" s="630"/>
    </row>
    <row r="136">
      <c r="A136" s="627" t="s">
        <v>2989</v>
      </c>
      <c r="B136" s="628"/>
      <c r="C136" s="627">
        <v>4.0</v>
      </c>
      <c r="D136" s="629">
        <v>200.0</v>
      </c>
      <c r="E136" s="627" t="s">
        <v>64</v>
      </c>
      <c r="F136" s="627" t="s">
        <v>2832</v>
      </c>
      <c r="G136" s="627" t="s">
        <v>2975</v>
      </c>
      <c r="H136" s="629">
        <v>200.0</v>
      </c>
      <c r="I136" s="627">
        <v>4.0</v>
      </c>
      <c r="J136" s="630"/>
      <c r="K136" s="630"/>
      <c r="L136" s="627" t="s">
        <v>2990</v>
      </c>
      <c r="M136" s="630"/>
      <c r="N136" s="631"/>
      <c r="O136" s="570" t="s">
        <v>2991</v>
      </c>
      <c r="P136" s="632"/>
      <c r="Q136" s="630"/>
      <c r="R136" s="633"/>
      <c r="S136" s="633"/>
      <c r="T136" s="630"/>
      <c r="U136" s="630"/>
      <c r="V136" s="630"/>
      <c r="W136" s="630"/>
      <c r="X136" s="630"/>
      <c r="Y136" s="634"/>
      <c r="Z136" s="630"/>
      <c r="AA136" s="630"/>
      <c r="AB136" s="630"/>
      <c r="AC136" s="630"/>
      <c r="AD136" s="630"/>
      <c r="AE136" s="630"/>
      <c r="AF136" s="630"/>
      <c r="AG136" s="630"/>
      <c r="AH136" s="630"/>
      <c r="AI136" s="630"/>
      <c r="AJ136" s="630"/>
    </row>
    <row r="137">
      <c r="A137" s="627" t="s">
        <v>2992</v>
      </c>
      <c r="B137" s="628"/>
      <c r="C137" s="627">
        <v>4.0</v>
      </c>
      <c r="D137" s="629">
        <v>84000.0</v>
      </c>
      <c r="E137" s="627" t="s">
        <v>64</v>
      </c>
      <c r="F137" s="627" t="s">
        <v>2832</v>
      </c>
      <c r="G137" s="627" t="s">
        <v>2975</v>
      </c>
      <c r="H137" s="629">
        <v>84000.0</v>
      </c>
      <c r="I137" s="627">
        <v>2.0</v>
      </c>
      <c r="J137" s="630"/>
      <c r="K137" s="630"/>
      <c r="L137" s="627" t="s">
        <v>2993</v>
      </c>
      <c r="M137" s="630"/>
      <c r="N137" s="631"/>
      <c r="O137" s="570" t="s">
        <v>2994</v>
      </c>
      <c r="P137" s="632"/>
      <c r="Q137" s="630"/>
      <c r="R137" s="633"/>
      <c r="S137" s="633"/>
      <c r="T137" s="630"/>
      <c r="U137" s="630"/>
      <c r="V137" s="630"/>
      <c r="W137" s="630"/>
      <c r="X137" s="630"/>
      <c r="Y137" s="634"/>
      <c r="Z137" s="630"/>
      <c r="AA137" s="630"/>
      <c r="AB137" s="630"/>
      <c r="AC137" s="630"/>
      <c r="AD137" s="630"/>
      <c r="AE137" s="630"/>
      <c r="AF137" s="630"/>
      <c r="AG137" s="630"/>
      <c r="AH137" s="630"/>
      <c r="AI137" s="630"/>
      <c r="AJ137" s="630"/>
    </row>
    <row r="138">
      <c r="A138" s="627" t="s">
        <v>2995</v>
      </c>
      <c r="B138" s="628"/>
      <c r="C138" s="627">
        <v>4.0</v>
      </c>
      <c r="D138" s="629">
        <v>21000.0</v>
      </c>
      <c r="E138" s="627" t="s">
        <v>64</v>
      </c>
      <c r="F138" s="627" t="s">
        <v>2865</v>
      </c>
      <c r="G138" s="627" t="s">
        <v>2975</v>
      </c>
      <c r="H138" s="629">
        <v>21000.0</v>
      </c>
      <c r="I138" s="627">
        <v>4.0</v>
      </c>
      <c r="J138" s="630"/>
      <c r="K138" s="630"/>
      <c r="L138" s="627" t="s">
        <v>2996</v>
      </c>
      <c r="M138" s="630"/>
      <c r="N138" s="631"/>
      <c r="O138" s="570" t="s">
        <v>2997</v>
      </c>
      <c r="P138" s="632"/>
      <c r="Q138" s="630"/>
      <c r="R138" s="633"/>
      <c r="S138" s="633"/>
      <c r="T138" s="630"/>
      <c r="U138" s="630"/>
      <c r="V138" s="630"/>
      <c r="W138" s="630"/>
      <c r="X138" s="630"/>
      <c r="Y138" s="634"/>
      <c r="Z138" s="630"/>
      <c r="AA138" s="630"/>
      <c r="AB138" s="630"/>
      <c r="AC138" s="630"/>
      <c r="AD138" s="630"/>
      <c r="AE138" s="630"/>
      <c r="AF138" s="630"/>
      <c r="AG138" s="630"/>
      <c r="AH138" s="630"/>
      <c r="AI138" s="630"/>
      <c r="AJ138" s="630"/>
    </row>
    <row r="139">
      <c r="A139" s="627" t="s">
        <v>2998</v>
      </c>
      <c r="B139" s="629" t="s">
        <v>2999</v>
      </c>
      <c r="C139" s="627">
        <v>3.0</v>
      </c>
      <c r="D139" s="629">
        <v>45000.0</v>
      </c>
      <c r="E139" s="627" t="s">
        <v>64</v>
      </c>
      <c r="F139" s="627" t="s">
        <v>2832</v>
      </c>
      <c r="G139" s="627" t="s">
        <v>2975</v>
      </c>
      <c r="H139" s="629">
        <v>45000.0</v>
      </c>
      <c r="I139" s="627">
        <v>2.0</v>
      </c>
      <c r="J139" s="630"/>
      <c r="K139" s="630"/>
      <c r="L139" s="627" t="s">
        <v>3000</v>
      </c>
      <c r="M139" s="630"/>
      <c r="N139" s="631"/>
      <c r="O139" s="570" t="s">
        <v>3001</v>
      </c>
      <c r="P139" s="632"/>
      <c r="Q139" s="630"/>
      <c r="R139" s="633"/>
      <c r="S139" s="633"/>
      <c r="T139" s="630"/>
      <c r="U139" s="630"/>
      <c r="V139" s="630"/>
      <c r="W139" s="630"/>
      <c r="X139" s="630"/>
      <c r="Y139" s="634"/>
      <c r="Z139" s="630"/>
      <c r="AA139" s="630"/>
      <c r="AB139" s="630"/>
      <c r="AC139" s="630"/>
      <c r="AD139" s="630"/>
      <c r="AE139" s="630"/>
      <c r="AF139" s="630"/>
      <c r="AG139" s="630"/>
      <c r="AH139" s="630"/>
      <c r="AI139" s="630"/>
      <c r="AJ139" s="630"/>
    </row>
    <row r="140">
      <c r="A140" s="627" t="s">
        <v>2998</v>
      </c>
      <c r="B140" s="629" t="s">
        <v>2999</v>
      </c>
      <c r="C140" s="627">
        <v>3.0</v>
      </c>
      <c r="D140" s="629" t="s">
        <v>3002</v>
      </c>
      <c r="E140" s="627" t="s">
        <v>64</v>
      </c>
      <c r="F140" s="627" t="s">
        <v>2865</v>
      </c>
      <c r="G140" s="627" t="s">
        <v>2975</v>
      </c>
      <c r="H140" s="629" t="s">
        <v>3002</v>
      </c>
      <c r="I140" s="627">
        <v>2.0</v>
      </c>
      <c r="J140" s="630"/>
      <c r="K140" s="630"/>
      <c r="L140" s="627" t="s">
        <v>3003</v>
      </c>
      <c r="M140" s="630"/>
      <c r="N140" s="631"/>
      <c r="O140" s="570" t="s">
        <v>3001</v>
      </c>
      <c r="P140" s="632"/>
      <c r="Q140" s="630"/>
      <c r="R140" s="633"/>
      <c r="S140" s="633"/>
      <c r="T140" s="630"/>
      <c r="U140" s="630"/>
      <c r="V140" s="630"/>
      <c r="W140" s="630"/>
      <c r="X140" s="630"/>
      <c r="Y140" s="634"/>
      <c r="Z140" s="630"/>
      <c r="AA140" s="630"/>
      <c r="AB140" s="630"/>
      <c r="AC140" s="630"/>
      <c r="AD140" s="630"/>
      <c r="AE140" s="630"/>
      <c r="AF140" s="630"/>
      <c r="AG140" s="630"/>
      <c r="AH140" s="630"/>
      <c r="AI140" s="630"/>
      <c r="AJ140" s="630"/>
    </row>
    <row r="141">
      <c r="A141" s="627" t="s">
        <v>1942</v>
      </c>
      <c r="B141" s="628"/>
      <c r="C141" s="627">
        <v>3.0</v>
      </c>
      <c r="D141" s="629">
        <v>160000.0</v>
      </c>
      <c r="E141" s="627" t="s">
        <v>64</v>
      </c>
      <c r="F141" s="627" t="s">
        <v>2832</v>
      </c>
      <c r="G141" s="630"/>
      <c r="H141" s="629">
        <v>160000.0</v>
      </c>
      <c r="I141" s="627">
        <v>2.0</v>
      </c>
      <c r="J141" s="630"/>
      <c r="K141" s="630"/>
      <c r="L141" s="627" t="s">
        <v>3004</v>
      </c>
      <c r="M141" s="630"/>
      <c r="N141" s="631"/>
      <c r="O141" s="570" t="s">
        <v>3005</v>
      </c>
      <c r="P141" s="632"/>
      <c r="Q141" s="630"/>
      <c r="R141" s="633"/>
      <c r="S141" s="633"/>
      <c r="T141" s="630"/>
      <c r="U141" s="630"/>
      <c r="V141" s="630"/>
      <c r="W141" s="630"/>
      <c r="X141" s="630"/>
      <c r="Y141" s="634"/>
      <c r="Z141" s="630"/>
      <c r="AA141" s="630"/>
      <c r="AB141" s="630"/>
      <c r="AC141" s="630"/>
      <c r="AD141" s="630"/>
      <c r="AE141" s="630"/>
      <c r="AF141" s="630"/>
      <c r="AG141" s="630"/>
      <c r="AH141" s="630"/>
      <c r="AI141" s="630"/>
      <c r="AJ141" s="630"/>
    </row>
    <row r="142">
      <c r="A142" s="627" t="s">
        <v>3006</v>
      </c>
      <c r="B142" s="629" t="s">
        <v>3007</v>
      </c>
      <c r="C142" s="627">
        <v>3.0</v>
      </c>
      <c r="D142" s="629">
        <v>50000.0</v>
      </c>
      <c r="E142" s="627" t="s">
        <v>64</v>
      </c>
      <c r="F142" s="627" t="s">
        <v>51</v>
      </c>
      <c r="G142" s="630"/>
      <c r="H142" s="629">
        <v>50000.0</v>
      </c>
      <c r="I142" s="627">
        <v>2.0</v>
      </c>
      <c r="J142" s="630"/>
      <c r="K142" s="630"/>
      <c r="L142" s="627" t="s">
        <v>3008</v>
      </c>
      <c r="M142" s="630"/>
      <c r="N142" s="631"/>
      <c r="O142" s="570" t="s">
        <v>3009</v>
      </c>
      <c r="P142" s="632"/>
      <c r="Q142" s="630"/>
      <c r="R142" s="633"/>
      <c r="S142" s="633"/>
      <c r="T142" s="630"/>
      <c r="U142" s="630"/>
      <c r="V142" s="630"/>
      <c r="W142" s="630"/>
      <c r="X142" s="630"/>
      <c r="Y142" s="634"/>
      <c r="Z142" s="630"/>
      <c r="AA142" s="630"/>
      <c r="AB142" s="630"/>
      <c r="AC142" s="630"/>
      <c r="AD142" s="630"/>
      <c r="AE142" s="630"/>
      <c r="AF142" s="630"/>
      <c r="AG142" s="630"/>
      <c r="AH142" s="630"/>
      <c r="AI142" s="630"/>
      <c r="AJ142" s="630"/>
    </row>
    <row r="143">
      <c r="A143" s="627" t="s">
        <v>3010</v>
      </c>
      <c r="B143" s="628"/>
      <c r="C143" s="627">
        <v>3.0</v>
      </c>
      <c r="D143" s="629">
        <v>2.5E7</v>
      </c>
      <c r="E143" s="627" t="s">
        <v>64</v>
      </c>
      <c r="F143" s="627" t="s">
        <v>2832</v>
      </c>
      <c r="G143" s="630"/>
      <c r="H143" s="629">
        <v>2.5E7</v>
      </c>
      <c r="I143" s="627">
        <v>2.0</v>
      </c>
      <c r="J143" s="630"/>
      <c r="K143" s="630"/>
      <c r="L143" s="627" t="s">
        <v>3011</v>
      </c>
      <c r="M143" s="630"/>
      <c r="N143" s="631"/>
      <c r="O143" s="570" t="s">
        <v>3012</v>
      </c>
      <c r="P143" s="632"/>
      <c r="Q143" s="630"/>
      <c r="R143" s="633"/>
      <c r="S143" s="633"/>
      <c r="T143" s="630"/>
      <c r="U143" s="630"/>
      <c r="V143" s="630"/>
      <c r="W143" s="630"/>
      <c r="X143" s="630"/>
      <c r="Y143" s="634"/>
      <c r="Z143" s="630"/>
      <c r="AA143" s="630"/>
      <c r="AB143" s="630"/>
      <c r="AC143" s="630"/>
      <c r="AD143" s="630"/>
      <c r="AE143" s="630"/>
      <c r="AF143" s="630"/>
      <c r="AG143" s="630"/>
      <c r="AH143" s="630"/>
      <c r="AI143" s="630"/>
      <c r="AJ143" s="630"/>
    </row>
    <row r="144">
      <c r="A144" s="627" t="s">
        <v>3013</v>
      </c>
      <c r="B144" s="629" t="s">
        <v>3014</v>
      </c>
      <c r="C144" s="627">
        <v>3.0</v>
      </c>
      <c r="D144" s="629">
        <v>5000.0</v>
      </c>
      <c r="E144" s="627" t="s">
        <v>64</v>
      </c>
      <c r="F144" s="627" t="s">
        <v>2832</v>
      </c>
      <c r="G144" s="630"/>
      <c r="H144" s="629">
        <v>5000.0</v>
      </c>
      <c r="I144" s="627">
        <v>2.0</v>
      </c>
      <c r="J144" s="630"/>
      <c r="K144" s="630"/>
      <c r="L144" s="627" t="s">
        <v>3015</v>
      </c>
      <c r="M144" s="630"/>
      <c r="N144" s="631"/>
      <c r="O144" s="570" t="s">
        <v>3016</v>
      </c>
      <c r="P144" s="632"/>
      <c r="Q144" s="630"/>
      <c r="R144" s="633"/>
      <c r="S144" s="633"/>
      <c r="T144" s="630"/>
      <c r="U144" s="630"/>
      <c r="V144" s="630"/>
      <c r="W144" s="630"/>
      <c r="X144" s="630"/>
      <c r="Y144" s="634"/>
      <c r="Z144" s="630"/>
      <c r="AA144" s="630"/>
      <c r="AB144" s="630"/>
      <c r="AC144" s="630"/>
      <c r="AD144" s="630"/>
      <c r="AE144" s="630"/>
      <c r="AF144" s="630"/>
      <c r="AG144" s="630"/>
      <c r="AH144" s="630"/>
      <c r="AI144" s="630"/>
      <c r="AJ144" s="630"/>
    </row>
    <row r="145">
      <c r="A145" s="627" t="s">
        <v>1935</v>
      </c>
      <c r="B145" s="629" t="s">
        <v>3017</v>
      </c>
      <c r="C145" s="627">
        <v>3.0</v>
      </c>
      <c r="D145" s="629">
        <v>3000000.0</v>
      </c>
      <c r="E145" s="627" t="s">
        <v>64</v>
      </c>
      <c r="F145" s="627" t="s">
        <v>2832</v>
      </c>
      <c r="G145" s="630"/>
      <c r="H145" s="629">
        <v>3000000.0</v>
      </c>
      <c r="I145" s="627">
        <v>2.0</v>
      </c>
      <c r="J145" s="630"/>
      <c r="K145" s="630"/>
      <c r="L145" s="627" t="s">
        <v>3018</v>
      </c>
      <c r="M145" s="630"/>
      <c r="N145" s="631"/>
      <c r="O145" s="570" t="s">
        <v>1937</v>
      </c>
      <c r="P145" s="632"/>
      <c r="Q145" s="630"/>
      <c r="R145" s="633"/>
      <c r="S145" s="633"/>
      <c r="T145" s="630"/>
      <c r="U145" s="630"/>
      <c r="V145" s="630"/>
      <c r="W145" s="630"/>
      <c r="X145" s="630"/>
      <c r="Y145" s="634"/>
      <c r="Z145" s="630"/>
      <c r="AA145" s="630"/>
      <c r="AB145" s="630"/>
      <c r="AC145" s="630"/>
      <c r="AD145" s="630"/>
      <c r="AE145" s="630"/>
      <c r="AF145" s="630"/>
      <c r="AG145" s="630"/>
      <c r="AH145" s="630"/>
      <c r="AI145" s="630"/>
      <c r="AJ145" s="630"/>
    </row>
    <row r="146">
      <c r="A146" s="627" t="s">
        <v>3006</v>
      </c>
      <c r="B146" s="629" t="s">
        <v>3007</v>
      </c>
      <c r="C146" s="627">
        <v>3.0</v>
      </c>
      <c r="D146" s="629">
        <v>50.0</v>
      </c>
      <c r="E146" s="627" t="s">
        <v>64</v>
      </c>
      <c r="F146" s="627" t="s">
        <v>51</v>
      </c>
      <c r="G146" s="630"/>
      <c r="H146" s="629">
        <v>50.0</v>
      </c>
      <c r="I146" s="627">
        <v>2.0</v>
      </c>
      <c r="J146" s="630"/>
      <c r="K146" s="630"/>
      <c r="L146" s="627" t="s">
        <v>3019</v>
      </c>
      <c r="M146" s="630"/>
      <c r="N146" s="631"/>
      <c r="O146" s="570" t="s">
        <v>3020</v>
      </c>
      <c r="P146" s="632"/>
      <c r="Q146" s="630"/>
      <c r="R146" s="633"/>
      <c r="S146" s="633"/>
      <c r="T146" s="630"/>
      <c r="U146" s="630"/>
      <c r="V146" s="630"/>
      <c r="W146" s="630"/>
      <c r="X146" s="630"/>
      <c r="Y146" s="634"/>
      <c r="Z146" s="630"/>
      <c r="AA146" s="630"/>
      <c r="AB146" s="630"/>
      <c r="AC146" s="630"/>
      <c r="AD146" s="630"/>
      <c r="AE146" s="630"/>
      <c r="AF146" s="630"/>
      <c r="AG146" s="630"/>
      <c r="AH146" s="630"/>
      <c r="AI146" s="630"/>
      <c r="AJ146" s="630"/>
    </row>
    <row r="147">
      <c r="A147" s="627" t="s">
        <v>1445</v>
      </c>
      <c r="B147" s="628"/>
      <c r="C147" s="627">
        <v>9.0</v>
      </c>
      <c r="D147" s="629">
        <v>4000000.0</v>
      </c>
      <c r="E147" s="627" t="s">
        <v>2514</v>
      </c>
      <c r="F147" s="627" t="s">
        <v>2865</v>
      </c>
      <c r="G147" s="627" t="s">
        <v>29</v>
      </c>
      <c r="H147" s="629">
        <v>4000000.0</v>
      </c>
      <c r="I147" s="627">
        <v>2.0</v>
      </c>
      <c r="J147" s="630"/>
      <c r="K147" s="630"/>
      <c r="L147" s="627" t="s">
        <v>3021</v>
      </c>
      <c r="M147" s="630"/>
      <c r="N147" s="631"/>
      <c r="O147" s="570" t="s">
        <v>1447</v>
      </c>
      <c r="P147" s="570" t="s">
        <v>3022</v>
      </c>
      <c r="Q147" s="630"/>
      <c r="R147" s="633"/>
      <c r="S147" s="633"/>
      <c r="T147" s="630"/>
      <c r="U147" s="630"/>
      <c r="V147" s="630"/>
      <c r="W147" s="630"/>
      <c r="X147" s="630"/>
      <c r="Y147" s="634"/>
      <c r="Z147" s="630"/>
      <c r="AA147" s="630"/>
      <c r="AB147" s="630"/>
      <c r="AC147" s="630"/>
      <c r="AD147" s="630"/>
      <c r="AE147" s="630"/>
      <c r="AF147" s="630"/>
      <c r="AG147" s="630"/>
      <c r="AH147" s="630"/>
      <c r="AI147" s="630"/>
      <c r="AJ147" s="630"/>
    </row>
    <row r="148">
      <c r="A148" s="627" t="s">
        <v>1455</v>
      </c>
      <c r="B148" s="629" t="s">
        <v>1456</v>
      </c>
      <c r="C148" s="627">
        <v>9.0</v>
      </c>
      <c r="D148" s="629" t="s">
        <v>360</v>
      </c>
      <c r="E148" s="627" t="s">
        <v>2153</v>
      </c>
      <c r="F148" s="627" t="s">
        <v>23</v>
      </c>
      <c r="G148" s="630"/>
      <c r="H148" s="629" t="s">
        <v>360</v>
      </c>
      <c r="I148" s="627">
        <v>1.0</v>
      </c>
      <c r="J148" s="630"/>
      <c r="K148" s="630"/>
      <c r="L148" s="627" t="s">
        <v>3023</v>
      </c>
      <c r="M148" s="630"/>
      <c r="N148" s="631"/>
      <c r="O148" s="570" t="s">
        <v>3024</v>
      </c>
      <c r="P148" s="632"/>
      <c r="Q148" s="630"/>
      <c r="R148" s="633"/>
      <c r="S148" s="633"/>
      <c r="T148" s="630"/>
      <c r="U148" s="630"/>
      <c r="V148" s="630"/>
      <c r="W148" s="630"/>
      <c r="X148" s="630"/>
      <c r="Y148" s="634"/>
      <c r="Z148" s="630"/>
      <c r="AA148" s="630"/>
      <c r="AB148" s="630"/>
      <c r="AC148" s="630"/>
      <c r="AD148" s="630"/>
      <c r="AE148" s="630"/>
      <c r="AF148" s="630"/>
      <c r="AG148" s="630"/>
      <c r="AH148" s="630"/>
      <c r="AI148" s="630"/>
      <c r="AJ148" s="630"/>
    </row>
    <row r="149">
      <c r="A149" s="627" t="s">
        <v>1391</v>
      </c>
      <c r="B149" s="628"/>
      <c r="C149" s="627" t="s">
        <v>3025</v>
      </c>
      <c r="D149" s="629">
        <v>1.6E8</v>
      </c>
      <c r="E149" s="627" t="s">
        <v>2153</v>
      </c>
      <c r="F149" s="627" t="s">
        <v>23</v>
      </c>
      <c r="G149" s="627" t="s">
        <v>29</v>
      </c>
      <c r="H149" s="629">
        <v>1.6E8</v>
      </c>
      <c r="I149" s="627">
        <v>5.0</v>
      </c>
      <c r="J149" s="630"/>
      <c r="K149" s="630"/>
      <c r="L149" s="627" t="s">
        <v>3026</v>
      </c>
      <c r="M149" s="630"/>
      <c r="N149" s="631"/>
      <c r="O149" s="570" t="s">
        <v>3027</v>
      </c>
      <c r="P149" s="632"/>
      <c r="Q149" s="630"/>
      <c r="R149" s="633"/>
      <c r="S149" s="633"/>
      <c r="T149" s="630"/>
      <c r="U149" s="630"/>
      <c r="V149" s="630"/>
      <c r="W149" s="630"/>
      <c r="X149" s="630"/>
      <c r="Y149" s="634"/>
      <c r="Z149" s="630"/>
      <c r="AA149" s="630"/>
      <c r="AB149" s="630"/>
      <c r="AC149" s="630"/>
      <c r="AD149" s="630"/>
      <c r="AE149" s="630"/>
      <c r="AF149" s="630"/>
      <c r="AG149" s="630"/>
      <c r="AH149" s="630"/>
      <c r="AI149" s="630"/>
      <c r="AJ149" s="630"/>
    </row>
    <row r="150">
      <c r="A150" s="627" t="s">
        <v>3028</v>
      </c>
      <c r="B150" s="628"/>
      <c r="C150" s="627">
        <v>10.0</v>
      </c>
      <c r="D150" s="629">
        <v>2.0E7</v>
      </c>
      <c r="E150" s="627" t="s">
        <v>2153</v>
      </c>
      <c r="F150" s="627" t="s">
        <v>3029</v>
      </c>
      <c r="G150" s="627" t="s">
        <v>2975</v>
      </c>
      <c r="H150" s="629">
        <v>2.0E7</v>
      </c>
      <c r="I150" s="627">
        <v>3.0</v>
      </c>
      <c r="J150" s="630"/>
      <c r="K150" s="630"/>
      <c r="L150" s="627" t="s">
        <v>3030</v>
      </c>
      <c r="M150" s="630"/>
      <c r="N150" s="631"/>
      <c r="O150" s="570" t="s">
        <v>1383</v>
      </c>
      <c r="P150" s="632"/>
      <c r="Q150" s="630"/>
      <c r="R150" s="633"/>
      <c r="S150" s="633"/>
      <c r="T150" s="630"/>
      <c r="U150" s="630"/>
      <c r="V150" s="630"/>
      <c r="W150" s="630"/>
      <c r="X150" s="630"/>
      <c r="Y150" s="634"/>
      <c r="Z150" s="630"/>
      <c r="AA150" s="630"/>
      <c r="AB150" s="630"/>
      <c r="AC150" s="630"/>
      <c r="AD150" s="630"/>
      <c r="AE150" s="630"/>
      <c r="AF150" s="630"/>
      <c r="AG150" s="630"/>
      <c r="AH150" s="630"/>
      <c r="AI150" s="630"/>
      <c r="AJ150" s="630"/>
    </row>
    <row r="151">
      <c r="A151" s="627" t="s">
        <v>3031</v>
      </c>
      <c r="B151" s="628"/>
      <c r="C151" s="627">
        <v>9.0</v>
      </c>
      <c r="D151" s="629">
        <v>34000.0</v>
      </c>
      <c r="E151" s="627" t="s">
        <v>2153</v>
      </c>
      <c r="F151" s="627" t="s">
        <v>3029</v>
      </c>
      <c r="G151" s="627" t="s">
        <v>2975</v>
      </c>
      <c r="H151" s="629">
        <v>34000.0</v>
      </c>
      <c r="I151" s="627">
        <v>1.0</v>
      </c>
      <c r="J151" s="630"/>
      <c r="K151" s="630"/>
      <c r="L151" s="627" t="s">
        <v>3032</v>
      </c>
      <c r="M151" s="630"/>
      <c r="N151" s="631"/>
      <c r="O151" s="570" t="s">
        <v>1383</v>
      </c>
      <c r="P151" s="570" t="s">
        <v>3033</v>
      </c>
      <c r="Q151" s="630"/>
      <c r="R151" s="633"/>
      <c r="S151" s="633"/>
      <c r="T151" s="630"/>
      <c r="U151" s="630"/>
      <c r="V151" s="630"/>
      <c r="W151" s="630"/>
      <c r="X151" s="630"/>
      <c r="Y151" s="634"/>
      <c r="Z151" s="630"/>
      <c r="AA151" s="630"/>
      <c r="AB151" s="630"/>
      <c r="AC151" s="630"/>
      <c r="AD151" s="630"/>
      <c r="AE151" s="630"/>
      <c r="AF151" s="630"/>
      <c r="AG151" s="630"/>
      <c r="AH151" s="630"/>
      <c r="AI151" s="630"/>
      <c r="AJ151" s="630"/>
    </row>
    <row r="152">
      <c r="A152" s="627" t="s">
        <v>1583</v>
      </c>
      <c r="B152" s="628"/>
      <c r="C152" s="627">
        <v>8.0</v>
      </c>
      <c r="D152" s="629">
        <v>8700000.0</v>
      </c>
      <c r="E152" s="627" t="s">
        <v>129</v>
      </c>
      <c r="F152" s="627" t="s">
        <v>23</v>
      </c>
      <c r="G152" s="627" t="s">
        <v>2975</v>
      </c>
      <c r="H152" s="629">
        <v>8700000.0</v>
      </c>
      <c r="I152" s="627">
        <v>1.0</v>
      </c>
      <c r="J152" s="630"/>
      <c r="K152" s="630"/>
      <c r="L152" s="627" t="s">
        <v>3034</v>
      </c>
      <c r="M152" s="630"/>
      <c r="N152" s="631"/>
      <c r="O152" s="570" t="s">
        <v>3035</v>
      </c>
      <c r="P152" s="632"/>
      <c r="Q152" s="630"/>
      <c r="R152" s="633"/>
      <c r="S152" s="633"/>
      <c r="T152" s="630"/>
      <c r="U152" s="630"/>
      <c r="V152" s="630"/>
      <c r="W152" s="630"/>
      <c r="X152" s="630"/>
      <c r="Y152" s="634"/>
      <c r="Z152" s="630"/>
      <c r="AA152" s="630"/>
      <c r="AB152" s="630"/>
      <c r="AC152" s="630"/>
      <c r="AD152" s="630"/>
      <c r="AE152" s="630"/>
      <c r="AF152" s="630"/>
      <c r="AG152" s="630"/>
      <c r="AH152" s="630"/>
      <c r="AI152" s="630"/>
      <c r="AJ152" s="630"/>
    </row>
    <row r="153">
      <c r="A153" s="627" t="s">
        <v>3036</v>
      </c>
      <c r="B153" s="628"/>
      <c r="C153" s="627">
        <v>7.0</v>
      </c>
      <c r="D153" s="629">
        <v>1.3E7</v>
      </c>
      <c r="E153" s="627" t="s">
        <v>3037</v>
      </c>
      <c r="F153" s="627" t="s">
        <v>23</v>
      </c>
      <c r="G153" s="627" t="s">
        <v>2975</v>
      </c>
      <c r="H153" s="629">
        <v>1.3E7</v>
      </c>
      <c r="I153" s="627">
        <v>1.0</v>
      </c>
      <c r="J153" s="630"/>
      <c r="K153" s="630"/>
      <c r="L153" s="627" t="s">
        <v>3038</v>
      </c>
      <c r="M153" s="630"/>
      <c r="N153" s="631"/>
      <c r="O153" s="570" t="s">
        <v>1383</v>
      </c>
      <c r="P153" s="570" t="s">
        <v>3039</v>
      </c>
      <c r="Q153" s="630"/>
      <c r="R153" s="633"/>
      <c r="S153" s="633"/>
      <c r="T153" s="630"/>
      <c r="U153" s="630"/>
      <c r="V153" s="630"/>
      <c r="W153" s="630"/>
      <c r="X153" s="630"/>
      <c r="Y153" s="634"/>
      <c r="Z153" s="630"/>
      <c r="AA153" s="630"/>
      <c r="AB153" s="630"/>
      <c r="AC153" s="630"/>
      <c r="AD153" s="630"/>
      <c r="AE153" s="630"/>
      <c r="AF153" s="630"/>
      <c r="AG153" s="630"/>
      <c r="AH153" s="630"/>
      <c r="AI153" s="630"/>
      <c r="AJ153" s="630"/>
    </row>
    <row r="154">
      <c r="A154" s="627" t="s">
        <v>3040</v>
      </c>
      <c r="B154" s="628"/>
      <c r="C154" s="627">
        <v>7.0</v>
      </c>
      <c r="D154" s="629">
        <v>3.5E7</v>
      </c>
      <c r="E154" s="627" t="s">
        <v>3041</v>
      </c>
      <c r="F154" s="627" t="s">
        <v>3029</v>
      </c>
      <c r="G154" s="627" t="s">
        <v>2975</v>
      </c>
      <c r="H154" s="629">
        <v>3.5E7</v>
      </c>
      <c r="I154" s="627">
        <v>2.0</v>
      </c>
      <c r="J154" s="630"/>
      <c r="K154" s="630"/>
      <c r="L154" s="627" t="s">
        <v>3042</v>
      </c>
      <c r="M154" s="630"/>
      <c r="N154" s="631"/>
      <c r="O154" s="570" t="s">
        <v>1383</v>
      </c>
      <c r="P154" s="570" t="s">
        <v>3043</v>
      </c>
      <c r="Q154" s="630"/>
      <c r="R154" s="633"/>
      <c r="S154" s="633"/>
      <c r="T154" s="630"/>
      <c r="U154" s="630"/>
      <c r="V154" s="630"/>
      <c r="W154" s="630"/>
      <c r="X154" s="630"/>
      <c r="Y154" s="634"/>
      <c r="Z154" s="630"/>
      <c r="AA154" s="630"/>
      <c r="AB154" s="630"/>
      <c r="AC154" s="630"/>
      <c r="AD154" s="630"/>
      <c r="AE154" s="630"/>
      <c r="AF154" s="630"/>
      <c r="AG154" s="630"/>
      <c r="AH154" s="630"/>
      <c r="AI154" s="630"/>
      <c r="AJ154" s="630"/>
    </row>
    <row r="155">
      <c r="A155" s="630"/>
      <c r="B155" s="628"/>
      <c r="C155" s="630"/>
      <c r="D155" s="628"/>
      <c r="E155" s="630"/>
      <c r="F155" s="630"/>
      <c r="G155" s="630"/>
      <c r="H155" s="628"/>
      <c r="I155" s="630"/>
      <c r="J155" s="630"/>
      <c r="K155" s="630"/>
      <c r="L155" s="630"/>
      <c r="M155" s="630"/>
      <c r="N155" s="631"/>
      <c r="O155" s="632"/>
      <c r="P155" s="632"/>
      <c r="Q155" s="630"/>
      <c r="R155" s="633"/>
      <c r="S155" s="633"/>
      <c r="T155" s="630"/>
      <c r="U155" s="630"/>
      <c r="V155" s="630"/>
      <c r="W155" s="630"/>
      <c r="X155" s="630"/>
      <c r="Y155" s="634"/>
      <c r="Z155" s="630"/>
      <c r="AA155" s="630"/>
      <c r="AB155" s="630"/>
      <c r="AC155" s="630"/>
      <c r="AD155" s="630"/>
      <c r="AE155" s="630"/>
      <c r="AF155" s="630"/>
      <c r="AG155" s="630"/>
      <c r="AH155" s="630"/>
      <c r="AI155" s="630"/>
      <c r="AJ155" s="630"/>
    </row>
    <row r="156">
      <c r="A156" s="630"/>
      <c r="B156" s="628"/>
      <c r="C156" s="630"/>
      <c r="D156" s="628"/>
      <c r="E156" s="630"/>
      <c r="F156" s="630"/>
      <c r="G156" s="630"/>
      <c r="H156" s="628"/>
      <c r="I156" s="630"/>
      <c r="J156" s="630"/>
      <c r="K156" s="630"/>
      <c r="L156" s="630"/>
      <c r="M156" s="630"/>
      <c r="N156" s="631"/>
      <c r="O156" s="632"/>
      <c r="P156" s="632"/>
      <c r="Q156" s="630"/>
      <c r="R156" s="633"/>
      <c r="S156" s="633"/>
      <c r="T156" s="630"/>
      <c r="U156" s="630"/>
      <c r="V156" s="630"/>
      <c r="W156" s="630"/>
      <c r="X156" s="630"/>
      <c r="Y156" s="634"/>
      <c r="Z156" s="630"/>
      <c r="AA156" s="630"/>
      <c r="AB156" s="630"/>
      <c r="AC156" s="630"/>
      <c r="AD156" s="630"/>
      <c r="AE156" s="630"/>
      <c r="AF156" s="630"/>
      <c r="AG156" s="630"/>
      <c r="AH156" s="630"/>
      <c r="AI156" s="630"/>
      <c r="AJ156" s="630"/>
    </row>
    <row r="157">
      <c r="A157" s="630"/>
      <c r="B157" s="628"/>
      <c r="C157" s="630"/>
      <c r="D157" s="628"/>
      <c r="E157" s="630"/>
      <c r="F157" s="630"/>
      <c r="G157" s="630"/>
      <c r="H157" s="628"/>
      <c r="I157" s="630"/>
      <c r="J157" s="630"/>
      <c r="K157" s="630"/>
      <c r="L157" s="630"/>
      <c r="M157" s="630"/>
      <c r="N157" s="631"/>
      <c r="O157" s="632"/>
      <c r="P157" s="632"/>
      <c r="Q157" s="630"/>
      <c r="R157" s="633"/>
      <c r="S157" s="633"/>
      <c r="T157" s="630"/>
      <c r="U157" s="630"/>
      <c r="V157" s="630"/>
      <c r="W157" s="630"/>
      <c r="X157" s="630"/>
      <c r="Y157" s="634"/>
      <c r="Z157" s="630"/>
      <c r="AA157" s="630"/>
      <c r="AB157" s="630"/>
      <c r="AC157" s="630"/>
      <c r="AD157" s="630"/>
      <c r="AE157" s="630"/>
      <c r="AF157" s="630"/>
      <c r="AG157" s="630"/>
      <c r="AH157" s="630"/>
      <c r="AI157" s="630"/>
      <c r="AJ157" s="630"/>
    </row>
    <row r="158">
      <c r="A158" s="630"/>
      <c r="B158" s="628"/>
      <c r="C158" s="630"/>
      <c r="D158" s="628"/>
      <c r="E158" s="630"/>
      <c r="F158" s="630"/>
      <c r="G158" s="630"/>
      <c r="H158" s="628"/>
      <c r="I158" s="630"/>
      <c r="J158" s="630"/>
      <c r="K158" s="630"/>
      <c r="L158" s="630"/>
      <c r="M158" s="630"/>
      <c r="N158" s="631"/>
      <c r="O158" s="632"/>
      <c r="P158" s="632"/>
      <c r="Q158" s="630"/>
      <c r="R158" s="633"/>
      <c r="S158" s="633"/>
      <c r="T158" s="630"/>
      <c r="U158" s="630"/>
      <c r="V158" s="630"/>
      <c r="W158" s="630"/>
      <c r="X158" s="630"/>
      <c r="Y158" s="634"/>
      <c r="Z158" s="630"/>
      <c r="AA158" s="630"/>
      <c r="AB158" s="630"/>
      <c r="AC158" s="630"/>
      <c r="AD158" s="630"/>
      <c r="AE158" s="630"/>
      <c r="AF158" s="630"/>
      <c r="AG158" s="630"/>
      <c r="AH158" s="630"/>
      <c r="AI158" s="630"/>
      <c r="AJ158" s="630"/>
    </row>
    <row r="159">
      <c r="A159" s="630"/>
      <c r="B159" s="628"/>
      <c r="C159" s="630"/>
      <c r="D159" s="628"/>
      <c r="E159" s="630"/>
      <c r="F159" s="630"/>
      <c r="G159" s="630"/>
      <c r="H159" s="628"/>
      <c r="I159" s="630"/>
      <c r="J159" s="630"/>
      <c r="K159" s="630"/>
      <c r="L159" s="630"/>
      <c r="M159" s="630"/>
      <c r="N159" s="631"/>
      <c r="O159" s="632"/>
      <c r="P159" s="632"/>
      <c r="Q159" s="630"/>
      <c r="R159" s="633"/>
      <c r="S159" s="633"/>
      <c r="T159" s="630"/>
      <c r="U159" s="630"/>
      <c r="V159" s="630"/>
      <c r="W159" s="630"/>
      <c r="X159" s="630"/>
      <c r="Y159" s="634"/>
      <c r="Z159" s="630"/>
      <c r="AA159" s="630"/>
      <c r="AB159" s="630"/>
      <c r="AC159" s="630"/>
      <c r="AD159" s="630"/>
      <c r="AE159" s="630"/>
      <c r="AF159" s="630"/>
      <c r="AG159" s="630"/>
      <c r="AH159" s="630"/>
      <c r="AI159" s="630"/>
      <c r="AJ159" s="630"/>
    </row>
  </sheetData>
  <hyperlinks>
    <hyperlink r:id="rId1" ref="O4"/>
    <hyperlink r:id="rId2" ref="P4"/>
    <hyperlink r:id="rId3" ref="O5"/>
    <hyperlink r:id="rId4" ref="P5"/>
    <hyperlink r:id="rId5" ref="O6"/>
    <hyperlink r:id="rId6" ref="P6"/>
    <hyperlink r:id="rId7" ref="O7"/>
    <hyperlink r:id="rId8" ref="P7"/>
    <hyperlink r:id="rId9" ref="O8"/>
    <hyperlink r:id="rId10" ref="O9"/>
    <hyperlink r:id="rId11" ref="O10"/>
    <hyperlink r:id="rId12" ref="P10"/>
    <hyperlink r:id="rId13" ref="O11"/>
    <hyperlink r:id="rId14" ref="P11"/>
    <hyperlink r:id="rId15" ref="O12"/>
    <hyperlink r:id="rId16" ref="O13"/>
    <hyperlink r:id="rId17" ref="P13"/>
    <hyperlink r:id="rId18" ref="O14"/>
    <hyperlink r:id="rId19" ref="P14"/>
    <hyperlink r:id="rId20" ref="O15"/>
    <hyperlink r:id="rId21" ref="P15"/>
    <hyperlink r:id="rId22" ref="O16"/>
    <hyperlink r:id="rId23" ref="O17"/>
    <hyperlink r:id="rId24" ref="O18"/>
    <hyperlink r:id="rId25" ref="O19"/>
    <hyperlink r:id="rId26" ref="O20"/>
    <hyperlink r:id="rId27" ref="O21"/>
    <hyperlink r:id="rId28" ref="O22"/>
    <hyperlink r:id="rId29" ref="O23"/>
    <hyperlink r:id="rId30" ref="P23"/>
    <hyperlink r:id="rId31" ref="S23"/>
    <hyperlink r:id="rId32" ref="O24"/>
    <hyperlink r:id="rId33" ref="O25"/>
    <hyperlink r:id="rId34" location="5" ref="P25"/>
    <hyperlink r:id="rId35" ref="S25"/>
    <hyperlink r:id="rId36" ref="O26"/>
    <hyperlink r:id="rId37" ref="P26"/>
    <hyperlink r:id="rId38" ref="O27"/>
    <hyperlink r:id="rId39" ref="P27"/>
    <hyperlink r:id="rId40" location=".UFpUVqRYtmg" ref="O28"/>
    <hyperlink r:id="rId41" ref="P28"/>
    <hyperlink r:id="rId42" ref="O29"/>
    <hyperlink r:id="rId43" ref="O30"/>
    <hyperlink r:id="rId44" ref="P30"/>
    <hyperlink r:id="rId45" ref="O31"/>
    <hyperlink r:id="rId46" ref="P31"/>
    <hyperlink r:id="rId47" ref="O32"/>
    <hyperlink r:id="rId48" ref="P32"/>
    <hyperlink r:id="rId49" ref="O33"/>
    <hyperlink r:id="rId50" ref="O34"/>
    <hyperlink r:id="rId51" ref="P34"/>
    <hyperlink r:id="rId52" ref="A35"/>
    <hyperlink r:id="rId53" ref="O35"/>
    <hyperlink r:id="rId54" ref="O36"/>
    <hyperlink r:id="rId55" ref="O37"/>
    <hyperlink r:id="rId56" ref="O38"/>
    <hyperlink r:id="rId57" ref="P38"/>
    <hyperlink r:id="rId58" ref="O39"/>
    <hyperlink r:id="rId59" ref="O40"/>
    <hyperlink r:id="rId60" ref="O41"/>
    <hyperlink r:id="rId61" ref="O42"/>
    <hyperlink r:id="rId62" ref="O43"/>
    <hyperlink r:id="rId63" ref="O44"/>
    <hyperlink r:id="rId64" ref="O45"/>
    <hyperlink r:id="rId65" ref="O46"/>
    <hyperlink r:id="rId66" ref="O47"/>
    <hyperlink r:id="rId67" ref="O48"/>
    <hyperlink r:id="rId68" ref="O49"/>
    <hyperlink r:id="rId69" ref="O50"/>
    <hyperlink r:id="rId70" ref="P50"/>
    <hyperlink r:id="rId71" ref="O51"/>
    <hyperlink r:id="rId72" ref="P51"/>
    <hyperlink r:id="rId73" ref="O52"/>
    <hyperlink r:id="rId74" ref="O53"/>
    <hyperlink r:id="rId75" ref="P53"/>
    <hyperlink r:id="rId76" ref="O54"/>
    <hyperlink r:id="rId77" ref="P54"/>
    <hyperlink r:id="rId78" ref="O55"/>
    <hyperlink r:id="rId79" ref="P55"/>
    <hyperlink r:id="rId80" ref="O56"/>
    <hyperlink r:id="rId81" ref="P56"/>
    <hyperlink r:id="rId82" ref="O57"/>
    <hyperlink r:id="rId83" ref="P57"/>
    <hyperlink r:id="rId84" ref="O58"/>
    <hyperlink r:id="rId85" ref="O59"/>
    <hyperlink r:id="rId86" ref="O60"/>
    <hyperlink r:id="rId87" ref="O61"/>
    <hyperlink r:id="rId88" ref="O62"/>
    <hyperlink r:id="rId89" ref="O63"/>
    <hyperlink r:id="rId90" ref="A64"/>
    <hyperlink r:id="rId91" ref="O64"/>
    <hyperlink r:id="rId92" ref="O65"/>
    <hyperlink r:id="rId93" ref="O66"/>
    <hyperlink r:id="rId94" ref="O67"/>
    <hyperlink r:id="rId95" ref="O68"/>
    <hyperlink r:id="rId96" ref="P68"/>
    <hyperlink r:id="rId97" ref="O69"/>
    <hyperlink r:id="rId98" ref="P69"/>
    <hyperlink r:id="rId99" ref="O70"/>
    <hyperlink r:id="rId100" ref="P70"/>
    <hyperlink r:id="rId101" ref="O71"/>
    <hyperlink r:id="rId102" ref="O72"/>
    <hyperlink r:id="rId103" ref="P72"/>
    <hyperlink r:id="rId104" ref="O73"/>
    <hyperlink r:id="rId105" ref="P73"/>
    <hyperlink r:id="rId106" ref="O74"/>
    <hyperlink r:id="rId107" ref="O75"/>
    <hyperlink r:id="rId108" ref="O76"/>
    <hyperlink r:id="rId109" ref="P76"/>
    <hyperlink r:id="rId110" ref="O77"/>
    <hyperlink r:id="rId111" ref="P77"/>
    <hyperlink r:id="rId112" ref="O78"/>
    <hyperlink r:id="rId113" ref="O79"/>
    <hyperlink r:id="rId114" ref="O80"/>
    <hyperlink r:id="rId115" ref="O81"/>
    <hyperlink r:id="rId116" ref="A82"/>
    <hyperlink r:id="rId117" ref="O82"/>
    <hyperlink r:id="rId118" ref="P82"/>
    <hyperlink r:id="rId119" location=".UFjFaKRYtmg" ref="O83"/>
    <hyperlink r:id="rId120" ref="P83"/>
    <hyperlink r:id="rId121" ref="O84"/>
    <hyperlink r:id="rId122" ref="O85"/>
    <hyperlink r:id="rId123" ref="P85"/>
    <hyperlink r:id="rId124" ref="O86"/>
    <hyperlink r:id="rId125" ref="O87"/>
    <hyperlink r:id="rId126" ref="O88"/>
    <hyperlink r:id="rId127" ref="P88"/>
    <hyperlink r:id="rId128" ref="O89"/>
    <hyperlink r:id="rId129" ref="P89"/>
    <hyperlink r:id="rId130" ref="O90"/>
    <hyperlink r:id="rId131" ref="O91"/>
    <hyperlink r:id="rId132" ref="P91"/>
    <hyperlink r:id="rId133" ref="O92"/>
    <hyperlink r:id="rId134" ref="O93"/>
    <hyperlink r:id="rId135" ref="P93"/>
    <hyperlink r:id="rId136" ref="O94"/>
    <hyperlink r:id="rId137" ref="O95"/>
    <hyperlink r:id="rId138" ref="P95"/>
    <hyperlink r:id="rId139" ref="O96"/>
    <hyperlink r:id="rId140" ref="O97"/>
    <hyperlink r:id="rId141" ref="P97"/>
    <hyperlink r:id="rId142" ref="O98"/>
    <hyperlink r:id="rId143" ref="O99"/>
    <hyperlink r:id="rId144" ref="O100"/>
    <hyperlink r:id="rId145" ref="P100"/>
    <hyperlink r:id="rId146" ref="O101"/>
    <hyperlink r:id="rId147" ref="O102"/>
    <hyperlink r:id="rId148" ref="P102"/>
    <hyperlink r:id="rId149" ref="O103"/>
    <hyperlink r:id="rId150" ref="O104"/>
    <hyperlink r:id="rId151" ref="P104"/>
    <hyperlink r:id="rId152" ref="O105"/>
    <hyperlink r:id="rId153" ref="P105"/>
    <hyperlink r:id="rId154" ref="O106"/>
    <hyperlink r:id="rId155" ref="O107"/>
    <hyperlink r:id="rId156" ref="P107"/>
    <hyperlink r:id="rId157" ref="O108"/>
    <hyperlink r:id="rId158" ref="A109"/>
    <hyperlink r:id="rId159" ref="O109"/>
    <hyperlink r:id="rId160" ref="O110"/>
    <hyperlink r:id="rId161" ref="O111"/>
    <hyperlink r:id="rId162" ref="P111"/>
    <hyperlink r:id="rId163" ref="O112"/>
    <hyperlink r:id="rId164" ref="O113"/>
    <hyperlink r:id="rId165" ref="P113"/>
    <hyperlink r:id="rId166" ref="O114"/>
    <hyperlink r:id="rId167" ref="O115"/>
    <hyperlink r:id="rId168" location=".UFi-HaRYtmg" ref="P115"/>
    <hyperlink r:id="rId169" ref="O116"/>
    <hyperlink r:id="rId170" ref="O117"/>
    <hyperlink r:id="rId171" ref="A118"/>
    <hyperlink r:id="rId172" ref="O118"/>
    <hyperlink r:id="rId173" ref="O119"/>
    <hyperlink r:id="rId174" ref="O120"/>
    <hyperlink r:id="rId175" ref="P120"/>
    <hyperlink r:id="rId176" ref="O121"/>
    <hyperlink r:id="rId177" ref="O122"/>
    <hyperlink r:id="rId178" ref="P122"/>
    <hyperlink r:id="rId179" ref="O123"/>
    <hyperlink r:id="rId180" location=".UFiz7aRYtmg" ref="O124"/>
    <hyperlink r:id="rId181" ref="P124"/>
    <hyperlink r:id="rId182" ref="O125"/>
    <hyperlink r:id="rId183" ref="P125"/>
    <hyperlink r:id="rId184" location=".UFcROxgUwaA" ref="O126"/>
    <hyperlink r:id="rId185" ref="O127"/>
    <hyperlink r:id="rId186" location=".UFcN8RgUwaA" ref="P127"/>
    <hyperlink r:id="rId187" ref="O128"/>
    <hyperlink r:id="rId188" ref="O129"/>
    <hyperlink r:id="rId189" ref="O130"/>
    <hyperlink r:id="rId190" ref="O131"/>
    <hyperlink r:id="rId191" ref="O132"/>
    <hyperlink r:id="rId192" ref="O133"/>
    <hyperlink r:id="rId193" ref="O134"/>
    <hyperlink r:id="rId194" ref="O135"/>
    <hyperlink r:id="rId195" ref="O136"/>
    <hyperlink r:id="rId196" ref="O137"/>
    <hyperlink r:id="rId197" ref="O138"/>
    <hyperlink r:id="rId198" ref="O139"/>
    <hyperlink r:id="rId199" ref="O140"/>
    <hyperlink r:id="rId200" ref="O141"/>
    <hyperlink r:id="rId201" ref="O142"/>
    <hyperlink r:id="rId202" ref="O143"/>
    <hyperlink r:id="rId203" ref="O144"/>
    <hyperlink r:id="rId204" ref="O145"/>
    <hyperlink r:id="rId205" ref="O146"/>
    <hyperlink r:id="rId206" ref="O147"/>
    <hyperlink r:id="rId207" ref="P147"/>
    <hyperlink r:id="rId208" ref="O148"/>
    <hyperlink r:id="rId209" ref="O149"/>
    <hyperlink r:id="rId210" ref="O150"/>
    <hyperlink r:id="rId211" ref="O151"/>
    <hyperlink r:id="rId212" ref="P151"/>
    <hyperlink r:id="rId213" ref="O152"/>
    <hyperlink r:id="rId214" ref="O153"/>
    <hyperlink r:id="rId215" ref="P153"/>
    <hyperlink r:id="rId216" ref="O154"/>
    <hyperlink r:id="rId217" ref="P154"/>
  </hyperlinks>
  <drawing r:id="rId21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54.0"/>
    <col customWidth="1" min="2" max="2" width="15.13"/>
    <col customWidth="1" min="3" max="3" width="46.0"/>
    <col customWidth="1" min="4" max="4" width="45.13"/>
    <col customWidth="1" min="5" max="22" width="15.13"/>
  </cols>
  <sheetData>
    <row r="1">
      <c r="A1" s="669" t="s">
        <v>3044</v>
      </c>
      <c r="B1" s="557"/>
      <c r="C1" s="557"/>
      <c r="D1" s="557"/>
      <c r="E1" s="670"/>
      <c r="F1" s="670"/>
      <c r="G1" s="670"/>
      <c r="H1" s="557"/>
      <c r="I1" s="557"/>
      <c r="J1" s="557"/>
      <c r="K1" s="557"/>
      <c r="L1" s="557"/>
      <c r="M1" s="557"/>
      <c r="N1" s="557"/>
      <c r="O1" s="557"/>
      <c r="P1" s="557"/>
      <c r="Q1" s="557"/>
      <c r="R1" s="557"/>
      <c r="S1" s="557"/>
      <c r="T1" s="557"/>
      <c r="U1" s="557"/>
      <c r="V1" s="557"/>
    </row>
    <row r="2">
      <c r="A2" s="590" t="s">
        <v>3045</v>
      </c>
      <c r="B2" s="557"/>
      <c r="C2" s="557"/>
      <c r="D2" s="557"/>
      <c r="E2" s="670"/>
      <c r="F2" s="670"/>
      <c r="G2" s="670"/>
      <c r="H2" s="557"/>
      <c r="I2" s="557"/>
      <c r="J2" s="557"/>
      <c r="K2" s="557"/>
      <c r="L2" s="557"/>
      <c r="M2" s="557"/>
      <c r="N2" s="557"/>
      <c r="O2" s="557"/>
      <c r="P2" s="557"/>
      <c r="Q2" s="557"/>
      <c r="R2" s="557"/>
      <c r="S2" s="557"/>
      <c r="T2" s="557"/>
      <c r="U2" s="557"/>
      <c r="V2" s="557"/>
    </row>
    <row r="3">
      <c r="A3" s="557"/>
      <c r="B3" s="557"/>
      <c r="C3" s="557"/>
      <c r="D3" s="557"/>
      <c r="E3" s="670"/>
      <c r="F3" s="670"/>
      <c r="G3" s="670"/>
      <c r="H3" s="557"/>
      <c r="I3" s="557"/>
      <c r="J3" s="557"/>
      <c r="K3" s="557"/>
      <c r="L3" s="557"/>
      <c r="M3" s="557"/>
      <c r="N3" s="557"/>
      <c r="O3" s="557"/>
      <c r="P3" s="557"/>
      <c r="Q3" s="557"/>
      <c r="R3" s="557"/>
      <c r="S3" s="557"/>
      <c r="T3" s="557"/>
      <c r="U3" s="557"/>
      <c r="V3" s="557"/>
    </row>
    <row r="4">
      <c r="A4" s="669" t="s">
        <v>3046</v>
      </c>
      <c r="B4" s="671" t="s">
        <v>3047</v>
      </c>
      <c r="C4" s="669" t="s">
        <v>3048</v>
      </c>
      <c r="D4" s="672" t="s">
        <v>3049</v>
      </c>
      <c r="E4" s="672" t="s">
        <v>3050</v>
      </c>
      <c r="F4" s="673" t="s">
        <v>3051</v>
      </c>
      <c r="G4" s="674"/>
      <c r="H4" s="675"/>
      <c r="I4" s="675"/>
      <c r="J4" s="675"/>
      <c r="K4" s="675"/>
      <c r="L4" s="675"/>
      <c r="M4" s="675"/>
      <c r="N4" s="675"/>
      <c r="O4" s="675"/>
      <c r="P4" s="675"/>
      <c r="Q4" s="675"/>
      <c r="R4" s="675"/>
      <c r="S4" s="675"/>
      <c r="T4" s="675"/>
      <c r="U4" s="675"/>
      <c r="V4" s="675"/>
    </row>
    <row r="5">
      <c r="A5" s="590" t="s">
        <v>3052</v>
      </c>
      <c r="B5" s="676">
        <v>1.67</v>
      </c>
      <c r="C5" s="590" t="s">
        <v>3053</v>
      </c>
      <c r="D5" s="677" t="s">
        <v>3054</v>
      </c>
      <c r="E5" s="677" t="s">
        <v>3055</v>
      </c>
      <c r="F5" s="678" t="s">
        <v>3056</v>
      </c>
      <c r="G5" s="670"/>
      <c r="H5" s="557"/>
      <c r="I5" s="557"/>
      <c r="J5" s="557"/>
      <c r="K5" s="557"/>
      <c r="L5" s="557"/>
      <c r="M5" s="557"/>
      <c r="N5" s="557"/>
      <c r="O5" s="557"/>
      <c r="P5" s="557"/>
      <c r="Q5" s="557"/>
      <c r="R5" s="557"/>
      <c r="S5" s="557"/>
      <c r="T5" s="557"/>
      <c r="U5" s="557"/>
      <c r="V5" s="557"/>
    </row>
    <row r="6">
      <c r="A6" s="590" t="s">
        <v>3057</v>
      </c>
      <c r="B6" s="679" t="s">
        <v>3058</v>
      </c>
      <c r="C6" s="590" t="s">
        <v>3059</v>
      </c>
      <c r="D6" s="670"/>
      <c r="E6" s="677" t="s">
        <v>3060</v>
      </c>
      <c r="F6" s="680" t="s">
        <v>3061</v>
      </c>
      <c r="G6" s="681"/>
      <c r="H6" s="557"/>
      <c r="I6" s="557"/>
      <c r="J6" s="557"/>
      <c r="K6" s="557"/>
      <c r="L6" s="557"/>
      <c r="M6" s="557"/>
      <c r="N6" s="557"/>
      <c r="O6" s="557"/>
      <c r="P6" s="557"/>
      <c r="Q6" s="557"/>
      <c r="R6" s="557"/>
      <c r="S6" s="557"/>
      <c r="T6" s="557"/>
      <c r="U6" s="557"/>
      <c r="V6" s="557"/>
    </row>
    <row r="7">
      <c r="A7" s="590" t="s">
        <v>3062</v>
      </c>
      <c r="B7" s="676">
        <v>3.47</v>
      </c>
      <c r="C7" s="590" t="s">
        <v>3063</v>
      </c>
      <c r="D7" s="670"/>
      <c r="E7" s="677" t="s">
        <v>3064</v>
      </c>
      <c r="F7" s="680" t="s">
        <v>3065</v>
      </c>
      <c r="G7" s="680" t="s">
        <v>3056</v>
      </c>
      <c r="H7" s="557"/>
      <c r="I7" s="557"/>
      <c r="J7" s="557"/>
      <c r="K7" s="557"/>
      <c r="L7" s="557"/>
      <c r="M7" s="557"/>
      <c r="N7" s="557"/>
      <c r="O7" s="557"/>
      <c r="P7" s="557"/>
      <c r="Q7" s="557"/>
      <c r="R7" s="557"/>
      <c r="S7" s="557"/>
      <c r="T7" s="557"/>
      <c r="U7" s="557"/>
      <c r="V7" s="557"/>
    </row>
    <row r="8">
      <c r="A8" s="590" t="s">
        <v>3066</v>
      </c>
      <c r="B8" s="676">
        <v>5.33</v>
      </c>
      <c r="D8" s="677" t="s">
        <v>3054</v>
      </c>
      <c r="E8" s="677" t="s">
        <v>3055</v>
      </c>
      <c r="F8" s="678" t="s">
        <v>3056</v>
      </c>
      <c r="G8" s="670"/>
      <c r="H8" s="557"/>
      <c r="I8" s="557"/>
      <c r="J8" s="557"/>
      <c r="K8" s="557"/>
      <c r="L8" s="557"/>
      <c r="M8" s="557"/>
      <c r="N8" s="557"/>
      <c r="O8" s="557"/>
      <c r="P8" s="557"/>
      <c r="Q8" s="557"/>
      <c r="R8" s="557"/>
      <c r="S8" s="557"/>
      <c r="T8" s="557"/>
      <c r="U8" s="557"/>
      <c r="V8" s="557"/>
    </row>
    <row r="9">
      <c r="A9" s="590" t="s">
        <v>3067</v>
      </c>
      <c r="B9" s="682">
        <v>10.0</v>
      </c>
      <c r="C9" s="590" t="s">
        <v>3068</v>
      </c>
      <c r="D9" s="670"/>
      <c r="E9" s="677" t="s">
        <v>286</v>
      </c>
      <c r="F9" s="680" t="s">
        <v>3069</v>
      </c>
      <c r="G9" s="681"/>
      <c r="H9" s="557"/>
      <c r="I9" s="557"/>
      <c r="J9" s="557"/>
      <c r="K9" s="557"/>
      <c r="L9" s="557"/>
      <c r="M9" s="557"/>
      <c r="N9" s="557"/>
      <c r="O9" s="557"/>
      <c r="P9" s="557"/>
      <c r="Q9" s="557"/>
      <c r="R9" s="557"/>
      <c r="S9" s="557"/>
      <c r="T9" s="557"/>
      <c r="U9" s="557"/>
      <c r="V9" s="557"/>
    </row>
    <row r="10">
      <c r="A10" s="590" t="s">
        <v>3070</v>
      </c>
      <c r="B10" s="679" t="s">
        <v>3071</v>
      </c>
      <c r="C10" s="590" t="s">
        <v>3072</v>
      </c>
      <c r="D10" s="670"/>
      <c r="E10" s="677" t="s">
        <v>3060</v>
      </c>
      <c r="F10" s="680" t="s">
        <v>3061</v>
      </c>
      <c r="G10" s="681"/>
      <c r="H10" s="557"/>
      <c r="I10" s="557"/>
      <c r="J10" s="557"/>
      <c r="K10" s="557"/>
      <c r="L10" s="557"/>
      <c r="M10" s="557"/>
      <c r="N10" s="557"/>
      <c r="O10" s="557"/>
      <c r="P10" s="557"/>
      <c r="Q10" s="557"/>
      <c r="R10" s="557"/>
      <c r="S10" s="557"/>
      <c r="T10" s="557"/>
      <c r="U10" s="557"/>
      <c r="V10" s="557"/>
    </row>
    <row r="11">
      <c r="A11" s="590" t="s">
        <v>3073</v>
      </c>
      <c r="B11" s="682">
        <v>27.0</v>
      </c>
      <c r="C11" s="557"/>
      <c r="D11" s="670"/>
      <c r="E11" s="677" t="s">
        <v>3074</v>
      </c>
      <c r="F11" s="680" t="s">
        <v>3075</v>
      </c>
      <c r="G11" s="681"/>
      <c r="H11" s="557"/>
      <c r="I11" s="557"/>
      <c r="J11" s="557"/>
      <c r="K11" s="557"/>
      <c r="L11" s="557"/>
      <c r="M11" s="557"/>
      <c r="N11" s="557"/>
      <c r="O11" s="557"/>
      <c r="P11" s="557"/>
      <c r="Q11" s="557"/>
      <c r="R11" s="557"/>
      <c r="S11" s="557"/>
      <c r="T11" s="557"/>
      <c r="U11" s="557"/>
      <c r="V11" s="557"/>
    </row>
    <row r="12">
      <c r="A12" s="590" t="s">
        <v>3076</v>
      </c>
      <c r="B12" s="682" t="s">
        <v>3077</v>
      </c>
      <c r="C12" s="590" t="s">
        <v>3078</v>
      </c>
      <c r="D12" s="677" t="s">
        <v>3079</v>
      </c>
      <c r="E12" s="677" t="s">
        <v>3080</v>
      </c>
      <c r="F12" s="680" t="s">
        <v>3061</v>
      </c>
      <c r="G12" s="680" t="s">
        <v>3069</v>
      </c>
      <c r="H12" s="683" t="s">
        <v>3081</v>
      </c>
      <c r="I12" s="557"/>
      <c r="J12" s="557"/>
      <c r="K12" s="557"/>
      <c r="L12" s="557"/>
      <c r="M12" s="557"/>
      <c r="N12" s="557"/>
      <c r="O12" s="557"/>
      <c r="P12" s="557"/>
      <c r="Q12" s="557"/>
      <c r="R12" s="557"/>
      <c r="S12" s="557"/>
      <c r="T12" s="557"/>
      <c r="U12" s="557"/>
      <c r="V12" s="557"/>
    </row>
    <row r="13">
      <c r="A13" s="590" t="s">
        <v>3082</v>
      </c>
      <c r="B13" s="682">
        <v>100.0</v>
      </c>
      <c r="C13" s="590" t="s">
        <v>3083</v>
      </c>
      <c r="D13" s="677" t="s">
        <v>3084</v>
      </c>
      <c r="E13" s="677" t="s">
        <v>3074</v>
      </c>
      <c r="F13" s="680" t="s">
        <v>3075</v>
      </c>
      <c r="G13" s="681"/>
      <c r="H13" s="557"/>
      <c r="I13" s="557"/>
      <c r="J13" s="557"/>
      <c r="K13" s="557"/>
      <c r="L13" s="557"/>
      <c r="M13" s="557"/>
      <c r="N13" s="557"/>
      <c r="O13" s="557"/>
      <c r="P13" s="557"/>
      <c r="Q13" s="557"/>
      <c r="R13" s="557"/>
      <c r="S13" s="557"/>
      <c r="T13" s="557"/>
      <c r="U13" s="557"/>
      <c r="V13" s="557"/>
    </row>
    <row r="14">
      <c r="A14" s="684" t="s">
        <v>3085</v>
      </c>
      <c r="B14" s="682">
        <v>8000.0</v>
      </c>
      <c r="C14" s="590" t="s">
        <v>3086</v>
      </c>
      <c r="D14" s="670"/>
      <c r="E14" s="677" t="s">
        <v>3074</v>
      </c>
      <c r="F14" s="680" t="s">
        <v>3075</v>
      </c>
      <c r="G14" s="681"/>
      <c r="H14" s="557"/>
      <c r="I14" s="557"/>
      <c r="J14" s="557"/>
      <c r="K14" s="557"/>
      <c r="L14" s="557"/>
      <c r="M14" s="557"/>
      <c r="N14" s="557"/>
      <c r="O14" s="557"/>
      <c r="P14" s="557"/>
      <c r="Q14" s="557"/>
      <c r="R14" s="557"/>
      <c r="S14" s="557"/>
      <c r="T14" s="557"/>
      <c r="U14" s="557"/>
      <c r="V14" s="557"/>
    </row>
    <row r="15">
      <c r="A15" s="590" t="s">
        <v>3087</v>
      </c>
      <c r="B15" s="682" t="s">
        <v>3088</v>
      </c>
      <c r="C15" s="590" t="s">
        <v>3089</v>
      </c>
      <c r="D15" s="677" t="s">
        <v>3090</v>
      </c>
      <c r="E15" s="677" t="s">
        <v>3060</v>
      </c>
      <c r="F15" s="680" t="s">
        <v>3061</v>
      </c>
      <c r="G15" s="681"/>
      <c r="H15" s="557"/>
      <c r="I15" s="557"/>
      <c r="J15" s="557"/>
      <c r="K15" s="557"/>
      <c r="L15" s="557"/>
      <c r="M15" s="557"/>
      <c r="N15" s="557"/>
      <c r="O15" s="557"/>
      <c r="P15" s="557"/>
      <c r="Q15" s="557"/>
      <c r="R15" s="557"/>
      <c r="S15" s="557"/>
      <c r="T15" s="557"/>
      <c r="U15" s="557"/>
      <c r="V15" s="557"/>
    </row>
    <row r="17">
      <c r="A17" s="557"/>
      <c r="B17" s="557"/>
      <c r="C17" s="557"/>
      <c r="D17" s="670"/>
      <c r="E17" s="670"/>
      <c r="F17" s="681"/>
      <c r="G17" s="681"/>
      <c r="H17" s="557"/>
      <c r="I17" s="557"/>
      <c r="J17" s="557"/>
      <c r="K17" s="557"/>
      <c r="L17" s="557"/>
      <c r="M17" s="557"/>
      <c r="N17" s="557"/>
      <c r="O17" s="557"/>
      <c r="P17" s="557"/>
      <c r="Q17" s="557"/>
      <c r="R17" s="557"/>
      <c r="S17" s="557"/>
      <c r="T17" s="557"/>
      <c r="U17" s="557"/>
      <c r="V17" s="557"/>
    </row>
    <row r="18">
      <c r="A18" s="684" t="s">
        <v>3091</v>
      </c>
      <c r="B18" s="557"/>
      <c r="C18" s="557"/>
      <c r="D18" s="670"/>
      <c r="E18" s="670"/>
      <c r="F18" s="681"/>
      <c r="G18" s="681"/>
      <c r="H18" s="557"/>
      <c r="I18" s="557"/>
      <c r="J18" s="557"/>
      <c r="K18" s="557"/>
      <c r="L18" s="557"/>
      <c r="M18" s="557"/>
      <c r="N18" s="557"/>
      <c r="O18" s="557"/>
      <c r="P18" s="557"/>
      <c r="Q18" s="557"/>
      <c r="R18" s="557"/>
      <c r="S18" s="557"/>
      <c r="T18" s="557"/>
      <c r="U18" s="557"/>
      <c r="V18" s="557"/>
    </row>
    <row r="19">
      <c r="A19" s="590" t="s">
        <v>3092</v>
      </c>
      <c r="B19" s="682" t="s">
        <v>3093</v>
      </c>
      <c r="C19" s="590" t="s">
        <v>3094</v>
      </c>
      <c r="D19" s="685">
        <f>SUM(16+325)/2</f>
        <v>170.5</v>
      </c>
      <c r="E19" s="677" t="s">
        <v>3060</v>
      </c>
      <c r="F19" s="680" t="s">
        <v>3061</v>
      </c>
      <c r="G19" s="681"/>
      <c r="H19" s="557"/>
      <c r="I19" s="557"/>
      <c r="J19" s="557"/>
      <c r="K19" s="557"/>
      <c r="L19" s="557"/>
      <c r="M19" s="557"/>
      <c r="N19" s="557"/>
      <c r="O19" s="557"/>
      <c r="P19" s="557"/>
      <c r="Q19" s="557"/>
      <c r="R19" s="557"/>
      <c r="S19" s="557"/>
      <c r="T19" s="557"/>
      <c r="U19" s="557"/>
      <c r="V19" s="557"/>
    </row>
    <row r="20">
      <c r="A20" s="590" t="s">
        <v>3095</v>
      </c>
      <c r="B20" s="590">
        <v>194.0</v>
      </c>
      <c r="C20" s="686" t="s">
        <v>3096</v>
      </c>
      <c r="D20" s="677" t="s">
        <v>3097</v>
      </c>
      <c r="E20" s="677" t="s">
        <v>3098</v>
      </c>
      <c r="F20" s="680" t="s">
        <v>3099</v>
      </c>
      <c r="G20" s="681"/>
      <c r="H20" s="557"/>
      <c r="I20" s="557"/>
      <c r="J20" s="557"/>
      <c r="K20" s="557"/>
      <c r="L20" s="557"/>
      <c r="M20" s="557"/>
      <c r="N20" s="557"/>
      <c r="O20" s="557"/>
      <c r="P20" s="557"/>
      <c r="Q20" s="557"/>
      <c r="R20" s="557"/>
      <c r="S20" s="557"/>
      <c r="T20" s="557"/>
      <c r="U20" s="557"/>
      <c r="V20" s="557"/>
    </row>
    <row r="21">
      <c r="A21" s="557"/>
      <c r="B21" s="687"/>
      <c r="C21" s="557"/>
      <c r="D21" s="670"/>
      <c r="E21" s="670"/>
      <c r="F21" s="681"/>
      <c r="G21" s="681"/>
      <c r="H21" s="557"/>
      <c r="I21" s="557"/>
      <c r="J21" s="557"/>
      <c r="K21" s="557"/>
      <c r="L21" s="557"/>
      <c r="M21" s="557"/>
      <c r="N21" s="557"/>
      <c r="O21" s="557"/>
      <c r="P21" s="557"/>
      <c r="Q21" s="557"/>
      <c r="R21" s="557"/>
      <c r="S21" s="557"/>
      <c r="T21" s="557"/>
      <c r="U21" s="557"/>
      <c r="V21" s="557"/>
    </row>
    <row r="22">
      <c r="A22" s="557"/>
      <c r="B22" s="687"/>
      <c r="C22" s="557"/>
      <c r="D22" s="670"/>
      <c r="E22" s="670"/>
      <c r="F22" s="681"/>
      <c r="G22" s="681"/>
      <c r="H22" s="557"/>
      <c r="I22" s="557"/>
      <c r="J22" s="557"/>
      <c r="K22" s="557"/>
      <c r="L22" s="557"/>
      <c r="M22" s="557"/>
      <c r="N22" s="557"/>
      <c r="O22" s="557"/>
      <c r="P22" s="557"/>
      <c r="Q22" s="557"/>
      <c r="R22" s="557"/>
      <c r="S22" s="557"/>
      <c r="T22" s="557"/>
      <c r="U22" s="557"/>
      <c r="V22" s="557"/>
    </row>
    <row r="23">
      <c r="A23" s="669" t="s">
        <v>3100</v>
      </c>
      <c r="B23" s="687"/>
      <c r="C23" s="557"/>
      <c r="D23" s="670"/>
      <c r="E23" s="670"/>
      <c r="F23" s="681"/>
      <c r="G23" s="681"/>
      <c r="H23" s="557"/>
      <c r="I23" s="557"/>
      <c r="J23" s="557"/>
      <c r="K23" s="557"/>
      <c r="L23" s="557"/>
      <c r="M23" s="557"/>
      <c r="N23" s="557"/>
      <c r="O23" s="557"/>
      <c r="P23" s="557"/>
      <c r="Q23" s="557"/>
      <c r="R23" s="557"/>
      <c r="S23" s="557"/>
      <c r="T23" s="557"/>
      <c r="U23" s="557"/>
      <c r="V23" s="557"/>
    </row>
    <row r="24">
      <c r="A24" s="590" t="s">
        <v>3101</v>
      </c>
      <c r="B24" s="687"/>
      <c r="C24" s="590" t="s">
        <v>3102</v>
      </c>
      <c r="D24" s="677" t="s">
        <v>3103</v>
      </c>
      <c r="E24" s="677" t="s">
        <v>286</v>
      </c>
      <c r="F24" s="680" t="s">
        <v>3069</v>
      </c>
      <c r="G24" s="681"/>
      <c r="H24" s="557"/>
      <c r="I24" s="557"/>
      <c r="J24" s="557"/>
      <c r="K24" s="557"/>
      <c r="L24" s="557"/>
      <c r="M24" s="557"/>
      <c r="N24" s="557"/>
      <c r="O24" s="557"/>
      <c r="P24" s="557"/>
      <c r="Q24" s="557"/>
      <c r="R24" s="557"/>
      <c r="S24" s="557"/>
      <c r="T24" s="557"/>
      <c r="U24" s="557"/>
      <c r="V24" s="557"/>
    </row>
    <row r="25">
      <c r="A25" s="590" t="s">
        <v>3104</v>
      </c>
      <c r="B25" s="687"/>
      <c r="C25" s="590" t="s">
        <v>3105</v>
      </c>
      <c r="D25" s="670"/>
      <c r="E25" s="677" t="s">
        <v>278</v>
      </c>
      <c r="F25" s="680" t="s">
        <v>3081</v>
      </c>
      <c r="G25" s="681"/>
      <c r="H25" s="557"/>
      <c r="I25" s="557"/>
      <c r="J25" s="557"/>
      <c r="K25" s="557"/>
      <c r="L25" s="557"/>
      <c r="M25" s="557"/>
      <c r="N25" s="557"/>
      <c r="O25" s="557"/>
      <c r="P25" s="557"/>
      <c r="Q25" s="557"/>
      <c r="R25" s="557"/>
      <c r="S25" s="557"/>
      <c r="T25" s="557"/>
      <c r="U25" s="557"/>
      <c r="V25" s="557"/>
    </row>
    <row r="26">
      <c r="A26" s="590" t="s">
        <v>3106</v>
      </c>
      <c r="B26" s="687"/>
      <c r="C26" s="590" t="s">
        <v>3107</v>
      </c>
      <c r="D26" s="670"/>
      <c r="E26" s="677" t="s">
        <v>3108</v>
      </c>
      <c r="F26" s="680" t="s">
        <v>3109</v>
      </c>
      <c r="G26" s="680" t="s">
        <v>3075</v>
      </c>
      <c r="H26" s="683" t="s">
        <v>3110</v>
      </c>
      <c r="I26" s="557"/>
      <c r="J26" s="557"/>
      <c r="K26" s="557"/>
      <c r="L26" s="557"/>
      <c r="M26" s="557"/>
      <c r="N26" s="557"/>
      <c r="O26" s="557"/>
      <c r="P26" s="557"/>
      <c r="Q26" s="557"/>
      <c r="R26" s="557"/>
      <c r="S26" s="557"/>
      <c r="T26" s="557"/>
      <c r="U26" s="557"/>
      <c r="V26" s="557"/>
    </row>
    <row r="27">
      <c r="A27" s="590" t="s">
        <v>3111</v>
      </c>
      <c r="B27" s="687"/>
      <c r="C27" s="590" t="s">
        <v>3112</v>
      </c>
      <c r="D27" s="670"/>
      <c r="E27" s="677" t="s">
        <v>3060</v>
      </c>
      <c r="F27" s="680" t="s">
        <v>3061</v>
      </c>
      <c r="G27" s="681"/>
      <c r="H27" s="557"/>
      <c r="I27" s="557"/>
      <c r="J27" s="557"/>
      <c r="K27" s="557"/>
      <c r="L27" s="557"/>
      <c r="M27" s="557"/>
      <c r="N27" s="557"/>
      <c r="O27" s="557"/>
      <c r="P27" s="557"/>
      <c r="Q27" s="557"/>
      <c r="R27" s="557"/>
      <c r="S27" s="557"/>
      <c r="T27" s="557"/>
      <c r="U27" s="557"/>
      <c r="V27" s="557"/>
    </row>
    <row r="28">
      <c r="A28" s="557"/>
      <c r="B28" s="687"/>
      <c r="C28" s="557"/>
      <c r="D28" s="670"/>
      <c r="E28" s="670"/>
      <c r="F28" s="681"/>
      <c r="G28" s="681"/>
      <c r="H28" s="557"/>
      <c r="I28" s="557"/>
      <c r="J28" s="557"/>
      <c r="K28" s="557"/>
      <c r="L28" s="557"/>
      <c r="M28" s="557"/>
      <c r="N28" s="557"/>
      <c r="O28" s="557"/>
      <c r="P28" s="557"/>
      <c r="Q28" s="557"/>
      <c r="R28" s="557"/>
      <c r="S28" s="557"/>
      <c r="T28" s="557"/>
      <c r="U28" s="557"/>
      <c r="V28" s="557"/>
    </row>
    <row r="29">
      <c r="A29" s="669" t="s">
        <v>3113</v>
      </c>
      <c r="B29" s="687"/>
      <c r="C29" s="592" t="s">
        <v>3114</v>
      </c>
      <c r="D29" s="670"/>
      <c r="E29" s="670"/>
      <c r="F29" s="681"/>
      <c r="G29" s="681"/>
      <c r="H29" s="557"/>
      <c r="I29" s="557"/>
      <c r="J29" s="557"/>
      <c r="K29" s="557"/>
      <c r="L29" s="557"/>
      <c r="M29" s="557"/>
      <c r="N29" s="557"/>
      <c r="O29" s="557"/>
      <c r="P29" s="557"/>
      <c r="Q29" s="557"/>
      <c r="R29" s="557"/>
      <c r="S29" s="557"/>
      <c r="T29" s="557"/>
      <c r="U29" s="557"/>
      <c r="V29" s="557"/>
    </row>
    <row r="30">
      <c r="A30" s="557"/>
      <c r="B30" s="687"/>
      <c r="C30" s="557"/>
      <c r="D30" s="670"/>
      <c r="E30" s="670"/>
      <c r="F30" s="681"/>
      <c r="G30" s="681"/>
      <c r="H30" s="557"/>
      <c r="I30" s="557"/>
      <c r="J30" s="557"/>
      <c r="K30" s="557"/>
      <c r="L30" s="557"/>
      <c r="M30" s="557"/>
      <c r="N30" s="557"/>
      <c r="O30" s="557"/>
      <c r="P30" s="557"/>
      <c r="Q30" s="557"/>
      <c r="R30" s="557"/>
      <c r="S30" s="557"/>
      <c r="T30" s="557"/>
      <c r="U30" s="557"/>
      <c r="V30" s="557"/>
    </row>
    <row r="31">
      <c r="A31" s="557"/>
      <c r="B31" s="687"/>
      <c r="C31" s="557"/>
      <c r="D31" s="670"/>
      <c r="E31" s="670"/>
      <c r="F31" s="681"/>
      <c r="G31" s="681"/>
      <c r="H31" s="557"/>
      <c r="I31" s="557"/>
      <c r="J31" s="557"/>
      <c r="K31" s="557"/>
      <c r="L31" s="557"/>
      <c r="M31" s="557"/>
      <c r="N31" s="557"/>
      <c r="O31" s="557"/>
      <c r="P31" s="557"/>
      <c r="Q31" s="557"/>
      <c r="R31" s="557"/>
      <c r="S31" s="557"/>
      <c r="T31" s="557"/>
      <c r="U31" s="557"/>
      <c r="V31" s="557"/>
    </row>
    <row r="32">
      <c r="A32" s="557"/>
      <c r="B32" s="687"/>
      <c r="C32" s="557"/>
      <c r="D32" s="670"/>
      <c r="E32" s="670"/>
      <c r="F32" s="681"/>
      <c r="G32" s="681"/>
      <c r="H32" s="557"/>
      <c r="I32" s="557"/>
      <c r="J32" s="557"/>
      <c r="K32" s="557"/>
      <c r="L32" s="557"/>
      <c r="M32" s="557"/>
      <c r="N32" s="557"/>
      <c r="O32" s="557"/>
      <c r="P32" s="557"/>
      <c r="Q32" s="557"/>
      <c r="R32" s="557"/>
      <c r="S32" s="557"/>
      <c r="T32" s="557"/>
      <c r="U32" s="557"/>
      <c r="V32" s="557"/>
    </row>
    <row r="33">
      <c r="A33" s="688"/>
      <c r="B33" s="689"/>
      <c r="C33" s="688"/>
      <c r="D33" s="690"/>
      <c r="E33" s="690"/>
      <c r="F33" s="691"/>
      <c r="G33" s="691"/>
      <c r="H33" s="688"/>
      <c r="I33" s="688"/>
      <c r="J33" s="688"/>
      <c r="K33" s="688"/>
      <c r="L33" s="688"/>
      <c r="M33" s="688"/>
      <c r="N33" s="688"/>
      <c r="O33" s="688"/>
      <c r="P33" s="688"/>
      <c r="Q33" s="688"/>
      <c r="R33" s="688"/>
      <c r="S33" s="688"/>
      <c r="T33" s="688"/>
      <c r="U33" s="688"/>
      <c r="V33" s="688"/>
    </row>
    <row r="34">
      <c r="A34" s="669" t="s">
        <v>3115</v>
      </c>
      <c r="B34" s="687"/>
      <c r="C34" s="557"/>
      <c r="D34" s="670"/>
      <c r="E34" s="670"/>
      <c r="F34" s="681"/>
      <c r="G34" s="681"/>
      <c r="H34" s="557"/>
      <c r="I34" s="557"/>
      <c r="J34" s="557"/>
      <c r="K34" s="557"/>
      <c r="L34" s="557"/>
      <c r="M34" s="557"/>
      <c r="N34" s="557"/>
      <c r="O34" s="557"/>
      <c r="P34" s="557"/>
      <c r="Q34" s="557"/>
      <c r="R34" s="557"/>
      <c r="S34" s="557"/>
      <c r="T34" s="557"/>
      <c r="U34" s="557"/>
      <c r="V34" s="557"/>
    </row>
    <row r="35">
      <c r="A35" s="677" t="s">
        <v>3116</v>
      </c>
      <c r="B35" s="692"/>
      <c r="C35" s="670"/>
      <c r="D35" s="670"/>
      <c r="E35" s="670"/>
      <c r="F35" s="680" t="s">
        <v>3081</v>
      </c>
      <c r="G35" s="681"/>
      <c r="H35" s="670"/>
      <c r="I35" s="670"/>
      <c r="J35" s="670"/>
      <c r="K35" s="670"/>
      <c r="L35" s="670"/>
      <c r="M35" s="670"/>
      <c r="N35" s="670"/>
      <c r="O35" s="670"/>
      <c r="P35" s="670"/>
      <c r="Q35" s="670"/>
      <c r="R35" s="670"/>
      <c r="S35" s="670"/>
      <c r="T35" s="670"/>
      <c r="U35" s="670"/>
      <c r="V35" s="670"/>
    </row>
    <row r="36">
      <c r="A36" s="677" t="s">
        <v>3117</v>
      </c>
      <c r="B36" s="692"/>
      <c r="C36" s="670"/>
      <c r="D36" s="670"/>
      <c r="E36" s="670"/>
      <c r="F36" s="680" t="s">
        <v>3099</v>
      </c>
      <c r="G36" s="681"/>
      <c r="H36" s="670"/>
      <c r="I36" s="670"/>
      <c r="J36" s="670"/>
      <c r="K36" s="670"/>
      <c r="L36" s="670"/>
      <c r="M36" s="670"/>
      <c r="N36" s="670"/>
      <c r="O36" s="670"/>
      <c r="P36" s="670"/>
      <c r="Q36" s="670"/>
      <c r="R36" s="670"/>
      <c r="S36" s="670"/>
      <c r="T36" s="670"/>
      <c r="U36" s="670"/>
      <c r="V36" s="670"/>
    </row>
    <row r="37">
      <c r="A37" s="677" t="s">
        <v>3118</v>
      </c>
      <c r="B37" s="687"/>
      <c r="C37" s="557"/>
      <c r="D37" s="670"/>
      <c r="E37" s="670"/>
      <c r="F37" s="680" t="s">
        <v>3081</v>
      </c>
      <c r="G37" s="681"/>
      <c r="H37" s="557"/>
      <c r="I37" s="557"/>
      <c r="J37" s="557"/>
      <c r="K37" s="557"/>
      <c r="L37" s="557"/>
      <c r="M37" s="557"/>
      <c r="N37" s="557"/>
      <c r="O37" s="557"/>
      <c r="P37" s="557"/>
      <c r="Q37" s="557"/>
      <c r="R37" s="557"/>
      <c r="S37" s="557"/>
      <c r="T37" s="557"/>
      <c r="U37" s="557"/>
      <c r="V37" s="557"/>
    </row>
    <row r="38">
      <c r="A38" s="677" t="s">
        <v>3119</v>
      </c>
      <c r="B38" s="692"/>
      <c r="C38" s="670"/>
      <c r="D38" s="670"/>
      <c r="E38" s="670"/>
      <c r="F38" s="680" t="s">
        <v>3120</v>
      </c>
      <c r="G38" s="681"/>
      <c r="H38" s="670"/>
      <c r="I38" s="670"/>
      <c r="J38" s="670"/>
      <c r="K38" s="670"/>
      <c r="L38" s="670"/>
      <c r="M38" s="670"/>
      <c r="N38" s="670"/>
      <c r="O38" s="670"/>
      <c r="P38" s="670"/>
      <c r="Q38" s="670"/>
      <c r="R38" s="670"/>
      <c r="S38" s="670"/>
      <c r="T38" s="670"/>
      <c r="U38" s="670"/>
      <c r="V38" s="670"/>
    </row>
    <row r="39">
      <c r="A39" s="677" t="s">
        <v>3121</v>
      </c>
      <c r="B39" s="687"/>
      <c r="C39" s="557"/>
      <c r="D39" s="670"/>
      <c r="E39" s="670"/>
      <c r="F39" s="680" t="s">
        <v>3075</v>
      </c>
      <c r="G39" s="681"/>
      <c r="H39" s="557"/>
      <c r="I39" s="557"/>
      <c r="J39" s="557"/>
      <c r="K39" s="557"/>
      <c r="L39" s="557"/>
      <c r="M39" s="557"/>
      <c r="N39" s="557"/>
      <c r="O39" s="557"/>
      <c r="P39" s="557"/>
      <c r="Q39" s="557"/>
      <c r="R39" s="557"/>
      <c r="S39" s="557"/>
      <c r="T39" s="557"/>
      <c r="U39" s="557"/>
      <c r="V39" s="557"/>
    </row>
    <row r="40">
      <c r="A40" s="677" t="s">
        <v>3122</v>
      </c>
      <c r="B40" s="687"/>
      <c r="C40" s="557"/>
      <c r="D40" s="670"/>
      <c r="E40" s="670"/>
      <c r="F40" s="680" t="s">
        <v>3075</v>
      </c>
      <c r="G40" s="681"/>
      <c r="H40" s="557"/>
      <c r="I40" s="557"/>
      <c r="J40" s="557"/>
      <c r="K40" s="557"/>
      <c r="L40" s="557"/>
      <c r="M40" s="557"/>
      <c r="N40" s="557"/>
      <c r="O40" s="557"/>
      <c r="P40" s="557"/>
      <c r="Q40" s="557"/>
      <c r="R40" s="557"/>
      <c r="S40" s="557"/>
      <c r="T40" s="557"/>
      <c r="U40" s="557"/>
      <c r="V40" s="557"/>
    </row>
    <row r="41">
      <c r="A41" s="677" t="s">
        <v>3123</v>
      </c>
      <c r="B41" s="687"/>
      <c r="C41" s="557"/>
      <c r="D41" s="670"/>
      <c r="E41" s="670"/>
      <c r="F41" s="680" t="s">
        <v>3075</v>
      </c>
      <c r="G41" s="681"/>
      <c r="H41" s="557"/>
      <c r="I41" s="557"/>
      <c r="J41" s="557"/>
      <c r="K41" s="557"/>
      <c r="L41" s="557"/>
      <c r="M41" s="557"/>
      <c r="N41" s="557"/>
      <c r="O41" s="557"/>
      <c r="P41" s="557"/>
      <c r="Q41" s="557"/>
      <c r="R41" s="557"/>
      <c r="S41" s="557"/>
      <c r="T41" s="557"/>
      <c r="U41" s="557"/>
      <c r="V41" s="557"/>
    </row>
    <row r="42">
      <c r="A42" s="677" t="s">
        <v>3124</v>
      </c>
      <c r="B42" s="687"/>
      <c r="C42" s="557"/>
      <c r="D42" s="670"/>
      <c r="E42" s="670"/>
      <c r="F42" s="680" t="s">
        <v>3075</v>
      </c>
      <c r="G42" s="681"/>
      <c r="H42" s="557"/>
      <c r="I42" s="557"/>
      <c r="J42" s="557"/>
      <c r="K42" s="557"/>
      <c r="L42" s="557"/>
      <c r="M42" s="557"/>
      <c r="N42" s="557"/>
      <c r="O42" s="557"/>
      <c r="P42" s="557"/>
      <c r="Q42" s="557"/>
      <c r="R42" s="557"/>
      <c r="S42" s="557"/>
      <c r="T42" s="557"/>
      <c r="U42" s="557"/>
      <c r="V42" s="557"/>
    </row>
    <row r="43">
      <c r="A43" s="693" t="s">
        <v>3055</v>
      </c>
      <c r="B43" s="687"/>
      <c r="C43" s="557"/>
      <c r="D43" s="670"/>
      <c r="E43" s="670"/>
      <c r="F43" s="680" t="s">
        <v>3056</v>
      </c>
      <c r="G43" s="681"/>
      <c r="H43" s="557"/>
      <c r="I43" s="557"/>
      <c r="J43" s="557"/>
      <c r="K43" s="557"/>
      <c r="L43" s="557"/>
      <c r="M43" s="557"/>
      <c r="N43" s="557"/>
      <c r="O43" s="557"/>
      <c r="P43" s="557"/>
      <c r="Q43" s="557"/>
      <c r="R43" s="557"/>
      <c r="S43" s="557"/>
      <c r="T43" s="557"/>
      <c r="U43" s="557"/>
      <c r="V43" s="557"/>
    </row>
    <row r="44">
      <c r="A44" s="694" t="s">
        <v>3125</v>
      </c>
      <c r="B44" s="687"/>
      <c r="C44" s="557"/>
      <c r="D44" s="670"/>
      <c r="E44" s="670"/>
      <c r="F44" s="680" t="s">
        <v>3126</v>
      </c>
      <c r="G44" s="681"/>
      <c r="H44" s="557"/>
      <c r="I44" s="557"/>
      <c r="J44" s="557"/>
      <c r="K44" s="557"/>
      <c r="L44" s="557"/>
      <c r="M44" s="557"/>
      <c r="N44" s="557"/>
      <c r="O44" s="557"/>
      <c r="P44" s="557"/>
      <c r="Q44" s="557"/>
      <c r="R44" s="557"/>
      <c r="S44" s="557"/>
      <c r="T44" s="557"/>
      <c r="U44" s="557"/>
      <c r="V44" s="557"/>
    </row>
    <row r="45">
      <c r="A45" s="677" t="s">
        <v>3127</v>
      </c>
      <c r="B45" s="687"/>
      <c r="C45" s="557"/>
      <c r="D45" s="670"/>
      <c r="E45" s="670"/>
      <c r="F45" s="680" t="s">
        <v>3061</v>
      </c>
      <c r="G45" s="681"/>
      <c r="H45" s="557"/>
      <c r="I45" s="557"/>
      <c r="J45" s="557"/>
      <c r="K45" s="557"/>
      <c r="L45" s="557"/>
      <c r="M45" s="557"/>
      <c r="N45" s="557"/>
      <c r="O45" s="557"/>
      <c r="P45" s="557"/>
      <c r="Q45" s="557"/>
      <c r="R45" s="557"/>
      <c r="S45" s="557"/>
      <c r="T45" s="557"/>
      <c r="U45" s="557"/>
      <c r="V45" s="557"/>
    </row>
    <row r="46">
      <c r="A46" s="677" t="s">
        <v>3128</v>
      </c>
      <c r="B46" s="687"/>
      <c r="C46" s="557"/>
      <c r="D46" s="670"/>
      <c r="E46" s="670"/>
      <c r="F46" s="680" t="s">
        <v>3061</v>
      </c>
      <c r="G46" s="681"/>
      <c r="H46" s="557"/>
      <c r="I46" s="557"/>
      <c r="J46" s="557"/>
      <c r="K46" s="557"/>
      <c r="L46" s="557"/>
      <c r="M46" s="557"/>
      <c r="N46" s="557"/>
      <c r="O46" s="557"/>
      <c r="P46" s="557"/>
      <c r="Q46" s="557"/>
      <c r="R46" s="557"/>
      <c r="S46" s="557"/>
      <c r="T46" s="557"/>
      <c r="U46" s="557"/>
      <c r="V46" s="557"/>
    </row>
    <row r="47">
      <c r="A47" s="677" t="s">
        <v>3129</v>
      </c>
      <c r="B47" s="687"/>
      <c r="C47" s="557"/>
      <c r="D47" s="670"/>
      <c r="E47" s="670"/>
      <c r="F47" s="680" t="s">
        <v>3061</v>
      </c>
      <c r="G47" s="681"/>
      <c r="H47" s="557"/>
      <c r="I47" s="557"/>
      <c r="J47" s="557"/>
      <c r="K47" s="557"/>
      <c r="L47" s="557"/>
      <c r="M47" s="557"/>
      <c r="N47" s="557"/>
      <c r="O47" s="557"/>
      <c r="P47" s="557"/>
      <c r="Q47" s="557"/>
      <c r="R47" s="557"/>
      <c r="S47" s="557"/>
      <c r="T47" s="557"/>
      <c r="U47" s="557"/>
      <c r="V47" s="557"/>
    </row>
    <row r="48">
      <c r="A48" s="590" t="s">
        <v>3130</v>
      </c>
      <c r="B48" s="687"/>
      <c r="C48" s="557"/>
      <c r="D48" s="670"/>
      <c r="E48" s="670"/>
      <c r="F48" s="680" t="s">
        <v>3061</v>
      </c>
      <c r="G48" s="681"/>
      <c r="H48" s="557"/>
      <c r="I48" s="557"/>
      <c r="J48" s="557"/>
      <c r="K48" s="557"/>
      <c r="L48" s="557"/>
      <c r="M48" s="557"/>
      <c r="N48" s="557"/>
      <c r="O48" s="557"/>
      <c r="P48" s="557"/>
      <c r="Q48" s="557"/>
      <c r="R48" s="557"/>
      <c r="S48" s="557"/>
      <c r="T48" s="557"/>
      <c r="U48" s="557"/>
      <c r="V48" s="557"/>
    </row>
    <row r="49">
      <c r="A49" s="590" t="s">
        <v>3131</v>
      </c>
      <c r="B49" s="687"/>
      <c r="C49" s="557"/>
      <c r="D49" s="670"/>
      <c r="E49" s="670"/>
      <c r="F49" s="680" t="s">
        <v>3061</v>
      </c>
      <c r="G49" s="681"/>
      <c r="H49" s="557"/>
      <c r="I49" s="557"/>
      <c r="J49" s="557"/>
      <c r="K49" s="557"/>
      <c r="L49" s="557"/>
      <c r="M49" s="557"/>
      <c r="N49" s="557"/>
      <c r="O49" s="557"/>
      <c r="P49" s="557"/>
      <c r="Q49" s="557"/>
      <c r="R49" s="557"/>
      <c r="S49" s="557"/>
      <c r="T49" s="557"/>
      <c r="U49" s="557"/>
      <c r="V49" s="557"/>
    </row>
    <row r="50">
      <c r="A50" s="677" t="s">
        <v>3132</v>
      </c>
      <c r="B50" s="687"/>
      <c r="C50" s="557"/>
      <c r="D50" s="670"/>
      <c r="E50" s="670"/>
      <c r="F50" s="680" t="s">
        <v>3061</v>
      </c>
      <c r="G50" s="681"/>
      <c r="H50" s="557"/>
      <c r="I50" s="557"/>
      <c r="J50" s="557"/>
      <c r="K50" s="557"/>
      <c r="L50" s="557"/>
      <c r="M50" s="557"/>
      <c r="N50" s="557"/>
      <c r="O50" s="557"/>
      <c r="P50" s="557"/>
      <c r="Q50" s="557"/>
      <c r="R50" s="557"/>
      <c r="S50" s="557"/>
      <c r="T50" s="557"/>
      <c r="U50" s="557"/>
      <c r="V50" s="557"/>
    </row>
    <row r="51">
      <c r="A51" s="677" t="s">
        <v>3133</v>
      </c>
      <c r="B51" s="687"/>
      <c r="C51" s="557"/>
      <c r="D51" s="670"/>
      <c r="E51" s="670"/>
      <c r="F51" s="680" t="s">
        <v>3061</v>
      </c>
      <c r="G51" s="681"/>
      <c r="H51" s="557"/>
      <c r="I51" s="557"/>
      <c r="J51" s="557"/>
      <c r="K51" s="557"/>
      <c r="L51" s="557"/>
      <c r="M51" s="557"/>
      <c r="N51" s="557"/>
      <c r="O51" s="557"/>
      <c r="P51" s="557"/>
      <c r="Q51" s="557"/>
      <c r="R51" s="557"/>
      <c r="S51" s="557"/>
      <c r="T51" s="557"/>
      <c r="U51" s="557"/>
      <c r="V51" s="557"/>
    </row>
    <row r="52">
      <c r="A52" s="557"/>
      <c r="B52" s="687"/>
      <c r="C52" s="557"/>
      <c r="D52" s="670"/>
      <c r="E52" s="670"/>
      <c r="F52" s="680" t="s">
        <v>3061</v>
      </c>
      <c r="G52" s="681"/>
      <c r="H52" s="557"/>
      <c r="I52" s="557"/>
      <c r="J52" s="557"/>
      <c r="K52" s="557"/>
      <c r="L52" s="557"/>
      <c r="M52" s="557"/>
      <c r="N52" s="557"/>
      <c r="O52" s="557"/>
      <c r="P52" s="557"/>
      <c r="Q52" s="557"/>
      <c r="R52" s="557"/>
      <c r="S52" s="557"/>
      <c r="T52" s="557"/>
      <c r="U52" s="557"/>
      <c r="V52" s="557"/>
    </row>
    <row r="53">
      <c r="A53" s="672" t="s">
        <v>3134</v>
      </c>
      <c r="B53" s="687"/>
      <c r="C53" s="557"/>
      <c r="D53" s="670"/>
      <c r="E53" s="670"/>
      <c r="F53" s="680" t="s">
        <v>3061</v>
      </c>
      <c r="G53" s="681"/>
      <c r="H53" s="557"/>
      <c r="I53" s="557"/>
      <c r="J53" s="557"/>
      <c r="K53" s="557"/>
      <c r="L53" s="557"/>
      <c r="M53" s="557"/>
      <c r="N53" s="557"/>
      <c r="O53" s="557"/>
      <c r="P53" s="557"/>
      <c r="Q53" s="557"/>
      <c r="R53" s="557"/>
      <c r="S53" s="557"/>
      <c r="T53" s="557"/>
      <c r="U53" s="557"/>
      <c r="V53" s="557"/>
    </row>
    <row r="54">
      <c r="A54" s="677" t="s">
        <v>3135</v>
      </c>
      <c r="B54" s="687"/>
      <c r="C54" s="557"/>
      <c r="D54" s="670"/>
      <c r="E54" s="670"/>
      <c r="F54" s="680" t="s">
        <v>3061</v>
      </c>
      <c r="G54" s="681"/>
      <c r="H54" s="557"/>
      <c r="I54" s="557"/>
      <c r="J54" s="557"/>
      <c r="K54" s="557"/>
      <c r="L54" s="557"/>
      <c r="M54" s="557"/>
      <c r="N54" s="557"/>
      <c r="O54" s="557"/>
      <c r="P54" s="557"/>
      <c r="Q54" s="557"/>
      <c r="R54" s="557"/>
      <c r="S54" s="557"/>
      <c r="T54" s="557"/>
      <c r="U54" s="557"/>
      <c r="V54" s="557"/>
    </row>
    <row r="55">
      <c r="A55" s="677" t="s">
        <v>3136</v>
      </c>
      <c r="B55" s="687"/>
      <c r="C55" s="557"/>
      <c r="D55" s="670"/>
      <c r="E55" s="670"/>
      <c r="F55" s="680" t="s">
        <v>3061</v>
      </c>
      <c r="G55" s="681"/>
      <c r="H55" s="557"/>
      <c r="I55" s="557"/>
      <c r="J55" s="557"/>
      <c r="K55" s="557"/>
      <c r="L55" s="557"/>
      <c r="M55" s="557"/>
      <c r="N55" s="557"/>
      <c r="O55" s="557"/>
      <c r="P55" s="557"/>
      <c r="Q55" s="557"/>
      <c r="R55" s="557"/>
      <c r="S55" s="557"/>
      <c r="T55" s="557"/>
      <c r="U55" s="557"/>
      <c r="V55" s="557"/>
    </row>
    <row r="56">
      <c r="A56" s="677" t="s">
        <v>3137</v>
      </c>
      <c r="B56" s="687"/>
      <c r="C56" s="557"/>
      <c r="D56" s="670"/>
      <c r="E56" s="670"/>
      <c r="F56" s="680" t="s">
        <v>3061</v>
      </c>
      <c r="G56" s="681"/>
      <c r="H56" s="557"/>
      <c r="I56" s="557"/>
      <c r="J56" s="557"/>
      <c r="K56" s="557"/>
      <c r="L56" s="557"/>
      <c r="M56" s="557"/>
      <c r="N56" s="557"/>
      <c r="O56" s="557"/>
      <c r="P56" s="557"/>
      <c r="Q56" s="557"/>
      <c r="R56" s="557"/>
      <c r="S56" s="557"/>
      <c r="T56" s="557"/>
      <c r="U56" s="557"/>
      <c r="V56" s="557"/>
    </row>
    <row r="57">
      <c r="A57" s="677" t="s">
        <v>3138</v>
      </c>
      <c r="B57" s="687"/>
      <c r="C57" s="557"/>
      <c r="D57" s="670"/>
      <c r="E57" s="670"/>
      <c r="F57" s="680" t="s">
        <v>3061</v>
      </c>
      <c r="G57" s="681"/>
      <c r="H57" s="557"/>
      <c r="I57" s="557"/>
      <c r="J57" s="557"/>
      <c r="K57" s="557"/>
      <c r="L57" s="557"/>
      <c r="M57" s="557"/>
      <c r="N57" s="557"/>
      <c r="O57" s="557"/>
      <c r="P57" s="557"/>
      <c r="Q57" s="557"/>
      <c r="R57" s="557"/>
      <c r="S57" s="557"/>
      <c r="T57" s="557"/>
      <c r="U57" s="557"/>
      <c r="V57" s="557"/>
    </row>
    <row r="58">
      <c r="A58" s="677" t="s">
        <v>3139</v>
      </c>
      <c r="B58" s="687"/>
      <c r="C58" s="557"/>
      <c r="D58" s="670"/>
      <c r="E58" s="670"/>
      <c r="F58" s="680" t="s">
        <v>3061</v>
      </c>
      <c r="G58" s="681"/>
      <c r="H58" s="557"/>
      <c r="I58" s="557"/>
      <c r="J58" s="557"/>
      <c r="K58" s="557"/>
      <c r="L58" s="557"/>
      <c r="M58" s="557"/>
      <c r="N58" s="557"/>
      <c r="O58" s="557"/>
      <c r="P58" s="557"/>
      <c r="Q58" s="557"/>
      <c r="R58" s="557"/>
      <c r="S58" s="557"/>
      <c r="T58" s="557"/>
      <c r="U58" s="557"/>
      <c r="V58" s="557"/>
    </row>
    <row r="59">
      <c r="A59" s="677" t="s">
        <v>3140</v>
      </c>
      <c r="B59" s="687"/>
      <c r="C59" s="557"/>
      <c r="D59" s="670"/>
      <c r="E59" s="670"/>
      <c r="F59" s="680" t="s">
        <v>3061</v>
      </c>
      <c r="G59" s="681"/>
      <c r="H59" s="557"/>
      <c r="I59" s="557"/>
      <c r="J59" s="557"/>
      <c r="K59" s="557"/>
      <c r="L59" s="557"/>
      <c r="M59" s="557"/>
      <c r="N59" s="557"/>
      <c r="O59" s="557"/>
      <c r="P59" s="557"/>
      <c r="Q59" s="557"/>
      <c r="R59" s="557"/>
      <c r="S59" s="557"/>
      <c r="T59" s="557"/>
      <c r="U59" s="557"/>
      <c r="V59" s="557"/>
    </row>
    <row r="60">
      <c r="A60" s="677" t="s">
        <v>3141</v>
      </c>
      <c r="B60" s="687"/>
      <c r="C60" s="557"/>
      <c r="D60" s="670"/>
      <c r="E60" s="670"/>
      <c r="F60" s="680" t="s">
        <v>3061</v>
      </c>
      <c r="G60" s="681"/>
      <c r="H60" s="557"/>
      <c r="I60" s="557"/>
      <c r="J60" s="557"/>
      <c r="K60" s="557"/>
      <c r="L60" s="557"/>
      <c r="M60" s="557"/>
      <c r="N60" s="557"/>
      <c r="O60" s="557"/>
      <c r="P60" s="557"/>
      <c r="Q60" s="557"/>
      <c r="R60" s="557"/>
      <c r="S60" s="557"/>
      <c r="T60" s="557"/>
      <c r="U60" s="557"/>
      <c r="V60" s="557"/>
    </row>
    <row r="61">
      <c r="A61" s="677" t="s">
        <v>3142</v>
      </c>
      <c r="B61" s="687"/>
      <c r="C61" s="557"/>
      <c r="D61" s="670"/>
      <c r="E61" s="670"/>
      <c r="F61" s="680" t="s">
        <v>3061</v>
      </c>
      <c r="G61" s="681"/>
      <c r="H61" s="557"/>
      <c r="I61" s="557"/>
      <c r="J61" s="557"/>
      <c r="K61" s="557"/>
      <c r="L61" s="557"/>
      <c r="M61" s="557"/>
      <c r="N61" s="557"/>
      <c r="O61" s="557"/>
      <c r="P61" s="557"/>
      <c r="Q61" s="557"/>
      <c r="R61" s="557"/>
      <c r="S61" s="557"/>
      <c r="T61" s="557"/>
      <c r="U61" s="557"/>
      <c r="V61" s="557"/>
    </row>
    <row r="62">
      <c r="A62" s="677" t="s">
        <v>3143</v>
      </c>
      <c r="B62" s="687"/>
      <c r="C62" s="557"/>
      <c r="D62" s="670"/>
      <c r="E62" s="670"/>
      <c r="F62" s="680" t="s">
        <v>3061</v>
      </c>
      <c r="G62" s="681"/>
      <c r="H62" s="557"/>
      <c r="I62" s="557"/>
      <c r="J62" s="557"/>
      <c r="K62" s="557"/>
      <c r="L62" s="557"/>
      <c r="M62" s="557"/>
      <c r="N62" s="557"/>
      <c r="O62" s="557"/>
      <c r="P62" s="557"/>
      <c r="Q62" s="557"/>
      <c r="R62" s="557"/>
      <c r="S62" s="557"/>
      <c r="T62" s="557"/>
      <c r="U62" s="557"/>
      <c r="V62" s="557"/>
    </row>
    <row r="63">
      <c r="A63" s="677" t="s">
        <v>3144</v>
      </c>
      <c r="B63" s="687"/>
      <c r="C63" s="557"/>
      <c r="D63" s="670"/>
      <c r="E63" s="670"/>
      <c r="F63" s="680" t="s">
        <v>3061</v>
      </c>
      <c r="G63" s="681"/>
      <c r="H63" s="557"/>
      <c r="I63" s="557"/>
      <c r="J63" s="557"/>
      <c r="K63" s="557"/>
      <c r="L63" s="557"/>
      <c r="M63" s="557"/>
      <c r="N63" s="557"/>
      <c r="O63" s="557"/>
      <c r="P63" s="557"/>
      <c r="Q63" s="557"/>
      <c r="R63" s="557"/>
      <c r="S63" s="557"/>
      <c r="T63" s="557"/>
      <c r="U63" s="557"/>
      <c r="V63" s="557"/>
    </row>
    <row r="64">
      <c r="A64" s="557"/>
      <c r="B64" s="687"/>
      <c r="C64" s="557"/>
      <c r="D64" s="670"/>
      <c r="E64" s="670"/>
      <c r="F64" s="680" t="s">
        <v>3061</v>
      </c>
      <c r="G64" s="681"/>
      <c r="H64" s="557"/>
      <c r="I64" s="557"/>
      <c r="J64" s="557"/>
      <c r="K64" s="557"/>
      <c r="L64" s="557"/>
      <c r="M64" s="557"/>
      <c r="N64" s="557"/>
      <c r="O64" s="557"/>
      <c r="P64" s="557"/>
      <c r="Q64" s="557"/>
      <c r="R64" s="557"/>
      <c r="S64" s="557"/>
      <c r="T64" s="557"/>
      <c r="U64" s="557"/>
      <c r="V64" s="557"/>
    </row>
    <row r="65">
      <c r="A65" s="590" t="s">
        <v>3145</v>
      </c>
      <c r="B65" s="687"/>
      <c r="C65" s="557"/>
      <c r="D65" s="670"/>
      <c r="E65" s="670"/>
      <c r="F65" s="680" t="s">
        <v>3061</v>
      </c>
      <c r="G65" s="681"/>
      <c r="H65" s="557"/>
      <c r="I65" s="557"/>
      <c r="J65" s="557"/>
      <c r="K65" s="557"/>
      <c r="L65" s="557"/>
      <c r="M65" s="557"/>
      <c r="N65" s="557"/>
      <c r="O65" s="557"/>
      <c r="P65" s="557"/>
      <c r="Q65" s="557"/>
      <c r="R65" s="557"/>
      <c r="S65" s="557"/>
      <c r="T65" s="557"/>
      <c r="U65" s="557"/>
      <c r="V65" s="557"/>
    </row>
    <row r="66">
      <c r="A66" s="557"/>
      <c r="B66" s="687"/>
      <c r="C66" s="557"/>
      <c r="D66" s="670"/>
      <c r="E66" s="670"/>
      <c r="F66" s="680" t="s">
        <v>3061</v>
      </c>
      <c r="G66" s="681"/>
      <c r="H66" s="557"/>
      <c r="I66" s="557"/>
      <c r="J66" s="557"/>
      <c r="K66" s="557"/>
      <c r="L66" s="557"/>
      <c r="M66" s="557"/>
      <c r="N66" s="557"/>
      <c r="O66" s="557"/>
      <c r="P66" s="557"/>
      <c r="Q66" s="557"/>
      <c r="R66" s="557"/>
      <c r="S66" s="557"/>
      <c r="T66" s="557"/>
      <c r="U66" s="557"/>
      <c r="V66" s="557"/>
    </row>
    <row r="67">
      <c r="A67" s="590" t="s">
        <v>3146</v>
      </c>
      <c r="B67" s="687"/>
      <c r="C67" s="557"/>
      <c r="D67" s="670"/>
      <c r="E67" s="670"/>
      <c r="F67" s="680" t="s">
        <v>3061</v>
      </c>
      <c r="G67" s="681"/>
      <c r="H67" s="557"/>
      <c r="I67" s="557"/>
      <c r="J67" s="557"/>
      <c r="K67" s="557"/>
      <c r="L67" s="557"/>
      <c r="M67" s="557"/>
      <c r="N67" s="557"/>
      <c r="O67" s="557"/>
      <c r="P67" s="557"/>
      <c r="Q67" s="557"/>
      <c r="R67" s="557"/>
      <c r="S67" s="557"/>
      <c r="T67" s="557"/>
      <c r="U67" s="557"/>
      <c r="V67" s="557"/>
    </row>
    <row r="68">
      <c r="A68" s="557"/>
      <c r="B68" s="687"/>
      <c r="C68" s="557"/>
      <c r="D68" s="670"/>
      <c r="E68" s="670"/>
      <c r="F68" s="681"/>
      <c r="G68" s="681"/>
      <c r="H68" s="557"/>
      <c r="I68" s="557"/>
      <c r="J68" s="557"/>
      <c r="K68" s="557"/>
      <c r="L68" s="557"/>
      <c r="M68" s="557"/>
      <c r="N68" s="557"/>
      <c r="O68" s="557"/>
      <c r="P68" s="557"/>
      <c r="Q68" s="557"/>
      <c r="R68" s="557"/>
      <c r="S68" s="557"/>
      <c r="T68" s="557"/>
      <c r="U68" s="557"/>
      <c r="V68" s="557"/>
    </row>
    <row r="69">
      <c r="A69" s="557"/>
      <c r="B69" s="687"/>
      <c r="C69" s="557"/>
      <c r="D69" s="670"/>
      <c r="E69" s="670"/>
      <c r="F69" s="681"/>
      <c r="G69" s="681"/>
      <c r="H69" s="557"/>
      <c r="I69" s="557"/>
      <c r="J69" s="557"/>
      <c r="K69" s="557"/>
      <c r="L69" s="557"/>
      <c r="M69" s="557"/>
      <c r="N69" s="557"/>
      <c r="O69" s="557"/>
      <c r="P69" s="557"/>
      <c r="Q69" s="557"/>
      <c r="R69" s="557"/>
      <c r="S69" s="557"/>
      <c r="T69" s="557"/>
      <c r="U69" s="557"/>
      <c r="V69" s="557"/>
    </row>
    <row r="70">
      <c r="A70" s="557"/>
      <c r="B70" s="687"/>
      <c r="C70" s="557"/>
      <c r="D70" s="670"/>
      <c r="E70" s="670"/>
      <c r="F70" s="681"/>
      <c r="G70" s="681"/>
      <c r="H70" s="557"/>
      <c r="I70" s="557"/>
      <c r="J70" s="557"/>
      <c r="K70" s="557"/>
      <c r="L70" s="557"/>
      <c r="M70" s="557"/>
      <c r="N70" s="557"/>
      <c r="O70" s="557"/>
      <c r="P70" s="557"/>
      <c r="Q70" s="557"/>
      <c r="R70" s="557"/>
      <c r="S70" s="557"/>
      <c r="T70" s="557"/>
      <c r="U70" s="557"/>
      <c r="V70" s="557"/>
    </row>
    <row r="71">
      <c r="A71" s="557"/>
      <c r="B71" s="687"/>
      <c r="C71" s="557"/>
      <c r="D71" s="670"/>
      <c r="E71" s="670"/>
      <c r="F71" s="681"/>
      <c r="G71" s="681"/>
      <c r="H71" s="557"/>
      <c r="I71" s="557"/>
      <c r="J71" s="557"/>
      <c r="K71" s="557"/>
      <c r="L71" s="557"/>
      <c r="M71" s="557"/>
      <c r="N71" s="557"/>
      <c r="O71" s="557"/>
      <c r="P71" s="557"/>
      <c r="Q71" s="557"/>
      <c r="R71" s="557"/>
      <c r="S71" s="557"/>
      <c r="T71" s="557"/>
      <c r="U71" s="557"/>
      <c r="V71" s="557"/>
    </row>
    <row r="72">
      <c r="A72" s="557"/>
      <c r="B72" s="687"/>
      <c r="C72" s="557"/>
      <c r="D72" s="670"/>
      <c r="E72" s="670"/>
      <c r="F72" s="681"/>
      <c r="G72" s="681"/>
      <c r="H72" s="557"/>
      <c r="I72" s="557"/>
      <c r="J72" s="557"/>
      <c r="K72" s="557"/>
      <c r="L72" s="557"/>
      <c r="M72" s="557"/>
      <c r="N72" s="557"/>
      <c r="O72" s="557"/>
      <c r="P72" s="557"/>
      <c r="Q72" s="557"/>
      <c r="R72" s="557"/>
      <c r="S72" s="557"/>
      <c r="T72" s="557"/>
      <c r="U72" s="557"/>
      <c r="V72" s="557"/>
    </row>
    <row r="73">
      <c r="A73" s="557"/>
      <c r="B73" s="687"/>
      <c r="C73" s="557"/>
      <c r="D73" s="670"/>
      <c r="E73" s="670"/>
      <c r="F73" s="681"/>
      <c r="G73" s="681"/>
      <c r="H73" s="557"/>
      <c r="I73" s="557"/>
      <c r="J73" s="557"/>
      <c r="K73" s="557"/>
      <c r="L73" s="557"/>
      <c r="M73" s="557"/>
      <c r="N73" s="557"/>
      <c r="O73" s="557"/>
      <c r="P73" s="557"/>
      <c r="Q73" s="557"/>
      <c r="R73" s="557"/>
      <c r="S73" s="557"/>
      <c r="T73" s="557"/>
      <c r="U73" s="557"/>
      <c r="V73" s="557"/>
    </row>
    <row r="74">
      <c r="A74" s="557"/>
      <c r="B74" s="687"/>
      <c r="C74" s="557"/>
      <c r="D74" s="670"/>
      <c r="E74" s="670"/>
      <c r="F74" s="681"/>
      <c r="G74" s="681"/>
      <c r="H74" s="557"/>
      <c r="I74" s="557"/>
      <c r="J74" s="557"/>
      <c r="K74" s="557"/>
      <c r="L74" s="557"/>
      <c r="M74" s="557"/>
      <c r="N74" s="557"/>
      <c r="O74" s="557"/>
      <c r="P74" s="557"/>
      <c r="Q74" s="557"/>
      <c r="R74" s="557"/>
      <c r="S74" s="557"/>
      <c r="T74" s="557"/>
      <c r="U74" s="557"/>
      <c r="V74" s="557"/>
    </row>
    <row r="75">
      <c r="A75" s="557"/>
      <c r="B75" s="687"/>
      <c r="C75" s="557"/>
      <c r="D75" s="670"/>
      <c r="E75" s="670"/>
      <c r="F75" s="681"/>
      <c r="G75" s="681"/>
      <c r="H75" s="557"/>
      <c r="I75" s="557"/>
      <c r="J75" s="557"/>
      <c r="K75" s="557"/>
      <c r="L75" s="557"/>
      <c r="M75" s="557"/>
      <c r="N75" s="557"/>
      <c r="O75" s="557"/>
      <c r="P75" s="557"/>
      <c r="Q75" s="557"/>
      <c r="R75" s="557"/>
      <c r="S75" s="557"/>
      <c r="T75" s="557"/>
      <c r="U75" s="557"/>
      <c r="V75" s="557"/>
    </row>
    <row r="76">
      <c r="A76" s="557"/>
      <c r="B76" s="687"/>
      <c r="C76" s="557"/>
      <c r="D76" s="670"/>
      <c r="E76" s="670"/>
      <c r="F76" s="681"/>
      <c r="G76" s="681"/>
      <c r="H76" s="557"/>
      <c r="I76" s="557"/>
      <c r="J76" s="557"/>
      <c r="K76" s="557"/>
      <c r="L76" s="557"/>
      <c r="M76" s="557"/>
      <c r="N76" s="557"/>
      <c r="O76" s="557"/>
      <c r="P76" s="557"/>
      <c r="Q76" s="557"/>
      <c r="R76" s="557"/>
      <c r="S76" s="557"/>
      <c r="T76" s="557"/>
      <c r="U76" s="557"/>
      <c r="V76" s="557"/>
    </row>
    <row r="77">
      <c r="A77" s="557"/>
      <c r="B77" s="687"/>
      <c r="C77" s="557"/>
      <c r="D77" s="670"/>
      <c r="E77" s="670"/>
      <c r="F77" s="681"/>
      <c r="G77" s="681"/>
      <c r="H77" s="557"/>
      <c r="I77" s="557"/>
      <c r="J77" s="557"/>
      <c r="K77" s="557"/>
      <c r="L77" s="557"/>
      <c r="M77" s="557"/>
      <c r="N77" s="557"/>
      <c r="O77" s="557"/>
      <c r="P77" s="557"/>
      <c r="Q77" s="557"/>
      <c r="R77" s="557"/>
      <c r="S77" s="557"/>
      <c r="T77" s="557"/>
      <c r="U77" s="557"/>
      <c r="V77" s="557"/>
    </row>
    <row r="78">
      <c r="A78" s="557"/>
      <c r="B78" s="687"/>
      <c r="C78" s="557"/>
      <c r="D78" s="670"/>
      <c r="E78" s="670"/>
      <c r="F78" s="681"/>
      <c r="G78" s="681"/>
      <c r="H78" s="557"/>
      <c r="I78" s="557"/>
      <c r="J78" s="557"/>
      <c r="K78" s="557"/>
      <c r="L78" s="557"/>
      <c r="M78" s="557"/>
      <c r="N78" s="557"/>
      <c r="O78" s="557"/>
      <c r="P78" s="557"/>
      <c r="Q78" s="557"/>
      <c r="R78" s="557"/>
      <c r="S78" s="557"/>
      <c r="T78" s="557"/>
      <c r="U78" s="557"/>
      <c r="V78" s="557"/>
    </row>
    <row r="79">
      <c r="A79" s="557"/>
      <c r="B79" s="687"/>
      <c r="C79" s="557"/>
      <c r="D79" s="670"/>
      <c r="E79" s="670"/>
      <c r="F79" s="681"/>
      <c r="G79" s="681"/>
      <c r="H79" s="557"/>
      <c r="I79" s="557"/>
      <c r="J79" s="557"/>
      <c r="K79" s="557"/>
      <c r="L79" s="557"/>
      <c r="M79" s="557"/>
      <c r="N79" s="557"/>
      <c r="O79" s="557"/>
      <c r="P79" s="557"/>
      <c r="Q79" s="557"/>
      <c r="R79" s="557"/>
      <c r="S79" s="557"/>
      <c r="T79" s="557"/>
      <c r="U79" s="557"/>
      <c r="V79" s="557"/>
    </row>
    <row r="80">
      <c r="A80" s="557"/>
      <c r="B80" s="687"/>
      <c r="C80" s="557"/>
      <c r="D80" s="670"/>
      <c r="E80" s="670"/>
      <c r="F80" s="681"/>
      <c r="G80" s="681"/>
      <c r="H80" s="557"/>
      <c r="I80" s="557"/>
      <c r="J80" s="557"/>
      <c r="K80" s="557"/>
      <c r="L80" s="557"/>
      <c r="M80" s="557"/>
      <c r="N80" s="557"/>
      <c r="O80" s="557"/>
      <c r="P80" s="557"/>
      <c r="Q80" s="557"/>
      <c r="R80" s="557"/>
      <c r="S80" s="557"/>
      <c r="T80" s="557"/>
      <c r="U80" s="557"/>
      <c r="V80" s="557"/>
    </row>
    <row r="81">
      <c r="A81" s="557"/>
      <c r="B81" s="687"/>
      <c r="C81" s="557"/>
      <c r="D81" s="670"/>
      <c r="E81" s="670"/>
      <c r="F81" s="681"/>
      <c r="G81" s="681"/>
      <c r="H81" s="557"/>
      <c r="I81" s="557"/>
      <c r="J81" s="557"/>
      <c r="K81" s="557"/>
      <c r="L81" s="557"/>
      <c r="M81" s="557"/>
      <c r="N81" s="557"/>
      <c r="O81" s="557"/>
      <c r="P81" s="557"/>
      <c r="Q81" s="557"/>
      <c r="R81" s="557"/>
      <c r="S81" s="557"/>
      <c r="T81" s="557"/>
      <c r="U81" s="557"/>
      <c r="V81" s="557"/>
    </row>
    <row r="82">
      <c r="A82" s="557"/>
      <c r="B82" s="687"/>
      <c r="C82" s="557"/>
      <c r="D82" s="670"/>
      <c r="E82" s="670"/>
      <c r="F82" s="681"/>
      <c r="G82" s="681"/>
      <c r="H82" s="557"/>
      <c r="I82" s="557"/>
      <c r="J82" s="557"/>
      <c r="K82" s="557"/>
      <c r="L82" s="557"/>
      <c r="M82" s="557"/>
      <c r="N82" s="557"/>
      <c r="O82" s="557"/>
      <c r="P82" s="557"/>
      <c r="Q82" s="557"/>
      <c r="R82" s="557"/>
      <c r="S82" s="557"/>
      <c r="T82" s="557"/>
      <c r="U82" s="557"/>
      <c r="V82" s="557"/>
    </row>
    <row r="83">
      <c r="A83" s="557"/>
      <c r="B83" s="687"/>
      <c r="C83" s="557"/>
      <c r="D83" s="670"/>
      <c r="E83" s="670"/>
      <c r="F83" s="681"/>
      <c r="G83" s="681"/>
      <c r="H83" s="557"/>
      <c r="I83" s="557"/>
      <c r="J83" s="557"/>
      <c r="K83" s="557"/>
      <c r="L83" s="557"/>
      <c r="M83" s="557"/>
      <c r="N83" s="557"/>
      <c r="O83" s="557"/>
      <c r="P83" s="557"/>
      <c r="Q83" s="557"/>
      <c r="R83" s="557"/>
      <c r="S83" s="557"/>
      <c r="T83" s="557"/>
      <c r="U83" s="557"/>
      <c r="V83" s="557"/>
    </row>
    <row r="84">
      <c r="A84" s="557"/>
      <c r="B84" s="687"/>
      <c r="C84" s="557"/>
      <c r="D84" s="670"/>
      <c r="E84" s="670"/>
      <c r="F84" s="681"/>
      <c r="G84" s="681"/>
      <c r="H84" s="557"/>
      <c r="I84" s="557"/>
      <c r="J84" s="557"/>
      <c r="K84" s="557"/>
      <c r="L84" s="557"/>
      <c r="M84" s="557"/>
      <c r="N84" s="557"/>
      <c r="O84" s="557"/>
      <c r="P84" s="557"/>
      <c r="Q84" s="557"/>
      <c r="R84" s="557"/>
      <c r="S84" s="557"/>
      <c r="T84" s="557"/>
      <c r="U84" s="557"/>
      <c r="V84" s="557"/>
    </row>
    <row r="85">
      <c r="A85" s="557"/>
      <c r="B85" s="687"/>
      <c r="C85" s="557"/>
      <c r="D85" s="670"/>
      <c r="E85" s="670"/>
      <c r="F85" s="681"/>
      <c r="G85" s="681"/>
      <c r="H85" s="557"/>
      <c r="I85" s="557"/>
      <c r="J85" s="557"/>
      <c r="K85" s="557"/>
      <c r="L85" s="557"/>
      <c r="M85" s="557"/>
      <c r="N85" s="557"/>
      <c r="O85" s="557"/>
      <c r="P85" s="557"/>
      <c r="Q85" s="557"/>
      <c r="R85" s="557"/>
      <c r="S85" s="557"/>
      <c r="T85" s="557"/>
      <c r="U85" s="557"/>
      <c r="V85" s="557"/>
    </row>
    <row r="86">
      <c r="A86" s="557"/>
      <c r="B86" s="687"/>
      <c r="C86" s="557"/>
      <c r="D86" s="670"/>
      <c r="E86" s="670"/>
      <c r="F86" s="681"/>
      <c r="G86" s="681"/>
      <c r="H86" s="557"/>
      <c r="I86" s="557"/>
      <c r="J86" s="557"/>
      <c r="K86" s="557"/>
      <c r="L86" s="557"/>
      <c r="M86" s="557"/>
      <c r="N86" s="557"/>
      <c r="O86" s="557"/>
      <c r="P86" s="557"/>
      <c r="Q86" s="557"/>
      <c r="R86" s="557"/>
      <c r="S86" s="557"/>
      <c r="T86" s="557"/>
      <c r="U86" s="557"/>
      <c r="V86" s="557"/>
    </row>
    <row r="87">
      <c r="A87" s="557"/>
      <c r="B87" s="687"/>
      <c r="C87" s="557"/>
      <c r="D87" s="670"/>
      <c r="E87" s="670"/>
      <c r="F87" s="681"/>
      <c r="G87" s="681"/>
      <c r="H87" s="557"/>
      <c r="I87" s="557"/>
      <c r="J87" s="557"/>
      <c r="K87" s="557"/>
      <c r="L87" s="557"/>
      <c r="M87" s="557"/>
      <c r="N87" s="557"/>
      <c r="O87" s="557"/>
      <c r="P87" s="557"/>
      <c r="Q87" s="557"/>
      <c r="R87" s="557"/>
      <c r="S87" s="557"/>
      <c r="T87" s="557"/>
      <c r="U87" s="557"/>
      <c r="V87" s="557"/>
    </row>
    <row r="88">
      <c r="A88" s="557"/>
      <c r="B88" s="687"/>
      <c r="C88" s="557"/>
      <c r="D88" s="670"/>
      <c r="E88" s="670"/>
      <c r="F88" s="681"/>
      <c r="G88" s="681"/>
      <c r="H88" s="557"/>
      <c r="I88" s="557"/>
      <c r="J88" s="557"/>
      <c r="K88" s="557"/>
      <c r="L88" s="557"/>
      <c r="M88" s="557"/>
      <c r="N88" s="557"/>
      <c r="O88" s="557"/>
      <c r="P88" s="557"/>
      <c r="Q88" s="557"/>
      <c r="R88" s="557"/>
      <c r="S88" s="557"/>
      <c r="T88" s="557"/>
      <c r="U88" s="557"/>
      <c r="V88" s="557"/>
    </row>
    <row r="89">
      <c r="A89" s="557"/>
      <c r="B89" s="687"/>
      <c r="C89" s="557"/>
      <c r="D89" s="670"/>
      <c r="E89" s="670"/>
      <c r="F89" s="681"/>
      <c r="G89" s="681"/>
      <c r="H89" s="557"/>
      <c r="I89" s="557"/>
      <c r="J89" s="557"/>
      <c r="K89" s="557"/>
      <c r="L89" s="557"/>
      <c r="M89" s="557"/>
      <c r="N89" s="557"/>
      <c r="O89" s="557"/>
      <c r="P89" s="557"/>
      <c r="Q89" s="557"/>
      <c r="R89" s="557"/>
      <c r="S89" s="557"/>
      <c r="T89" s="557"/>
      <c r="U89" s="557"/>
      <c r="V89" s="557"/>
    </row>
    <row r="90">
      <c r="A90" s="557"/>
      <c r="B90" s="687"/>
      <c r="C90" s="557"/>
      <c r="D90" s="670"/>
      <c r="E90" s="670"/>
      <c r="F90" s="681"/>
      <c r="G90" s="681"/>
      <c r="H90" s="557"/>
      <c r="I90" s="557"/>
      <c r="J90" s="557"/>
      <c r="K90" s="557"/>
      <c r="L90" s="557"/>
      <c r="M90" s="557"/>
      <c r="N90" s="557"/>
      <c r="O90" s="557"/>
      <c r="P90" s="557"/>
      <c r="Q90" s="557"/>
      <c r="R90" s="557"/>
      <c r="S90" s="557"/>
      <c r="T90" s="557"/>
      <c r="U90" s="557"/>
      <c r="V90" s="557"/>
    </row>
    <row r="91">
      <c r="A91" s="557"/>
      <c r="B91" s="687"/>
      <c r="C91" s="557"/>
      <c r="D91" s="670"/>
      <c r="E91" s="670"/>
      <c r="F91" s="681"/>
      <c r="G91" s="681"/>
      <c r="H91" s="557"/>
      <c r="I91" s="557"/>
      <c r="J91" s="557"/>
      <c r="K91" s="557"/>
      <c r="L91" s="557"/>
      <c r="M91" s="557"/>
      <c r="N91" s="557"/>
      <c r="O91" s="557"/>
      <c r="P91" s="557"/>
      <c r="Q91" s="557"/>
      <c r="R91" s="557"/>
      <c r="S91" s="557"/>
      <c r="T91" s="557"/>
      <c r="U91" s="557"/>
      <c r="V91" s="557"/>
    </row>
    <row r="92">
      <c r="A92" s="557"/>
      <c r="B92" s="687"/>
      <c r="C92" s="557"/>
      <c r="D92" s="670"/>
      <c r="E92" s="670"/>
      <c r="F92" s="681"/>
      <c r="G92" s="681"/>
      <c r="H92" s="557"/>
      <c r="I92" s="557"/>
      <c r="J92" s="557"/>
      <c r="K92" s="557"/>
      <c r="L92" s="557"/>
      <c r="M92" s="557"/>
      <c r="N92" s="557"/>
      <c r="O92" s="557"/>
      <c r="P92" s="557"/>
      <c r="Q92" s="557"/>
      <c r="R92" s="557"/>
      <c r="S92" s="557"/>
      <c r="T92" s="557"/>
      <c r="U92" s="557"/>
      <c r="V92" s="557"/>
    </row>
    <row r="93">
      <c r="A93" s="557"/>
      <c r="B93" s="687"/>
      <c r="C93" s="557"/>
      <c r="D93" s="670"/>
      <c r="E93" s="670"/>
      <c r="F93" s="681"/>
      <c r="G93" s="681"/>
      <c r="H93" s="557"/>
      <c r="I93" s="557"/>
      <c r="J93" s="557"/>
      <c r="K93" s="557"/>
      <c r="L93" s="557"/>
      <c r="M93" s="557"/>
      <c r="N93" s="557"/>
      <c r="O93" s="557"/>
      <c r="P93" s="557"/>
      <c r="Q93" s="557"/>
      <c r="R93" s="557"/>
      <c r="S93" s="557"/>
      <c r="T93" s="557"/>
      <c r="U93" s="557"/>
      <c r="V93" s="557"/>
    </row>
    <row r="94">
      <c r="A94" s="557"/>
      <c r="B94" s="687"/>
      <c r="C94" s="557"/>
      <c r="D94" s="670"/>
      <c r="E94" s="670"/>
      <c r="F94" s="681"/>
      <c r="G94" s="681"/>
      <c r="H94" s="557"/>
      <c r="I94" s="557"/>
      <c r="J94" s="557"/>
      <c r="K94" s="557"/>
      <c r="L94" s="557"/>
      <c r="M94" s="557"/>
      <c r="N94" s="557"/>
      <c r="O94" s="557"/>
      <c r="P94" s="557"/>
      <c r="Q94" s="557"/>
      <c r="R94" s="557"/>
      <c r="S94" s="557"/>
      <c r="T94" s="557"/>
      <c r="U94" s="557"/>
      <c r="V94" s="557"/>
    </row>
    <row r="95">
      <c r="A95" s="557"/>
      <c r="B95" s="687"/>
      <c r="C95" s="557"/>
      <c r="D95" s="670"/>
      <c r="E95" s="670"/>
      <c r="F95" s="681"/>
      <c r="G95" s="681"/>
      <c r="H95" s="557"/>
      <c r="I95" s="557"/>
      <c r="J95" s="557"/>
      <c r="K95" s="557"/>
      <c r="L95" s="557"/>
      <c r="M95" s="557"/>
      <c r="N95" s="557"/>
      <c r="O95" s="557"/>
      <c r="P95" s="557"/>
      <c r="Q95" s="557"/>
      <c r="R95" s="557"/>
      <c r="S95" s="557"/>
      <c r="T95" s="557"/>
      <c r="U95" s="557"/>
      <c r="V95" s="557"/>
    </row>
    <row r="96">
      <c r="A96" s="557"/>
      <c r="B96" s="687"/>
      <c r="C96" s="557"/>
      <c r="D96" s="670"/>
      <c r="E96" s="670"/>
      <c r="F96" s="681"/>
      <c r="G96" s="681"/>
      <c r="H96" s="557"/>
      <c r="I96" s="557"/>
      <c r="J96" s="557"/>
      <c r="K96" s="557"/>
      <c r="L96" s="557"/>
      <c r="M96" s="557"/>
      <c r="N96" s="557"/>
      <c r="O96" s="557"/>
      <c r="P96" s="557"/>
      <c r="Q96" s="557"/>
      <c r="R96" s="557"/>
      <c r="S96" s="557"/>
      <c r="T96" s="557"/>
      <c r="U96" s="557"/>
      <c r="V96" s="557"/>
    </row>
    <row r="97">
      <c r="A97" s="557"/>
      <c r="B97" s="687"/>
      <c r="C97" s="557"/>
      <c r="D97" s="670"/>
      <c r="E97" s="670"/>
      <c r="F97" s="681"/>
      <c r="G97" s="681"/>
      <c r="H97" s="557"/>
      <c r="I97" s="557"/>
      <c r="J97" s="557"/>
      <c r="K97" s="557"/>
      <c r="L97" s="557"/>
      <c r="M97" s="557"/>
      <c r="N97" s="557"/>
      <c r="O97" s="557"/>
      <c r="P97" s="557"/>
      <c r="Q97" s="557"/>
      <c r="R97" s="557"/>
      <c r="S97" s="557"/>
      <c r="T97" s="557"/>
      <c r="U97" s="557"/>
      <c r="V97" s="557"/>
    </row>
    <row r="98">
      <c r="A98" s="557"/>
      <c r="B98" s="687"/>
      <c r="C98" s="557"/>
      <c r="D98" s="670"/>
      <c r="E98" s="670"/>
      <c r="F98" s="681"/>
      <c r="G98" s="681"/>
      <c r="H98" s="557"/>
      <c r="I98" s="557"/>
      <c r="J98" s="557"/>
      <c r="K98" s="557"/>
      <c r="L98" s="557"/>
      <c r="M98" s="557"/>
      <c r="N98" s="557"/>
      <c r="O98" s="557"/>
      <c r="P98" s="557"/>
      <c r="Q98" s="557"/>
      <c r="R98" s="557"/>
      <c r="S98" s="557"/>
      <c r="T98" s="557"/>
      <c r="U98" s="557"/>
      <c r="V98" s="557"/>
    </row>
    <row r="99">
      <c r="A99" s="557"/>
      <c r="B99" s="687"/>
      <c r="C99" s="557"/>
      <c r="D99" s="670"/>
      <c r="E99" s="670"/>
      <c r="F99" s="681"/>
      <c r="G99" s="681"/>
      <c r="H99" s="557"/>
      <c r="I99" s="557"/>
      <c r="J99" s="557"/>
      <c r="K99" s="557"/>
      <c r="L99" s="557"/>
      <c r="M99" s="557"/>
      <c r="N99" s="557"/>
      <c r="O99" s="557"/>
      <c r="P99" s="557"/>
      <c r="Q99" s="557"/>
      <c r="R99" s="557"/>
      <c r="S99" s="557"/>
      <c r="T99" s="557"/>
      <c r="U99" s="557"/>
      <c r="V99" s="557"/>
    </row>
    <row r="100">
      <c r="A100" s="557"/>
      <c r="B100" s="687"/>
      <c r="C100" s="557"/>
      <c r="D100" s="670"/>
      <c r="E100" s="670"/>
      <c r="F100" s="681"/>
      <c r="G100" s="681"/>
      <c r="H100" s="557"/>
      <c r="I100" s="557"/>
      <c r="J100" s="557"/>
      <c r="K100" s="557"/>
      <c r="L100" s="557"/>
      <c r="M100" s="557"/>
      <c r="N100" s="557"/>
      <c r="O100" s="557"/>
      <c r="P100" s="557"/>
      <c r="Q100" s="557"/>
      <c r="R100" s="557"/>
      <c r="S100" s="557"/>
      <c r="T100" s="557"/>
      <c r="U100" s="557"/>
      <c r="V100" s="557"/>
    </row>
    <row r="101">
      <c r="A101" s="557"/>
      <c r="B101" s="687"/>
      <c r="C101" s="557"/>
      <c r="D101" s="670"/>
      <c r="E101" s="670"/>
      <c r="F101" s="681"/>
      <c r="G101" s="681"/>
      <c r="H101" s="557"/>
      <c r="I101" s="557"/>
      <c r="J101" s="557"/>
      <c r="K101" s="557"/>
      <c r="L101" s="557"/>
      <c r="M101" s="557"/>
      <c r="N101" s="557"/>
      <c r="O101" s="557"/>
      <c r="P101" s="557"/>
      <c r="Q101" s="557"/>
      <c r="R101" s="557"/>
      <c r="S101" s="557"/>
      <c r="T101" s="557"/>
      <c r="U101" s="557"/>
      <c r="V101" s="557"/>
    </row>
    <row r="102">
      <c r="A102" s="557"/>
      <c r="B102" s="687"/>
      <c r="C102" s="557"/>
      <c r="D102" s="670"/>
      <c r="E102" s="670"/>
      <c r="F102" s="681"/>
      <c r="G102" s="681"/>
      <c r="H102" s="557"/>
      <c r="I102" s="557"/>
      <c r="J102" s="557"/>
      <c r="K102" s="557"/>
      <c r="L102" s="557"/>
      <c r="M102" s="557"/>
      <c r="N102" s="557"/>
      <c r="O102" s="557"/>
      <c r="P102" s="557"/>
      <c r="Q102" s="557"/>
      <c r="R102" s="557"/>
      <c r="S102" s="557"/>
      <c r="T102" s="557"/>
      <c r="U102" s="557"/>
      <c r="V102" s="557"/>
    </row>
    <row r="103">
      <c r="A103" s="557"/>
      <c r="B103" s="687"/>
      <c r="C103" s="557"/>
      <c r="D103" s="670"/>
      <c r="E103" s="670"/>
      <c r="F103" s="681"/>
      <c r="G103" s="681"/>
      <c r="H103" s="557"/>
      <c r="I103" s="557"/>
      <c r="J103" s="557"/>
      <c r="K103" s="557"/>
      <c r="L103" s="557"/>
      <c r="M103" s="557"/>
      <c r="N103" s="557"/>
      <c r="O103" s="557"/>
      <c r="P103" s="557"/>
      <c r="Q103" s="557"/>
      <c r="R103" s="557"/>
      <c r="S103" s="557"/>
      <c r="T103" s="557"/>
      <c r="U103" s="557"/>
      <c r="V103" s="557"/>
    </row>
  </sheetData>
  <hyperlinks>
    <hyperlink r:id="rId1" ref="F5"/>
    <hyperlink r:id="rId2" ref="F6"/>
    <hyperlink r:id="rId3" ref="F7"/>
    <hyperlink r:id="rId4" ref="G7"/>
    <hyperlink r:id="rId5" ref="F8"/>
    <hyperlink r:id="rId6" ref="F9"/>
    <hyperlink r:id="rId7" ref="F10"/>
    <hyperlink r:id="rId8" ref="F11"/>
    <hyperlink r:id="rId9" ref="F12"/>
    <hyperlink r:id="rId10" ref="G12"/>
    <hyperlink r:id="rId11" ref="H12"/>
    <hyperlink r:id="rId12" ref="F13"/>
    <hyperlink r:id="rId13" ref="F14"/>
    <hyperlink r:id="rId14" ref="F15"/>
    <hyperlink r:id="rId15" ref="F19"/>
    <hyperlink r:id="rId16" ref="F20"/>
    <hyperlink r:id="rId17" ref="F24"/>
    <hyperlink r:id="rId18" ref="F25"/>
    <hyperlink r:id="rId19" ref="F26"/>
    <hyperlink r:id="rId20" ref="G26"/>
    <hyperlink r:id="rId21" ref="H26"/>
    <hyperlink r:id="rId22" ref="F27"/>
    <hyperlink r:id="rId23" ref="C29"/>
    <hyperlink r:id="rId24" ref="F35"/>
    <hyperlink r:id="rId25" ref="F36"/>
    <hyperlink r:id="rId26" ref="F37"/>
    <hyperlink r:id="rId27" ref="F38"/>
    <hyperlink r:id="rId28" ref="F39"/>
    <hyperlink r:id="rId29" ref="F40"/>
    <hyperlink r:id="rId30" ref="F41"/>
    <hyperlink r:id="rId31" ref="F42"/>
    <hyperlink r:id="rId32" ref="F43"/>
    <hyperlink r:id="rId33" ref="F44"/>
    <hyperlink r:id="rId34" ref="F45"/>
    <hyperlink r:id="rId35" ref="F46"/>
    <hyperlink r:id="rId36" ref="F47"/>
    <hyperlink r:id="rId37" ref="F48"/>
    <hyperlink r:id="rId38" ref="F49"/>
    <hyperlink r:id="rId39" ref="F50"/>
    <hyperlink r:id="rId40" ref="F51"/>
    <hyperlink r:id="rId41" ref="F52"/>
    <hyperlink r:id="rId42" ref="F53"/>
    <hyperlink r:id="rId43" ref="F54"/>
    <hyperlink r:id="rId44" ref="F55"/>
    <hyperlink r:id="rId45" ref="F56"/>
    <hyperlink r:id="rId46" ref="F57"/>
    <hyperlink r:id="rId47" ref="F58"/>
    <hyperlink r:id="rId48" ref="F59"/>
    <hyperlink r:id="rId49" ref="F60"/>
    <hyperlink r:id="rId50" ref="F61"/>
    <hyperlink r:id="rId51" ref="F62"/>
    <hyperlink r:id="rId52" ref="F63"/>
    <hyperlink r:id="rId53" ref="F64"/>
    <hyperlink r:id="rId54" ref="F65"/>
    <hyperlink r:id="rId55" ref="F66"/>
    <hyperlink r:id="rId56" ref="F67"/>
  </hyperlinks>
  <drawing r:id="rId57"/>
</worksheet>
</file>